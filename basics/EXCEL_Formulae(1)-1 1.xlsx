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0.85\Provider1st\22.13\Om Barot\Other\"/>
    </mc:Choice>
  </mc:AlternateContent>
  <bookViews>
    <workbookView showHorizontalScroll="0" showSheetTabs="0" xWindow="0" yWindow="45" windowWidth="15195" windowHeight="9975" activeTab="135"/>
  </bookViews>
  <sheets>
    <sheet name="Home1" sheetId="171" r:id="rId1"/>
    <sheet name="Home" sheetId="170" r:id="rId2"/>
    <sheet name="YEARFRAC" sheetId="168" r:id="rId3"/>
    <sheet name="YEAR" sheetId="167" r:id="rId4"/>
    <sheet name="WORKDAY" sheetId="166" r:id="rId5"/>
    <sheet name="WEEKDAY" sheetId="165" r:id="rId6"/>
    <sheet name="VLOOKUP" sheetId="164" r:id="rId7"/>
    <sheet name="VARP" sheetId="163" r:id="rId8"/>
    <sheet name="VAR" sheetId="162" r:id="rId9"/>
    <sheet name="VALUE" sheetId="161" r:id="rId10"/>
    <sheet name="UPPER" sheetId="160" r:id="rId11"/>
    <sheet name="TRUNC" sheetId="159" r:id="rId12"/>
    <sheet name="TRIM" sheetId="158" r:id="rId13"/>
    <sheet name="TREND" sheetId="157" r:id="rId14"/>
    <sheet name="TRANSPOSE" sheetId="156" r:id="rId15"/>
    <sheet name="TODAY" sheetId="155" r:id="rId16"/>
    <sheet name="TIMEVALUE" sheetId="154" r:id="rId17"/>
    <sheet name="TIME" sheetId="153" r:id="rId18"/>
    <sheet name="TEXT" sheetId="152" r:id="rId19"/>
    <sheet name="T" sheetId="151" r:id="rId20"/>
    <sheet name="SYD" sheetId="150" r:id="rId21"/>
    <sheet name="SUMPRODUCT" sheetId="149" r:id="rId22"/>
    <sheet name="SUMIF" sheetId="148" r:id="rId23"/>
    <sheet name="SUM_with_OFFSET" sheetId="147" r:id="rId24"/>
    <sheet name="SUM_as_Running_Total" sheetId="146" r:id="rId25"/>
    <sheet name="SUM" sheetId="145" r:id="rId26"/>
    <sheet name="SUBSTITUTE" sheetId="144" r:id="rId27"/>
    <sheet name="STDEVP" sheetId="143" r:id="rId28"/>
    <sheet name="STDEV" sheetId="142" r:id="rId29"/>
    <sheet name="SMALL" sheetId="140" r:id="rId30"/>
    <sheet name="SLN" sheetId="139" r:id="rId31"/>
    <sheet name="SIGN" sheetId="138" r:id="rId32"/>
    <sheet name="SECOND" sheetId="137" r:id="rId33"/>
    <sheet name="ROUNDUP" sheetId="136" r:id="rId34"/>
    <sheet name="ROUNDDOWN" sheetId="135" r:id="rId35"/>
    <sheet name="ROUND" sheetId="134" r:id="rId36"/>
    <sheet name="ROMAN" sheetId="133" r:id="rId37"/>
    <sheet name="RIGHT" sheetId="132" r:id="rId38"/>
    <sheet name="REPT" sheetId="131" r:id="rId39"/>
    <sheet name="REPLACE" sheetId="130" r:id="rId40"/>
    <sheet name="RANK" sheetId="129" r:id="rId41"/>
    <sheet name="RANDBETWEEN" sheetId="128" r:id="rId42"/>
    <sheet name="RAND" sheetId="127" r:id="rId43"/>
    <sheet name="QUOTIENT" sheetId="126" r:id="rId44"/>
    <sheet name="QUARTILE" sheetId="125" r:id="rId45"/>
    <sheet name="PROPER" sheetId="124" r:id="rId46"/>
    <sheet name="PRODUCT" sheetId="123" r:id="rId47"/>
    <sheet name="POWER" sheetId="122" r:id="rId48"/>
    <sheet name="PI" sheetId="121" r:id="rId49"/>
    <sheet name="PERMUT" sheetId="120" r:id="rId50"/>
    <sheet name=" Ordering Stock" sheetId="118" r:id="rId51"/>
    <sheet name="OR" sheetId="117" r:id="rId52"/>
    <sheet name="ODD" sheetId="116" r:id="rId53"/>
    <sheet name="NOW" sheetId="115" r:id="rId54"/>
    <sheet name="NOT" sheetId="114" r:id="rId55"/>
    <sheet name="NETWORKDAYS" sheetId="112" r:id="rId56"/>
    <sheet name="NA" sheetId="111" r:id="rId57"/>
    <sheet name="N" sheetId="110" r:id="rId58"/>
    <sheet name="MROUND" sheetId="109" r:id="rId59"/>
    <sheet name="MONTH" sheetId="108" r:id="rId60"/>
    <sheet name="MODE" sheetId="107" r:id="rId61"/>
    <sheet name="MOD" sheetId="106" r:id="rId62"/>
    <sheet name="MMULT" sheetId="105" r:id="rId63"/>
    <sheet name="MINUTE" sheetId="103" r:id="rId64"/>
    <sheet name="MIN" sheetId="102" r:id="rId65"/>
    <sheet name="MID" sheetId="101" r:id="rId66"/>
    <sheet name="MEDIAN" sheetId="100" r:id="rId67"/>
    <sheet name="MAX" sheetId="99" r:id="rId68"/>
    <sheet name="MATCH" sheetId="98" r:id="rId69"/>
    <sheet name="LOWER" sheetId="97" r:id="rId70"/>
    <sheet name="LOOKUP (Vector)" sheetId="96" r:id="rId71"/>
    <sheet name="LOOKUP (Array)" sheetId="95" r:id="rId72"/>
    <sheet name="LEN" sheetId="94" r:id="rId73"/>
    <sheet name="LEFT" sheetId="93" r:id="rId74"/>
    <sheet name="LCM" sheetId="91" r:id="rId75"/>
    <sheet name="LARGE" sheetId="90" r:id="rId76"/>
    <sheet name="ISTEXT" sheetId="89" r:id="rId77"/>
    <sheet name="ISREF" sheetId="88" r:id="rId78"/>
    <sheet name="ISODD" sheetId="87" r:id="rId79"/>
    <sheet name="ISNUMBER" sheetId="86" r:id="rId80"/>
    <sheet name="ISNONTEXT" sheetId="85" r:id="rId81"/>
    <sheet name="ISNA" sheetId="84" r:id="rId82"/>
    <sheet name="ISLOGICAL" sheetId="83" r:id="rId83"/>
    <sheet name="ISEVEN" sheetId="82" r:id="rId84"/>
    <sheet name="ISERROR" sheetId="81" r:id="rId85"/>
    <sheet name="ISERR" sheetId="80" r:id="rId86"/>
    <sheet name="ISBLANK" sheetId="79" r:id="rId87"/>
    <sheet name="INT" sheetId="78" r:id="rId88"/>
    <sheet name="INFO" sheetId="77" r:id="rId89"/>
    <sheet name="INDIRECT" sheetId="76" r:id="rId90"/>
    <sheet name="INDEX" sheetId="75" r:id="rId91"/>
    <sheet name="IF" sheetId="74" r:id="rId92"/>
    <sheet name="HOUR" sheetId="73" r:id="rId93"/>
    <sheet name="HLOOKUP" sheetId="72" r:id="rId94"/>
    <sheet name="HEX2DEC" sheetId="71" r:id="rId95"/>
    <sheet name="GESTEP" sheetId="70" r:id="rId96"/>
    <sheet name="GCD" sheetId="69" r:id="rId97"/>
    <sheet name="FREQUENCY" sheetId="67" r:id="rId98"/>
    <sheet name="FORECAST" sheetId="66" r:id="rId99"/>
    <sheet name="FLOOR" sheetId="65" r:id="rId100"/>
    <sheet name="FIXED" sheetId="64" r:id="rId101"/>
    <sheet name="FIND" sheetId="63" r:id="rId102"/>
    <sheet name="FACT" sheetId="62" r:id="rId103"/>
    <sheet name="EXACT" sheetId="61" r:id="rId104"/>
    <sheet name="EVEN" sheetId="60" r:id="rId105"/>
    <sheet name="ERROR.TYPE" sheetId="59" r:id="rId106"/>
    <sheet name="EOMONTH" sheetId="58" r:id="rId107"/>
    <sheet name="EDATE" sheetId="57" r:id="rId108"/>
    <sheet name="DSUM" sheetId="55" r:id="rId109"/>
    <sheet name="DOLLAR" sheetId="54" r:id="rId110"/>
    <sheet name="DMIN" sheetId="53" r:id="rId111"/>
    <sheet name="DMAX" sheetId="52" r:id="rId112"/>
    <sheet name="DGET" sheetId="51" r:id="rId113"/>
    <sheet name="DELTA" sheetId="50" r:id="rId114"/>
    <sheet name="DEC2HEX" sheetId="49" r:id="rId115"/>
    <sheet name="DEC2BIN" sheetId="48" r:id="rId116"/>
    <sheet name="DCOUNTA" sheetId="47" r:id="rId117"/>
    <sheet name="DCOUNT" sheetId="46" r:id="rId118"/>
    <sheet name="DB" sheetId="45" r:id="rId119"/>
    <sheet name="DAYS360" sheetId="44" r:id="rId120"/>
    <sheet name="DAY" sheetId="43" r:id="rId121"/>
    <sheet name="DAVERAGE" sheetId="42" r:id="rId122"/>
    <sheet name="DATEVALUE" sheetId="41" r:id="rId123"/>
    <sheet name="DATEDIF" sheetId="40" r:id="rId124"/>
    <sheet name="DATE" sheetId="39" r:id="rId125"/>
    <sheet name="COUNTIF" sheetId="38" r:id="rId126"/>
    <sheet name="COUNTBLANK" sheetId="37" r:id="rId127"/>
    <sheet name="COUNTA" sheetId="36" r:id="rId128"/>
    <sheet name="COUNT" sheetId="35" r:id="rId129"/>
    <sheet name="CORREL" sheetId="34" r:id="rId130"/>
    <sheet name="CONVERT" sheetId="33" r:id="rId131"/>
    <sheet name="CONCATENATE" sheetId="32" r:id="rId132"/>
    <sheet name="COMBIN" sheetId="31" r:id="rId133"/>
    <sheet name="CODE" sheetId="30" r:id="rId134"/>
    <sheet name="CLEAN" sheetId="29" r:id="rId135"/>
    <sheet name="CHOOSE" sheetId="28" r:id="rId136"/>
    <sheet name="CHAR" sheetId="27" r:id="rId137"/>
    <sheet name="CELL" sheetId="26" r:id="rId138"/>
    <sheet name="CEILING" sheetId="25" r:id="rId139"/>
    <sheet name="BIN2DEC" sheetId="24" r:id="rId140"/>
    <sheet name="AVERAGE" sheetId="23" r:id="rId141"/>
    <sheet name="AREAS" sheetId="22" r:id="rId142"/>
    <sheet name="AND" sheetId="21" r:id="rId143"/>
    <sheet name="ADDRESS" sheetId="20" r:id="rId144"/>
    <sheet name="ABS" sheetId="19" r:id="rId145"/>
    <sheet name=" AutoSum Shortcut Key" sheetId="18" r:id="rId146"/>
    <sheet name=" Age Calculation" sheetId="17" r:id="rId147"/>
    <sheet name=" Brackets in formula" sheetId="16" r:id="rId148"/>
    <sheet name=" Filename formula" sheetId="15" r:id="rId149"/>
    <sheet name=" Instant Charts" sheetId="14" r:id="rId150"/>
    <sheet name="SUM_using_names" sheetId="13" r:id="rId151"/>
    <sheet name=" Show all formula" sheetId="12" r:id="rId152"/>
    <sheet name=" Percentages" sheetId="11" r:id="rId153"/>
    <sheet name=" Split ForenameSurname" sheetId="10" r:id="rId154"/>
    <sheet name=" Time Calculation" sheetId="8" r:id="rId155"/>
    <sheet name="Help" sheetId="172" r:id="rId156"/>
  </sheets>
  <externalReferences>
    <externalReference r:id="rId157"/>
    <externalReference r:id="rId158"/>
    <externalReference r:id="rId159"/>
  </externalReferences>
  <definedNames>
    <definedName name="aa">[1]INDEX!$D$91:$G$93,[1]INDEX!$D$96:$G$98</definedName>
    <definedName name="aaa">[2]AREAS!$C$3:$D$6,[2]AREAS!$C$8:$D$11</definedName>
    <definedName name="DATA" localSheetId="28">OFFSET([0]!NAMEBASE,1,0,ROWS([0]!NAMEBASE)-1)</definedName>
    <definedName name="EastAndWest" localSheetId="152">[3]INDEX!$D$91:$G$93,[3]INDEX!$D$96:$G$98</definedName>
    <definedName name="EastAndWest" localSheetId="153">[3]INDEX!$D$91:$G$93,[3]INDEX!$D$96:$G$98</definedName>
    <definedName name="EastAndWest" localSheetId="1">#REF!,#REF!</definedName>
    <definedName name="EastAndWest" localSheetId="90">INDEX!$D$91:$G$93,INDEX!$D$96:$G$98</definedName>
    <definedName name="EastAndWest">[1]INDEX!$D$91:$G$93,[1]INDEX!$D$96:$G$98</definedName>
    <definedName name="English">AND!$D$29:$D$38</definedName>
    <definedName name="LotteryResults">#REF!</definedName>
    <definedName name="Maths">AND!$C$29:$C$38</definedName>
    <definedName name="NorthAndSouth" localSheetId="152">[3]INDEX!$D$67:$G$69,[3]INDEX!$D$72:$G$74</definedName>
    <definedName name="NorthAndSouth" localSheetId="153">[3]INDEX!$D$67:$G$69,[3]INDEX!$D$72:$G$74</definedName>
    <definedName name="NorthAndSouth" localSheetId="1">#REF!,#REF!</definedName>
    <definedName name="NorthAndSouth" localSheetId="90">INDEX!$D$67:$G$69,INDEX!$D$72:$G$74</definedName>
    <definedName name="NorthAndSouth">[1]INDEX!$D$67:$G$69,[1]INDEX!$D$72:$G$74</definedName>
    <definedName name="PeopleLists" localSheetId="152">[3]AREAS!$C$3:$D$6,[3]AREAS!$C$8:$D$11</definedName>
    <definedName name="PeopleLists" localSheetId="153">[3]AREAS!$C$3:$D$6,[3]AREAS!$C$8:$D$11</definedName>
    <definedName name="PeopleLists" localSheetId="141">AREAS!$C$3:$D$6,AREAS!$C$8:$D$11</definedName>
    <definedName name="PeopleLists" localSheetId="1">#REF!,#REF!</definedName>
    <definedName name="PeopleLists">[1]AREAS!$C$3:$D$6,[1]AREAS!$C$8:$D$11</definedName>
    <definedName name="Physics">AND!$E$29:$E$38</definedName>
    <definedName name="solver_adj" localSheetId="50" hidden="1">' Ordering Stock'!$G$22</definedName>
    <definedName name="solver_drv" localSheetId="50" hidden="1">1</definedName>
    <definedName name="solver_est" localSheetId="50" hidden="1">1</definedName>
    <definedName name="solver_itr" localSheetId="50" hidden="1">100</definedName>
    <definedName name="solver_lhs1" localSheetId="50" hidden="1">' Ordering Stock'!$G$22</definedName>
    <definedName name="solver_lin" localSheetId="50" hidden="1">0</definedName>
    <definedName name="solver_num" localSheetId="50" hidden="1">1</definedName>
    <definedName name="solver_nwt" localSheetId="50" hidden="1">1</definedName>
    <definedName name="solver_opt" localSheetId="50" hidden="1">' Ordering Stock'!$H$30</definedName>
    <definedName name="solver_pre" localSheetId="50" hidden="1">0.000001</definedName>
    <definedName name="solver_rel1" localSheetId="50" hidden="1">4</definedName>
    <definedName name="solver_rhs1" localSheetId="50" hidden="1">[0]!Integer</definedName>
    <definedName name="solver_scl" localSheetId="50" hidden="1">0</definedName>
    <definedName name="solver_sho" localSheetId="50" hidden="1">0</definedName>
    <definedName name="solver_tim" localSheetId="50" hidden="1">100</definedName>
    <definedName name="solver_tol" localSheetId="50" hidden="1">0.05</definedName>
    <definedName name="solver_typ" localSheetId="50" hidden="1">2</definedName>
    <definedName name="solver_val" localSheetId="50" hidden="1">0</definedName>
    <definedName name="SplitForeNameSurname1">[2]AREAS!$C$3:$D$6,[2]AREAS!$C$8:$D$11</definedName>
    <definedName name="UserChoice">#REF!</definedName>
  </definedNames>
  <calcPr calcId="162913"/>
</workbook>
</file>

<file path=xl/calcChain.xml><?xml version="1.0" encoding="utf-8"?>
<calcChain xmlns="http://schemas.openxmlformats.org/spreadsheetml/2006/main">
  <c r="C10" i="17" l="1"/>
  <c r="C11" i="17"/>
  <c r="C12" i="17"/>
  <c r="B15" i="17"/>
  <c r="C25" i="17"/>
  <c r="G12" i="18"/>
  <c r="G13" i="18"/>
  <c r="G14" i="18"/>
  <c r="G15" i="18"/>
  <c r="D16" i="18"/>
  <c r="E16" i="18"/>
  <c r="F16" i="18"/>
  <c r="C15" i="16"/>
  <c r="C17" i="16"/>
  <c r="C18" i="16"/>
  <c r="C21" i="16"/>
  <c r="C22" i="16"/>
  <c r="C30" i="16"/>
  <c r="C32" i="16"/>
  <c r="C33" i="16"/>
  <c r="C34" i="16"/>
  <c r="B7" i="15"/>
  <c r="B14" i="15"/>
  <c r="B18" i="15"/>
  <c r="B22" i="15"/>
  <c r="B29" i="118"/>
  <c r="C29" i="118"/>
  <c r="D29" i="118" s="1"/>
  <c r="E29" i="118"/>
  <c r="F29" i="118" s="1"/>
  <c r="G29" i="118"/>
  <c r="A30" i="118"/>
  <c r="E30" i="118" s="1"/>
  <c r="F30" i="118" s="1"/>
  <c r="A31" i="118"/>
  <c r="E31" i="118" s="1"/>
  <c r="F31" i="118" s="1"/>
  <c r="D10" i="11"/>
  <c r="F23" i="11"/>
  <c r="F24" i="11"/>
  <c r="F25" i="11"/>
  <c r="F26" i="11"/>
  <c r="F27" i="11"/>
  <c r="F28" i="11"/>
  <c r="D35" i="11"/>
  <c r="F48" i="11"/>
  <c r="F49" i="11"/>
  <c r="F50" i="11"/>
  <c r="F51" i="11"/>
  <c r="F52" i="11"/>
  <c r="F53" i="11"/>
  <c r="D60" i="11"/>
  <c r="D78" i="11"/>
  <c r="E78" i="11"/>
  <c r="F78" i="11"/>
  <c r="G78" i="11"/>
  <c r="D102" i="11"/>
  <c r="E113" i="11"/>
  <c r="F113" i="11"/>
  <c r="E114" i="11"/>
  <c r="F114" i="11"/>
  <c r="E115" i="11"/>
  <c r="F115" i="11"/>
  <c r="D9" i="12"/>
  <c r="D10" i="12"/>
  <c r="D11" i="12"/>
  <c r="D12" i="12"/>
  <c r="D14" i="10"/>
  <c r="D15" i="10"/>
  <c r="D16" i="10"/>
  <c r="D22" i="10"/>
  <c r="D23" i="10"/>
  <c r="D24" i="10"/>
  <c r="D35" i="10"/>
  <c r="D36" i="10"/>
  <c r="D37" i="10"/>
  <c r="D43" i="10"/>
  <c r="D44" i="10"/>
  <c r="D45" i="10"/>
  <c r="E24" i="8"/>
  <c r="E25" i="8"/>
  <c r="E26" i="8"/>
  <c r="E37" i="8"/>
  <c r="E40" i="8" s="1"/>
  <c r="E38" i="8"/>
  <c r="E39" i="8"/>
  <c r="E49" i="8"/>
  <c r="E50" i="8"/>
  <c r="E51" i="8"/>
  <c r="E56" i="8"/>
  <c r="E57" i="8"/>
  <c r="E58" i="8"/>
  <c r="D4" i="19"/>
  <c r="D5" i="19"/>
  <c r="D6" i="19"/>
  <c r="D7" i="19"/>
  <c r="F34" i="19"/>
  <c r="G34" i="19" s="1"/>
  <c r="F35" i="19"/>
  <c r="G35" i="19" s="1"/>
  <c r="F36" i="19"/>
  <c r="G36" i="19" s="1"/>
  <c r="F43" i="19"/>
  <c r="G43" i="19" s="1"/>
  <c r="F44" i="19"/>
  <c r="G44" i="19" s="1"/>
  <c r="F45" i="19"/>
  <c r="G45" i="19" s="1"/>
  <c r="D7" i="20"/>
  <c r="D8" i="20"/>
  <c r="D9" i="20"/>
  <c r="D10" i="20"/>
  <c r="D12" i="20"/>
  <c r="D13" i="20"/>
  <c r="D14" i="20"/>
  <c r="D15" i="20"/>
  <c r="E4" i="21"/>
  <c r="E5" i="21"/>
  <c r="E6" i="21"/>
  <c r="E7" i="21"/>
  <c r="F29" i="21"/>
  <c r="F30" i="21"/>
  <c r="F31" i="21"/>
  <c r="F32" i="21"/>
  <c r="F33" i="21"/>
  <c r="F34" i="21"/>
  <c r="F35" i="21"/>
  <c r="F36" i="21"/>
  <c r="F37" i="21"/>
  <c r="F38" i="21"/>
  <c r="C41" i="21"/>
  <c r="D41" i="21"/>
  <c r="E41" i="21"/>
  <c r="F3" i="22"/>
  <c r="K4" i="23"/>
  <c r="K5" i="23"/>
  <c r="K8" i="23"/>
  <c r="K9" i="23"/>
  <c r="K12" i="23"/>
  <c r="K13" i="23"/>
  <c r="K31" i="23"/>
  <c r="K32" i="23"/>
  <c r="K35" i="23"/>
  <c r="K36" i="23"/>
  <c r="D5" i="24"/>
  <c r="D6" i="24"/>
  <c r="D7" i="24"/>
  <c r="D8" i="24"/>
  <c r="D9" i="24"/>
  <c r="D10" i="24"/>
  <c r="D11" i="24"/>
  <c r="D12" i="24"/>
  <c r="D13" i="24"/>
  <c r="D4" i="25"/>
  <c r="D5" i="25"/>
  <c r="D6" i="25"/>
  <c r="D7" i="25"/>
  <c r="D8" i="25"/>
  <c r="D9" i="25"/>
  <c r="E28" i="25"/>
  <c r="E29" i="25"/>
  <c r="E30" i="25"/>
  <c r="F45" i="25"/>
  <c r="F46" i="25"/>
  <c r="F47" i="25"/>
  <c r="F54" i="25"/>
  <c r="F55" i="25"/>
  <c r="F56" i="25"/>
  <c r="E69" i="25"/>
  <c r="E70" i="25"/>
  <c r="E71" i="25"/>
  <c r="E72" i="25"/>
  <c r="E80" i="25"/>
  <c r="F80" i="25"/>
  <c r="E81" i="25"/>
  <c r="F81" i="25" s="1"/>
  <c r="E82" i="25"/>
  <c r="F82" i="25" s="1"/>
  <c r="E83" i="25"/>
  <c r="F83" i="25" s="1"/>
  <c r="D5" i="26"/>
  <c r="D6" i="26"/>
  <c r="D7" i="26"/>
  <c r="D8" i="26"/>
  <c r="D9" i="26"/>
  <c r="D10" i="26"/>
  <c r="D11" i="26"/>
  <c r="D13" i="26"/>
  <c r="D14" i="26"/>
  <c r="D15" i="26"/>
  <c r="D16" i="26"/>
  <c r="D58" i="26"/>
  <c r="H4" i="27"/>
  <c r="H5" i="27"/>
  <c r="H6" i="27"/>
  <c r="C24" i="27"/>
  <c r="E24" i="27"/>
  <c r="G24" i="27"/>
  <c r="I24" i="27"/>
  <c r="K24" i="27"/>
  <c r="M24" i="27"/>
  <c r="O24" i="27"/>
  <c r="Q24" i="27"/>
  <c r="S24" i="27"/>
  <c r="U24" i="27"/>
  <c r="W24" i="27"/>
  <c r="C25" i="27"/>
  <c r="E25" i="27"/>
  <c r="G25" i="27"/>
  <c r="I25" i="27"/>
  <c r="K25" i="27"/>
  <c r="M25" i="27"/>
  <c r="O25" i="27"/>
  <c r="Q25" i="27"/>
  <c r="S25" i="27"/>
  <c r="U25" i="27"/>
  <c r="W25" i="27"/>
  <c r="C26" i="27"/>
  <c r="E26" i="27"/>
  <c r="G26" i="27"/>
  <c r="I26" i="27"/>
  <c r="K26" i="27"/>
  <c r="M26" i="27"/>
  <c r="O26" i="27"/>
  <c r="Q26" i="27"/>
  <c r="S26" i="27"/>
  <c r="U26" i="27"/>
  <c r="W26" i="27"/>
  <c r="C27" i="27"/>
  <c r="E27" i="27"/>
  <c r="G27" i="27"/>
  <c r="I27" i="27"/>
  <c r="K27" i="27"/>
  <c r="M27" i="27"/>
  <c r="O27" i="27"/>
  <c r="Q27" i="27"/>
  <c r="S27" i="27"/>
  <c r="U27" i="27"/>
  <c r="W27" i="27"/>
  <c r="C28" i="27"/>
  <c r="E28" i="27"/>
  <c r="G28" i="27"/>
  <c r="I28" i="27"/>
  <c r="K28" i="27"/>
  <c r="M28" i="27"/>
  <c r="O28" i="27"/>
  <c r="Q28" i="27"/>
  <c r="S28" i="27"/>
  <c r="U28" i="27"/>
  <c r="W28" i="27"/>
  <c r="C29" i="27"/>
  <c r="E29" i="27"/>
  <c r="G29" i="27"/>
  <c r="I29" i="27"/>
  <c r="K29" i="27"/>
  <c r="M29" i="27"/>
  <c r="O29" i="27"/>
  <c r="Q29" i="27"/>
  <c r="S29" i="27"/>
  <c r="U29" i="27"/>
  <c r="C30" i="27"/>
  <c r="E30" i="27"/>
  <c r="G30" i="27"/>
  <c r="I30" i="27"/>
  <c r="K30" i="27"/>
  <c r="M30" i="27"/>
  <c r="O30" i="27"/>
  <c r="Q30" i="27"/>
  <c r="S30" i="27"/>
  <c r="U30" i="27"/>
  <c r="C31" i="27"/>
  <c r="E31" i="27"/>
  <c r="G31" i="27"/>
  <c r="I31" i="27"/>
  <c r="K31" i="27"/>
  <c r="M31" i="27"/>
  <c r="O31" i="27"/>
  <c r="Q31" i="27"/>
  <c r="S31" i="27"/>
  <c r="U31" i="27"/>
  <c r="C32" i="27"/>
  <c r="E32" i="27"/>
  <c r="G32" i="27"/>
  <c r="I32" i="27"/>
  <c r="K32" i="27"/>
  <c r="M32" i="27"/>
  <c r="O32" i="27"/>
  <c r="Q32" i="27"/>
  <c r="S32" i="27"/>
  <c r="U32" i="27"/>
  <c r="C33" i="27"/>
  <c r="E33" i="27"/>
  <c r="G33" i="27"/>
  <c r="I33" i="27"/>
  <c r="K33" i="27"/>
  <c r="M33" i="27"/>
  <c r="O33" i="27"/>
  <c r="Q33" i="27"/>
  <c r="S33" i="27"/>
  <c r="U33" i="27"/>
  <c r="C34" i="27"/>
  <c r="E34" i="27"/>
  <c r="G34" i="27"/>
  <c r="I34" i="27"/>
  <c r="K34" i="27"/>
  <c r="M34" i="27"/>
  <c r="O34" i="27"/>
  <c r="Q34" i="27"/>
  <c r="S34" i="27"/>
  <c r="U34" i="27"/>
  <c r="C35" i="27"/>
  <c r="E35" i="27"/>
  <c r="G35" i="27"/>
  <c r="I35" i="27"/>
  <c r="K35" i="27"/>
  <c r="M35" i="27"/>
  <c r="O35" i="27"/>
  <c r="Q35" i="27"/>
  <c r="S35" i="27"/>
  <c r="U35" i="27"/>
  <c r="C36" i="27"/>
  <c r="E36" i="27"/>
  <c r="G36" i="27"/>
  <c r="I36" i="27"/>
  <c r="K36" i="27"/>
  <c r="M36" i="27"/>
  <c r="O36" i="27"/>
  <c r="Q36" i="27"/>
  <c r="S36" i="27"/>
  <c r="U36" i="27"/>
  <c r="C37" i="27"/>
  <c r="E37" i="27"/>
  <c r="G37" i="27"/>
  <c r="I37" i="27"/>
  <c r="K37" i="27"/>
  <c r="M37" i="27"/>
  <c r="O37" i="27"/>
  <c r="Q37" i="27"/>
  <c r="S37" i="27"/>
  <c r="U37" i="27"/>
  <c r="C38" i="27"/>
  <c r="E38" i="27"/>
  <c r="G38" i="27"/>
  <c r="I38" i="27"/>
  <c r="K38" i="27"/>
  <c r="M38" i="27"/>
  <c r="O38" i="27"/>
  <c r="Q38" i="27"/>
  <c r="S38" i="27"/>
  <c r="U38" i="27"/>
  <c r="C39" i="27"/>
  <c r="E39" i="27"/>
  <c r="G39" i="27"/>
  <c r="I39" i="27"/>
  <c r="K39" i="27"/>
  <c r="M39" i="27"/>
  <c r="O39" i="27"/>
  <c r="Q39" i="27"/>
  <c r="S39" i="27"/>
  <c r="U39" i="27"/>
  <c r="C40" i="27"/>
  <c r="E40" i="27"/>
  <c r="G40" i="27"/>
  <c r="I40" i="27"/>
  <c r="K40" i="27"/>
  <c r="M40" i="27"/>
  <c r="O40" i="27"/>
  <c r="Q40" i="27"/>
  <c r="S40" i="27"/>
  <c r="U40" i="27"/>
  <c r="C41" i="27"/>
  <c r="E41" i="27"/>
  <c r="G41" i="27"/>
  <c r="I41" i="27"/>
  <c r="K41" i="27"/>
  <c r="M41" i="27"/>
  <c r="O41" i="27"/>
  <c r="Q41" i="27"/>
  <c r="S41" i="27"/>
  <c r="U41" i="27"/>
  <c r="C42" i="27"/>
  <c r="E42" i="27"/>
  <c r="G42" i="27"/>
  <c r="I42" i="27"/>
  <c r="K42" i="27"/>
  <c r="M42" i="27"/>
  <c r="O42" i="27"/>
  <c r="Q42" i="27"/>
  <c r="S42" i="27"/>
  <c r="U42" i="27"/>
  <c r="C43" i="27"/>
  <c r="E43" i="27"/>
  <c r="G43" i="27"/>
  <c r="I43" i="27"/>
  <c r="K43" i="27"/>
  <c r="M43" i="27"/>
  <c r="O43" i="27"/>
  <c r="Q43" i="27"/>
  <c r="S43" i="27"/>
  <c r="U43" i="27"/>
  <c r="C44" i="27"/>
  <c r="E44" i="27"/>
  <c r="G44" i="27"/>
  <c r="I44" i="27"/>
  <c r="K44" i="27"/>
  <c r="M44" i="27"/>
  <c r="O44" i="27"/>
  <c r="Q44" i="27"/>
  <c r="S44" i="27"/>
  <c r="U44" i="27"/>
  <c r="C45" i="27"/>
  <c r="E45" i="27"/>
  <c r="G45" i="27"/>
  <c r="I45" i="27"/>
  <c r="K45" i="27"/>
  <c r="M45" i="27"/>
  <c r="O45" i="27"/>
  <c r="Q45" i="27"/>
  <c r="S45" i="27"/>
  <c r="U45" i="27"/>
  <c r="C46" i="27"/>
  <c r="E46" i="27"/>
  <c r="G46" i="27"/>
  <c r="I46" i="27"/>
  <c r="K46" i="27"/>
  <c r="M46" i="27"/>
  <c r="O46" i="27"/>
  <c r="Q46" i="27"/>
  <c r="S46" i="27"/>
  <c r="U46" i="27"/>
  <c r="C47" i="27"/>
  <c r="E47" i="27"/>
  <c r="G47" i="27"/>
  <c r="I47" i="27"/>
  <c r="K47" i="27"/>
  <c r="M47" i="27"/>
  <c r="O47" i="27"/>
  <c r="Q47" i="27"/>
  <c r="S47" i="27"/>
  <c r="U47" i="27"/>
  <c r="C48" i="27"/>
  <c r="E48" i="27"/>
  <c r="G48" i="27"/>
  <c r="I48" i="27"/>
  <c r="K48" i="27"/>
  <c r="M48" i="27"/>
  <c r="O48" i="27"/>
  <c r="Q48" i="27"/>
  <c r="S48" i="27"/>
  <c r="U48" i="27"/>
  <c r="D4" i="28"/>
  <c r="D5" i="28"/>
  <c r="D6" i="28"/>
  <c r="D7" i="28"/>
  <c r="D8" i="28"/>
  <c r="D9" i="28"/>
  <c r="D30" i="28"/>
  <c r="E30" i="28" s="1"/>
  <c r="D31" i="28"/>
  <c r="E31" i="28" s="1"/>
  <c r="D32" i="28"/>
  <c r="E32" i="28" s="1"/>
  <c r="D33" i="28"/>
  <c r="E33" i="28" s="1"/>
  <c r="D34" i="28"/>
  <c r="E34" i="28" s="1"/>
  <c r="D4" i="29"/>
  <c r="D5" i="29"/>
  <c r="D6" i="29"/>
  <c r="D4" i="30"/>
  <c r="D5" i="30"/>
  <c r="D6" i="30"/>
  <c r="D7" i="30"/>
  <c r="D8" i="30"/>
  <c r="D9" i="30"/>
  <c r="D10" i="30"/>
  <c r="D11" i="30"/>
  <c r="D12" i="30"/>
  <c r="E4" i="31"/>
  <c r="E5" i="31"/>
  <c r="E6" i="31"/>
  <c r="E25" i="31"/>
  <c r="E41" i="31"/>
  <c r="E4" i="32"/>
  <c r="E5" i="32"/>
  <c r="E6" i="32"/>
  <c r="E7" i="32"/>
  <c r="E8" i="32"/>
  <c r="E9" i="32"/>
  <c r="E25" i="32"/>
  <c r="E26" i="32"/>
  <c r="E27" i="32"/>
  <c r="E28" i="32"/>
  <c r="E29" i="32"/>
  <c r="E30" i="32"/>
  <c r="F4" i="33"/>
  <c r="F5" i="33"/>
  <c r="F6" i="33"/>
  <c r="F8" i="33"/>
  <c r="F9" i="33"/>
  <c r="F10" i="33"/>
  <c r="F11" i="33"/>
  <c r="F28" i="33"/>
  <c r="F32" i="33"/>
  <c r="F33" i="33"/>
  <c r="F34" i="33"/>
  <c r="E12" i="34"/>
  <c r="B22" i="34" s="1"/>
  <c r="H12" i="34"/>
  <c r="B26" i="34" s="1"/>
  <c r="F4" i="35"/>
  <c r="F5" i="35"/>
  <c r="F6" i="35"/>
  <c r="F7" i="35"/>
  <c r="F8" i="35"/>
  <c r="D9" i="35"/>
  <c r="F9" i="35" s="1"/>
  <c r="F10" i="35"/>
  <c r="F11" i="35"/>
  <c r="D12" i="35"/>
  <c r="F12" i="35" s="1"/>
  <c r="D33" i="35"/>
  <c r="E33" i="35"/>
  <c r="F33" i="35"/>
  <c r="F4" i="36"/>
  <c r="F5" i="36"/>
  <c r="F6" i="36"/>
  <c r="F7" i="36"/>
  <c r="F8" i="36"/>
  <c r="D9" i="36"/>
  <c r="F9" i="36" s="1"/>
  <c r="F10" i="36"/>
  <c r="F11" i="36"/>
  <c r="D12" i="36"/>
  <c r="F12" i="36"/>
  <c r="I35" i="36"/>
  <c r="I36" i="36"/>
  <c r="I37" i="36"/>
  <c r="I38" i="36"/>
  <c r="I39" i="36"/>
  <c r="D43" i="36"/>
  <c r="E43" i="36"/>
  <c r="F43" i="36"/>
  <c r="G43" i="36"/>
  <c r="E4" i="37"/>
  <c r="E43" i="37"/>
  <c r="E45" i="37"/>
  <c r="E47" i="37"/>
  <c r="F14" i="38"/>
  <c r="F15" i="38"/>
  <c r="F16" i="38"/>
  <c r="F18" i="38"/>
  <c r="F4" i="39"/>
  <c r="F5" i="39"/>
  <c r="F6" i="39"/>
  <c r="F4" i="40"/>
  <c r="F5" i="40"/>
  <c r="F6" i="40"/>
  <c r="F7" i="40"/>
  <c r="F8" i="40"/>
  <c r="F9" i="40"/>
  <c r="D36" i="40"/>
  <c r="D37" i="40"/>
  <c r="D38" i="40"/>
  <c r="C41" i="40"/>
  <c r="D4" i="41"/>
  <c r="D5" i="41"/>
  <c r="D6" i="41"/>
  <c r="D7" i="41"/>
  <c r="F29" i="41"/>
  <c r="F30" i="41"/>
  <c r="F31" i="41"/>
  <c r="F32" i="41"/>
  <c r="I4" i="42"/>
  <c r="I5" i="42"/>
  <c r="I6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D26" i="42"/>
  <c r="E26" i="42"/>
  <c r="D52" i="42"/>
  <c r="E52" i="42"/>
  <c r="E56" i="42"/>
  <c r="D63" i="42"/>
  <c r="E63" i="42"/>
  <c r="D70" i="42"/>
  <c r="E70" i="42"/>
  <c r="D4" i="43"/>
  <c r="C5" i="43"/>
  <c r="D5" i="43" s="1"/>
  <c r="C6" i="43"/>
  <c r="D6" i="43" s="1"/>
  <c r="F22" i="43"/>
  <c r="E4" i="44"/>
  <c r="E5" i="44"/>
  <c r="E6" i="44"/>
  <c r="E7" i="44"/>
  <c r="E8" i="45"/>
  <c r="E9" i="45"/>
  <c r="E10" i="45"/>
  <c r="E11" i="45"/>
  <c r="E12" i="45"/>
  <c r="E52" i="45"/>
  <c r="G52" i="45" s="1"/>
  <c r="E53" i="45"/>
  <c r="E54" i="45"/>
  <c r="E55" i="45"/>
  <c r="E56" i="45"/>
  <c r="E71" i="45"/>
  <c r="E72" i="45"/>
  <c r="E73" i="45"/>
  <c r="E74" i="45"/>
  <c r="E75" i="45"/>
  <c r="E88" i="45"/>
  <c r="G88" i="45" s="1"/>
  <c r="E89" i="45"/>
  <c r="E90" i="45"/>
  <c r="E91" i="45"/>
  <c r="E92" i="45"/>
  <c r="G114" i="45"/>
  <c r="F121" i="45" s="1"/>
  <c r="F122" i="45" s="1"/>
  <c r="F123" i="45" s="1"/>
  <c r="E121" i="45"/>
  <c r="H122" i="45" s="1"/>
  <c r="E122" i="45"/>
  <c r="E123" i="45"/>
  <c r="E124" i="45"/>
  <c r="E125" i="45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D26" i="46"/>
  <c r="E26" i="46"/>
  <c r="E53" i="46"/>
  <c r="E57" i="46"/>
  <c r="E64" i="46"/>
  <c r="E71" i="46"/>
  <c r="I4" i="47"/>
  <c r="I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D26" i="47"/>
  <c r="E26" i="47"/>
  <c r="E53" i="47"/>
  <c r="E57" i="47"/>
  <c r="E64" i="47"/>
  <c r="E72" i="47"/>
  <c r="D4" i="48"/>
  <c r="D5" i="48"/>
  <c r="D6" i="48"/>
  <c r="D7" i="48"/>
  <c r="D8" i="48"/>
  <c r="D9" i="48"/>
  <c r="D10" i="48"/>
  <c r="D11" i="48"/>
  <c r="D12" i="48"/>
  <c r="D13" i="48"/>
  <c r="D14" i="48"/>
  <c r="E17" i="48"/>
  <c r="E18" i="48"/>
  <c r="E19" i="48"/>
  <c r="E20" i="48"/>
  <c r="E21" i="48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E23" i="49"/>
  <c r="E24" i="49"/>
  <c r="E25" i="49"/>
  <c r="E26" i="49"/>
  <c r="E27" i="49"/>
  <c r="E4" i="50"/>
  <c r="E5" i="50"/>
  <c r="E6" i="50"/>
  <c r="E7" i="50"/>
  <c r="E8" i="50"/>
  <c r="E9" i="50"/>
  <c r="E10" i="50"/>
  <c r="E30" i="50"/>
  <c r="E31" i="50"/>
  <c r="E32" i="50"/>
  <c r="E33" i="50"/>
  <c r="E34" i="50"/>
  <c r="E35" i="50"/>
  <c r="E36" i="50"/>
  <c r="I4" i="51"/>
  <c r="I5" i="51"/>
  <c r="I6" i="51"/>
  <c r="I7" i="51"/>
  <c r="I8" i="51"/>
  <c r="I9" i="51"/>
  <c r="I10" i="51"/>
  <c r="I11" i="51"/>
  <c r="I12" i="51"/>
  <c r="I13" i="51"/>
  <c r="I14" i="51"/>
  <c r="I15" i="51"/>
  <c r="I16" i="51"/>
  <c r="I17" i="51"/>
  <c r="I18" i="51"/>
  <c r="I19" i="51"/>
  <c r="F26" i="51"/>
  <c r="F55" i="51"/>
  <c r="F66" i="51"/>
  <c r="F77" i="51"/>
  <c r="F88" i="51"/>
  <c r="F90" i="51" s="1"/>
  <c r="I4" i="52"/>
  <c r="I5" i="52"/>
  <c r="I6" i="52"/>
  <c r="I7" i="52"/>
  <c r="I8" i="52"/>
  <c r="I9" i="52"/>
  <c r="I10" i="52"/>
  <c r="I11" i="52"/>
  <c r="I12" i="52"/>
  <c r="I13" i="52"/>
  <c r="I14" i="52"/>
  <c r="I15" i="52"/>
  <c r="E70" i="52" s="1"/>
  <c r="I16" i="52"/>
  <c r="I17" i="52"/>
  <c r="I18" i="52"/>
  <c r="I19" i="52"/>
  <c r="D26" i="52"/>
  <c r="E63" i="52"/>
  <c r="I4" i="53"/>
  <c r="I5" i="53"/>
  <c r="I6" i="53"/>
  <c r="I7" i="53"/>
  <c r="I8" i="53"/>
  <c r="E70" i="53" s="1"/>
  <c r="I9" i="53"/>
  <c r="I10" i="53"/>
  <c r="I11" i="53"/>
  <c r="I12" i="53"/>
  <c r="I13" i="53"/>
  <c r="I14" i="53"/>
  <c r="I15" i="53"/>
  <c r="I16" i="53"/>
  <c r="I17" i="53"/>
  <c r="I18" i="53"/>
  <c r="I19" i="53"/>
  <c r="D26" i="53"/>
  <c r="D4" i="54"/>
  <c r="D5" i="54"/>
  <c r="D6" i="54"/>
  <c r="D7" i="54"/>
  <c r="D8" i="54"/>
  <c r="D9" i="54"/>
  <c r="D10" i="54"/>
  <c r="D11" i="54"/>
  <c r="I4" i="55"/>
  <c r="I5" i="55"/>
  <c r="I6" i="55"/>
  <c r="I7" i="55"/>
  <c r="I8" i="55"/>
  <c r="I9" i="55"/>
  <c r="I10" i="55"/>
  <c r="I11" i="55"/>
  <c r="I12" i="55"/>
  <c r="I13" i="55"/>
  <c r="I14" i="55"/>
  <c r="I15" i="55"/>
  <c r="E26" i="55" s="1"/>
  <c r="I16" i="55"/>
  <c r="I17" i="55"/>
  <c r="I18" i="55"/>
  <c r="I19" i="55"/>
  <c r="D26" i="55"/>
  <c r="E63" i="55"/>
  <c r="E70" i="55"/>
  <c r="E4" i="57"/>
  <c r="E5" i="57"/>
  <c r="E6" i="57"/>
  <c r="E27" i="57"/>
  <c r="E28" i="57"/>
  <c r="E29" i="57"/>
  <c r="E30" i="57"/>
  <c r="E31" i="57"/>
  <c r="E32" i="57"/>
  <c r="E33" i="57"/>
  <c r="E42" i="57"/>
  <c r="E43" i="57"/>
  <c r="E44" i="57"/>
  <c r="E45" i="57"/>
  <c r="E46" i="57"/>
  <c r="E47" i="57"/>
  <c r="E48" i="57"/>
  <c r="E4" i="58"/>
  <c r="E5" i="58"/>
  <c r="E6" i="58"/>
  <c r="E4" i="59"/>
  <c r="F4" i="59" s="1"/>
  <c r="E5" i="59"/>
  <c r="F5" i="59" s="1"/>
  <c r="E6" i="59"/>
  <c r="F6" i="59" s="1"/>
  <c r="E7" i="59"/>
  <c r="F7" i="59" s="1"/>
  <c r="D4" i="60"/>
  <c r="D5" i="60"/>
  <c r="D6" i="60"/>
  <c r="D7" i="60"/>
  <c r="E28" i="60"/>
  <c r="E29" i="60"/>
  <c r="E30" i="60"/>
  <c r="E4" i="61"/>
  <c r="E5" i="61"/>
  <c r="E6" i="61"/>
  <c r="E29" i="61"/>
  <c r="D4" i="62"/>
  <c r="D5" i="62"/>
  <c r="D6" i="62"/>
  <c r="D7" i="62"/>
  <c r="D8" i="62"/>
  <c r="E4" i="63"/>
  <c r="E5" i="63"/>
  <c r="E6" i="63"/>
  <c r="E7" i="63"/>
  <c r="E8" i="63"/>
  <c r="E9" i="63"/>
  <c r="D4" i="64"/>
  <c r="D5" i="64"/>
  <c r="D6" i="64"/>
  <c r="D7" i="64"/>
  <c r="D8" i="64"/>
  <c r="D9" i="64"/>
  <c r="D10" i="64"/>
  <c r="D11" i="64"/>
  <c r="D12" i="64"/>
  <c r="D13" i="64"/>
  <c r="D14" i="64"/>
  <c r="D4" i="65"/>
  <c r="D5" i="65"/>
  <c r="D6" i="65"/>
  <c r="D7" i="65"/>
  <c r="D8" i="65"/>
  <c r="D9" i="65"/>
  <c r="E27" i="65"/>
  <c r="F27" i="65" s="1"/>
  <c r="E28" i="65"/>
  <c r="F28" i="65" s="1"/>
  <c r="E29" i="65"/>
  <c r="F29" i="65" s="1"/>
  <c r="E12" i="66"/>
  <c r="E44" i="66"/>
  <c r="D9" i="67"/>
  <c r="F9" i="67" a="1"/>
  <c r="F9" i="67" s="1"/>
  <c r="D10" i="67"/>
  <c r="D11" i="67"/>
  <c r="I30" i="67" a="1"/>
  <c r="I30" i="67" s="1"/>
  <c r="D60" i="67" a="1"/>
  <c r="D60" i="67" s="1"/>
  <c r="E4" i="69"/>
  <c r="E5" i="69"/>
  <c r="E6" i="69"/>
  <c r="F9" i="69"/>
  <c r="F10" i="69"/>
  <c r="F11" i="69"/>
  <c r="E4" i="70"/>
  <c r="E5" i="70"/>
  <c r="E6" i="70"/>
  <c r="E7" i="70"/>
  <c r="E8" i="70"/>
  <c r="E9" i="70"/>
  <c r="E10" i="70"/>
  <c r="F27" i="70"/>
  <c r="F28" i="70"/>
  <c r="F29" i="70"/>
  <c r="F30" i="70"/>
  <c r="F31" i="70"/>
  <c r="D4" i="71"/>
  <c r="D5" i="71"/>
  <c r="D6" i="71"/>
  <c r="D7" i="71"/>
  <c r="D8" i="71"/>
  <c r="D9" i="71"/>
  <c r="D10" i="71"/>
  <c r="D11" i="71"/>
  <c r="D12" i="71"/>
  <c r="D13" i="71"/>
  <c r="D14" i="71"/>
  <c r="C31" i="71"/>
  <c r="F13" i="72"/>
  <c r="F57" i="72"/>
  <c r="D72" i="72"/>
  <c r="D73" i="72"/>
  <c r="D74" i="72"/>
  <c r="D75" i="72"/>
  <c r="D76" i="72"/>
  <c r="D77" i="72"/>
  <c r="D78" i="72"/>
  <c r="D79" i="72"/>
  <c r="E122" i="72"/>
  <c r="F122" i="72"/>
  <c r="G122" i="72" s="1"/>
  <c r="E123" i="72"/>
  <c r="F123" i="72"/>
  <c r="E124" i="72"/>
  <c r="F124" i="72"/>
  <c r="G124" i="72" s="1"/>
  <c r="E125" i="72"/>
  <c r="G125" i="72" s="1"/>
  <c r="F125" i="72"/>
  <c r="E126" i="72"/>
  <c r="F126" i="72"/>
  <c r="E127" i="72"/>
  <c r="G127" i="72" s="1"/>
  <c r="F127" i="72"/>
  <c r="H5" i="170"/>
  <c r="K1" i="171"/>
  <c r="D4" i="73"/>
  <c r="D5" i="73"/>
  <c r="E4" i="74"/>
  <c r="E5" i="74"/>
  <c r="E6" i="74"/>
  <c r="E31" i="74"/>
  <c r="E32" i="74"/>
  <c r="E33" i="74"/>
  <c r="E43" i="74"/>
  <c r="E44" i="74"/>
  <c r="E45" i="74"/>
  <c r="E58" i="74"/>
  <c r="F58" i="74" s="1"/>
  <c r="E59" i="74"/>
  <c r="F59" i="74" s="1"/>
  <c r="E60" i="74"/>
  <c r="F60" i="74" s="1"/>
  <c r="E61" i="74"/>
  <c r="F61" i="74" s="1"/>
  <c r="G14" i="75"/>
  <c r="D37" i="75"/>
  <c r="H37" i="75"/>
  <c r="F53" i="75"/>
  <c r="F80" i="75"/>
  <c r="F104" i="75"/>
  <c r="F35" i="76"/>
  <c r="B37" i="76"/>
  <c r="F47" i="76"/>
  <c r="B50" i="76"/>
  <c r="C4" i="77"/>
  <c r="C5" i="77"/>
  <c r="C6" i="77"/>
  <c r="C7" i="77"/>
  <c r="C8" i="77"/>
  <c r="C9" i="77"/>
  <c r="C10" i="77"/>
  <c r="C11" i="77"/>
  <c r="C12" i="77"/>
  <c r="C13" i="77"/>
  <c r="D4" i="78"/>
  <c r="D5" i="78"/>
  <c r="D6" i="78"/>
  <c r="D7" i="78"/>
  <c r="E27" i="78"/>
  <c r="E28" i="78"/>
  <c r="E29" i="78"/>
  <c r="E30" i="78"/>
  <c r="E38" i="78"/>
  <c r="E39" i="78"/>
  <c r="E40" i="78"/>
  <c r="E41" i="78"/>
  <c r="E49" i="78"/>
  <c r="E50" i="78"/>
  <c r="E51" i="78"/>
  <c r="E52" i="78"/>
  <c r="D4" i="79"/>
  <c r="D5" i="79"/>
  <c r="D6" i="79"/>
  <c r="D7" i="79"/>
  <c r="G32" i="79"/>
  <c r="G40" i="79" s="1"/>
  <c r="H32" i="79"/>
  <c r="G33" i="79"/>
  <c r="H33" i="79"/>
  <c r="G34" i="79"/>
  <c r="H34" i="79"/>
  <c r="G35" i="79"/>
  <c r="H35" i="79"/>
  <c r="G36" i="79"/>
  <c r="H36" i="79"/>
  <c r="D4" i="80"/>
  <c r="E4" i="80" s="1"/>
  <c r="D5" i="80"/>
  <c r="E5" i="80" s="1"/>
  <c r="D6" i="80"/>
  <c r="E6" i="80" s="1"/>
  <c r="D7" i="80"/>
  <c r="E7" i="80" s="1"/>
  <c r="D8" i="80"/>
  <c r="E8" i="80"/>
  <c r="D9" i="80"/>
  <c r="E9" i="80" s="1"/>
  <c r="E10" i="80"/>
  <c r="E34" i="80"/>
  <c r="E42" i="80"/>
  <c r="D4" i="81"/>
  <c r="E4" i="81" s="1"/>
  <c r="D5" i="81"/>
  <c r="E5" i="81" s="1"/>
  <c r="D6" i="81"/>
  <c r="E6" i="81" s="1"/>
  <c r="D7" i="81"/>
  <c r="E7" i="81" s="1"/>
  <c r="D8" i="81"/>
  <c r="E8" i="81" s="1"/>
  <c r="D9" i="81"/>
  <c r="E9" i="81" s="1"/>
  <c r="E10" i="81"/>
  <c r="D32" i="81"/>
  <c r="D41" i="81"/>
  <c r="D4" i="82"/>
  <c r="D5" i="82"/>
  <c r="D6" i="82"/>
  <c r="D7" i="82"/>
  <c r="D8" i="82"/>
  <c r="D9" i="82"/>
  <c r="D10" i="82"/>
  <c r="D11" i="82"/>
  <c r="D12" i="82"/>
  <c r="D4" i="83"/>
  <c r="E4" i="83" s="1"/>
  <c r="D5" i="83"/>
  <c r="E5" i="83" s="1"/>
  <c r="E6" i="83"/>
  <c r="E7" i="83"/>
  <c r="E8" i="83"/>
  <c r="E9" i="83"/>
  <c r="D10" i="83"/>
  <c r="E10" i="83" s="1"/>
  <c r="D4" i="84"/>
  <c r="D5" i="84"/>
  <c r="D6" i="84"/>
  <c r="D7" i="84"/>
  <c r="C8" i="84"/>
  <c r="D8" i="84" s="1"/>
  <c r="D4" i="85"/>
  <c r="D5" i="85"/>
  <c r="D6" i="85"/>
  <c r="D7" i="85"/>
  <c r="D8" i="85"/>
  <c r="F30" i="85"/>
  <c r="F31" i="85"/>
  <c r="F32" i="85"/>
  <c r="F38" i="85"/>
  <c r="F39" i="85"/>
  <c r="F40" i="85"/>
  <c r="E4" i="86"/>
  <c r="E5" i="86"/>
  <c r="E6" i="86"/>
  <c r="D7" i="86"/>
  <c r="E7" i="86" s="1"/>
  <c r="E8" i="86"/>
  <c r="E36" i="86"/>
  <c r="D4" i="87"/>
  <c r="D5" i="87"/>
  <c r="D6" i="87"/>
  <c r="D7" i="87"/>
  <c r="D8" i="87"/>
  <c r="D9" i="87"/>
  <c r="D10" i="87"/>
  <c r="D11" i="87"/>
  <c r="D12" i="87"/>
  <c r="D3" i="88"/>
  <c r="D4" i="88"/>
  <c r="D5" i="88"/>
  <c r="D6" i="88"/>
  <c r="D7" i="88"/>
  <c r="D8" i="88"/>
  <c r="D9" i="88"/>
  <c r="E4" i="89"/>
  <c r="E5" i="89"/>
  <c r="E6" i="89"/>
  <c r="E7" i="89"/>
  <c r="E34" i="89"/>
  <c r="F3" i="90"/>
  <c r="F4" i="90"/>
  <c r="F5" i="90"/>
  <c r="F6" i="90"/>
  <c r="F7" i="90"/>
  <c r="E29" i="90"/>
  <c r="E30" i="90"/>
  <c r="E31" i="90"/>
  <c r="E37" i="90"/>
  <c r="E38" i="90"/>
  <c r="E4" i="91"/>
  <c r="E5" i="91"/>
  <c r="E6" i="91"/>
  <c r="E4" i="93"/>
  <c r="E5" i="93"/>
  <c r="E6" i="93"/>
  <c r="E7" i="93"/>
  <c r="E8" i="93"/>
  <c r="D27" i="93"/>
  <c r="D28" i="93"/>
  <c r="D29" i="93"/>
  <c r="D4" i="94"/>
  <c r="D5" i="94"/>
  <c r="D6" i="94"/>
  <c r="D7" i="94"/>
  <c r="D8" i="94"/>
  <c r="D24" i="94"/>
  <c r="D27" i="94"/>
  <c r="F14" i="95"/>
  <c r="C90" i="95"/>
  <c r="H90" i="95"/>
  <c r="F14" i="96"/>
  <c r="G42" i="96"/>
  <c r="D4" i="97"/>
  <c r="D5" i="97"/>
  <c r="D6" i="97"/>
  <c r="D7" i="97"/>
  <c r="D8" i="97"/>
  <c r="D11" i="98"/>
  <c r="E11" i="98"/>
  <c r="I11" i="98"/>
  <c r="C46" i="98"/>
  <c r="E46" i="98"/>
  <c r="G46" i="98"/>
  <c r="C63" i="98"/>
  <c r="E63" i="98"/>
  <c r="G63" i="98"/>
  <c r="C80" i="98"/>
  <c r="E80" i="98"/>
  <c r="G80" i="98"/>
  <c r="H95" i="98"/>
  <c r="H111" i="98"/>
  <c r="H112" i="98"/>
  <c r="H113" i="98"/>
  <c r="H114" i="98"/>
  <c r="H4" i="99"/>
  <c r="H7" i="99"/>
  <c r="G23" i="99"/>
  <c r="G24" i="99"/>
  <c r="G25" i="99"/>
  <c r="G26" i="99"/>
  <c r="C28" i="99"/>
  <c r="D28" i="99"/>
  <c r="E28" i="99"/>
  <c r="C30" i="99"/>
  <c r="H4" i="100"/>
  <c r="H6" i="100"/>
  <c r="H8" i="100"/>
  <c r="H11" i="100"/>
  <c r="H13" i="100"/>
  <c r="F4" i="101"/>
  <c r="F5" i="101"/>
  <c r="F6" i="101"/>
  <c r="D8" i="101"/>
  <c r="D9" i="101"/>
  <c r="D10" i="101"/>
  <c r="D12" i="101"/>
  <c r="D13" i="101"/>
  <c r="D14" i="101"/>
  <c r="D35" i="101"/>
  <c r="D36" i="101"/>
  <c r="D37" i="101"/>
  <c r="D46" i="101"/>
  <c r="D47" i="101"/>
  <c r="D48" i="101"/>
  <c r="D49" i="101"/>
  <c r="D50" i="101"/>
  <c r="H4" i="102"/>
  <c r="H7" i="102"/>
  <c r="G23" i="102"/>
  <c r="G24" i="102"/>
  <c r="G25" i="102"/>
  <c r="G26" i="102"/>
  <c r="C28" i="102"/>
  <c r="D28" i="102"/>
  <c r="E28" i="102"/>
  <c r="C30" i="102"/>
  <c r="C4" i="103"/>
  <c r="D4" i="103" s="1"/>
  <c r="D5" i="103"/>
  <c r="D6" i="103"/>
  <c r="D7" i="103"/>
  <c r="D8" i="103"/>
  <c r="D27" i="103"/>
  <c r="D28" i="103"/>
  <c r="D29" i="103"/>
  <c r="F40" i="103"/>
  <c r="F42" i="103"/>
  <c r="F44" i="103"/>
  <c r="F51" i="103"/>
  <c r="F53" i="103"/>
  <c r="F55" i="103"/>
  <c r="C36" i="105" a="1"/>
  <c r="C36" i="105" s="1"/>
  <c r="D76" i="105" a="1"/>
  <c r="D76" i="105" s="1"/>
  <c r="E4" i="106"/>
  <c r="E5" i="106"/>
  <c r="E6" i="106"/>
  <c r="E7" i="106"/>
  <c r="E8" i="106"/>
  <c r="H4" i="107"/>
  <c r="H6" i="107"/>
  <c r="H8" i="107"/>
  <c r="H9" i="107"/>
  <c r="H10" i="107"/>
  <c r="H12" i="107"/>
  <c r="I33" i="107"/>
  <c r="H37" i="107"/>
  <c r="H40" i="107"/>
  <c r="H43" i="107"/>
  <c r="I55" i="107"/>
  <c r="D4" i="108"/>
  <c r="D5" i="108"/>
  <c r="F21" i="108"/>
  <c r="E4" i="109"/>
  <c r="E5" i="109"/>
  <c r="E6" i="109"/>
  <c r="E7" i="109"/>
  <c r="E8" i="109"/>
  <c r="D4" i="110"/>
  <c r="D5" i="110"/>
  <c r="D6" i="110"/>
  <c r="D7" i="110"/>
  <c r="D8" i="110"/>
  <c r="D9" i="110"/>
  <c r="D10" i="110"/>
  <c r="D11" i="110"/>
  <c r="D12" i="110"/>
  <c r="D3" i="111"/>
  <c r="D6" i="111"/>
  <c r="D7" i="111"/>
  <c r="D8" i="111"/>
  <c r="D12" i="111"/>
  <c r="D15" i="111" s="1"/>
  <c r="D13" i="111"/>
  <c r="E39" i="111"/>
  <c r="E40" i="111"/>
  <c r="E41" i="111"/>
  <c r="E49" i="111"/>
  <c r="D50" i="111"/>
  <c r="E50" i="111" s="1"/>
  <c r="E51" i="111"/>
  <c r="E4" i="112"/>
  <c r="E5" i="112"/>
  <c r="E6" i="112"/>
  <c r="D28" i="112"/>
  <c r="D29" i="112"/>
  <c r="D30" i="112"/>
  <c r="E4" i="114"/>
  <c r="E5" i="114"/>
  <c r="E6" i="114"/>
  <c r="E7" i="114"/>
  <c r="E8" i="114"/>
  <c r="E9" i="114"/>
  <c r="E33" i="114"/>
  <c r="E34" i="114"/>
  <c r="E35" i="114"/>
  <c r="C4" i="115"/>
  <c r="C5" i="115"/>
  <c r="D4" i="116"/>
  <c r="D5" i="116"/>
  <c r="D6" i="116"/>
  <c r="D7" i="116"/>
  <c r="D8" i="116"/>
  <c r="D9" i="116"/>
  <c r="F4" i="117"/>
  <c r="F5" i="117"/>
  <c r="F6" i="117"/>
  <c r="F7" i="117"/>
  <c r="F27" i="117"/>
  <c r="F28" i="117"/>
  <c r="F29" i="117"/>
  <c r="F30" i="117"/>
  <c r="E4" i="120"/>
  <c r="E5" i="120"/>
  <c r="E6" i="120"/>
  <c r="E7" i="120"/>
  <c r="D26" i="120"/>
  <c r="D4" i="121"/>
  <c r="D21" i="121"/>
  <c r="D22" i="121"/>
  <c r="E4" i="122"/>
  <c r="E5" i="122"/>
  <c r="E6" i="122"/>
  <c r="E7" i="122"/>
  <c r="D24" i="122"/>
  <c r="D25" i="122"/>
  <c r="E4" i="123"/>
  <c r="E5" i="123"/>
  <c r="E6" i="123"/>
  <c r="E7" i="123"/>
  <c r="D4" i="124"/>
  <c r="D5" i="124"/>
  <c r="D6" i="124"/>
  <c r="D7" i="124"/>
  <c r="D8" i="124"/>
  <c r="F4" i="125"/>
  <c r="F5" i="125"/>
  <c r="F6" i="125"/>
  <c r="F7" i="125"/>
  <c r="F8" i="125"/>
  <c r="I12" i="125"/>
  <c r="I13" i="125"/>
  <c r="I14" i="125"/>
  <c r="I15" i="125"/>
  <c r="I16" i="125"/>
  <c r="E4" i="126"/>
  <c r="E5" i="126"/>
  <c r="E6" i="126"/>
  <c r="F28" i="126"/>
  <c r="F29" i="126"/>
  <c r="F30" i="126"/>
  <c r="F31" i="126"/>
  <c r="F39" i="126"/>
  <c r="F40" i="126"/>
  <c r="F41" i="126"/>
  <c r="F42" i="126"/>
  <c r="G4" i="127"/>
  <c r="G7" i="127"/>
  <c r="G10" i="127"/>
  <c r="D33" i="127"/>
  <c r="G33" i="127"/>
  <c r="D34" i="127"/>
  <c r="G34" i="127"/>
  <c r="D35" i="127"/>
  <c r="G35" i="127"/>
  <c r="D36" i="127"/>
  <c r="G36" i="127"/>
  <c r="D37" i="127"/>
  <c r="G37" i="127"/>
  <c r="D38" i="127"/>
  <c r="G38" i="127"/>
  <c r="D39" i="127"/>
  <c r="G39" i="127"/>
  <c r="D40" i="127"/>
  <c r="G40" i="127"/>
  <c r="D41" i="127"/>
  <c r="G41" i="127"/>
  <c r="D42" i="127"/>
  <c r="G42" i="127"/>
  <c r="D43" i="127"/>
  <c r="G43" i="127"/>
  <c r="D44" i="127"/>
  <c r="G44" i="127"/>
  <c r="D45" i="127"/>
  <c r="G45" i="127"/>
  <c r="D46" i="127"/>
  <c r="G46" i="127"/>
  <c r="D47" i="127"/>
  <c r="G47" i="127"/>
  <c r="D48" i="127"/>
  <c r="G48" i="127"/>
  <c r="D49" i="127"/>
  <c r="G49" i="127"/>
  <c r="D50" i="127"/>
  <c r="G50" i="127"/>
  <c r="D51" i="127"/>
  <c r="G51" i="127"/>
  <c r="D52" i="127"/>
  <c r="G52" i="127"/>
  <c r="D53" i="127"/>
  <c r="G53" i="127"/>
  <c r="D54" i="127"/>
  <c r="G54" i="127"/>
  <c r="D55" i="127"/>
  <c r="G55" i="127"/>
  <c r="D56" i="127"/>
  <c r="G56" i="127"/>
  <c r="D57" i="127"/>
  <c r="G57" i="127"/>
  <c r="D58" i="127"/>
  <c r="G58" i="127"/>
  <c r="D59" i="127"/>
  <c r="G59" i="127"/>
  <c r="D60" i="127"/>
  <c r="G60" i="127"/>
  <c r="D61" i="127"/>
  <c r="G61" i="127"/>
  <c r="D62" i="127"/>
  <c r="G62" i="127"/>
  <c r="D63" i="127"/>
  <c r="G63" i="127"/>
  <c r="D64" i="127"/>
  <c r="G64" i="127"/>
  <c r="D65" i="127"/>
  <c r="G65" i="127"/>
  <c r="D66" i="127"/>
  <c r="G66" i="127"/>
  <c r="D67" i="127"/>
  <c r="G67" i="127"/>
  <c r="D68" i="127"/>
  <c r="G68" i="127"/>
  <c r="D69" i="127"/>
  <c r="G69" i="127"/>
  <c r="D70" i="127"/>
  <c r="G70" i="127"/>
  <c r="D71" i="127"/>
  <c r="G71" i="127"/>
  <c r="D72" i="127"/>
  <c r="G72" i="127"/>
  <c r="D73" i="127"/>
  <c r="G73" i="127"/>
  <c r="D74" i="127"/>
  <c r="G74" i="127"/>
  <c r="D75" i="127"/>
  <c r="G75" i="127"/>
  <c r="D76" i="127"/>
  <c r="G76" i="127"/>
  <c r="D77" i="127"/>
  <c r="G77" i="127"/>
  <c r="D78" i="127"/>
  <c r="G78" i="127"/>
  <c r="D79" i="127"/>
  <c r="G79" i="127"/>
  <c r="D80" i="127"/>
  <c r="G80" i="127"/>
  <c r="D81" i="127"/>
  <c r="G81" i="127"/>
  <c r="D82" i="127"/>
  <c r="D83" i="127"/>
  <c r="D84" i="127"/>
  <c r="E4" i="128"/>
  <c r="E5" i="128"/>
  <c r="E24" i="128"/>
  <c r="E25" i="128"/>
  <c r="E26" i="128"/>
  <c r="E27" i="128"/>
  <c r="E28" i="128"/>
  <c r="E29" i="128"/>
  <c r="E30" i="128"/>
  <c r="D4" i="129"/>
  <c r="D5" i="129"/>
  <c r="D6" i="129"/>
  <c r="D7" i="129"/>
  <c r="D8" i="129"/>
  <c r="D11" i="129"/>
  <c r="D12" i="129"/>
  <c r="D13" i="129"/>
  <c r="D14" i="129"/>
  <c r="D15" i="129"/>
  <c r="D18" i="129"/>
  <c r="D19" i="129"/>
  <c r="D20" i="129"/>
  <c r="D21" i="129"/>
  <c r="D22" i="129"/>
  <c r="C34" i="129"/>
  <c r="C35" i="129"/>
  <c r="C36" i="129"/>
  <c r="C37" i="129"/>
  <c r="D53" i="129"/>
  <c r="D54" i="129"/>
  <c r="D55" i="129"/>
  <c r="D56" i="129"/>
  <c r="D57" i="129"/>
  <c r="D58" i="129"/>
  <c r="G4" i="130"/>
  <c r="G5" i="130"/>
  <c r="G6" i="130"/>
  <c r="G7" i="130"/>
  <c r="E4" i="131"/>
  <c r="E5" i="131"/>
  <c r="E6" i="131"/>
  <c r="E7" i="131"/>
  <c r="E26" i="131"/>
  <c r="E27" i="131"/>
  <c r="E28" i="131"/>
  <c r="E29" i="131"/>
  <c r="D39" i="131"/>
  <c r="D40" i="131"/>
  <c r="D41" i="131"/>
  <c r="E4" i="132"/>
  <c r="E5" i="132"/>
  <c r="E6" i="132"/>
  <c r="E7" i="132"/>
  <c r="E8" i="132"/>
  <c r="D28" i="132"/>
  <c r="D29" i="132"/>
  <c r="D30" i="132"/>
  <c r="D4" i="133"/>
  <c r="D5" i="133"/>
  <c r="D6" i="133"/>
  <c r="D7" i="133"/>
  <c r="D8" i="133"/>
  <c r="D9" i="133"/>
  <c r="D10" i="133"/>
  <c r="D11" i="133"/>
  <c r="D12" i="133"/>
  <c r="D13" i="133"/>
  <c r="D14" i="133"/>
  <c r="D15" i="133"/>
  <c r="D16" i="133"/>
  <c r="E4" i="134"/>
  <c r="E5" i="134"/>
  <c r="E6" i="134"/>
  <c r="E7" i="134"/>
  <c r="E8" i="134"/>
  <c r="E9" i="134"/>
  <c r="E4" i="135"/>
  <c r="E5" i="135"/>
  <c r="E6" i="135"/>
  <c r="E7" i="135"/>
  <c r="E8" i="135"/>
  <c r="E9" i="135"/>
  <c r="E4" i="136"/>
  <c r="E5" i="136"/>
  <c r="E6" i="136"/>
  <c r="E7" i="136"/>
  <c r="E8" i="136"/>
  <c r="E9" i="136"/>
  <c r="C4" i="137"/>
  <c r="D4" i="137" s="1"/>
  <c r="D5" i="137"/>
  <c r="D6" i="137"/>
  <c r="D7" i="137"/>
  <c r="D8" i="137"/>
  <c r="D34" i="137"/>
  <c r="E34" i="137"/>
  <c r="D35" i="137"/>
  <c r="E35" i="137"/>
  <c r="D36" i="137"/>
  <c r="E36" i="137"/>
  <c r="F36" i="137" s="1"/>
  <c r="D4" i="138"/>
  <c r="D5" i="138"/>
  <c r="D6" i="138"/>
  <c r="D7" i="138"/>
  <c r="D8" i="138"/>
  <c r="F6" i="139"/>
  <c r="F12" i="139"/>
  <c r="F3" i="140"/>
  <c r="F4" i="140"/>
  <c r="F5" i="140"/>
  <c r="F6" i="140"/>
  <c r="F7" i="140"/>
  <c r="E29" i="140"/>
  <c r="E30" i="140"/>
  <c r="E31" i="140"/>
  <c r="E37" i="140"/>
  <c r="E38" i="140"/>
  <c r="C9" i="142"/>
  <c r="E9" i="142"/>
  <c r="G9" i="142"/>
  <c r="H34" i="142"/>
  <c r="H35" i="142"/>
  <c r="H36" i="142"/>
  <c r="C9" i="143"/>
  <c r="E9" i="143"/>
  <c r="G9" i="143"/>
  <c r="H32" i="143"/>
  <c r="H33" i="143"/>
  <c r="H34" i="143"/>
  <c r="E4" i="144"/>
  <c r="E5" i="144"/>
  <c r="E6" i="144"/>
  <c r="E7" i="144"/>
  <c r="F10" i="144"/>
  <c r="F11" i="144"/>
  <c r="E35" i="144"/>
  <c r="E36" i="144"/>
  <c r="E37" i="144"/>
  <c r="E38" i="144"/>
  <c r="E39" i="144"/>
  <c r="E46" i="144"/>
  <c r="E47" i="144"/>
  <c r="E48" i="144"/>
  <c r="E49" i="144"/>
  <c r="E50" i="144"/>
  <c r="F4" i="145"/>
  <c r="C10" i="145"/>
  <c r="F13" i="145"/>
  <c r="E20" i="145"/>
  <c r="E26" i="145"/>
  <c r="C51" i="145"/>
  <c r="E7" i="146"/>
  <c r="E8" i="146"/>
  <c r="E9" i="146"/>
  <c r="E10" i="146"/>
  <c r="E11" i="146"/>
  <c r="E12" i="146"/>
  <c r="E13" i="146"/>
  <c r="E14" i="146"/>
  <c r="E15" i="146"/>
  <c r="E16" i="146"/>
  <c r="E17" i="146"/>
  <c r="E18" i="146"/>
  <c r="E29" i="146"/>
  <c r="E30" i="146"/>
  <c r="E31" i="146"/>
  <c r="E32" i="146"/>
  <c r="E33" i="146"/>
  <c r="E34" i="146"/>
  <c r="E35" i="146"/>
  <c r="E36" i="146"/>
  <c r="E37" i="146"/>
  <c r="E38" i="146"/>
  <c r="E39" i="146"/>
  <c r="E40" i="146"/>
  <c r="C24" i="147"/>
  <c r="C29" i="147"/>
  <c r="C34" i="147"/>
  <c r="C45" i="147"/>
  <c r="C51" i="147"/>
  <c r="C57" i="147"/>
  <c r="C75" i="147"/>
  <c r="C77" i="147"/>
  <c r="C79" i="147"/>
  <c r="D90" i="147"/>
  <c r="D92" i="147"/>
  <c r="D95" i="147"/>
  <c r="D98" i="147"/>
  <c r="F14" i="148"/>
  <c r="F15" i="148"/>
  <c r="F16" i="148"/>
  <c r="F18" i="148"/>
  <c r="E8" i="149"/>
  <c r="F35" i="149"/>
  <c r="H35" i="149" s="1"/>
  <c r="F36" i="149"/>
  <c r="H36" i="149" s="1"/>
  <c r="F37" i="149"/>
  <c r="H37" i="149"/>
  <c r="F38" i="149"/>
  <c r="H38" i="149" s="1"/>
  <c r="F39" i="149"/>
  <c r="H39" i="149" s="1"/>
  <c r="E43" i="149"/>
  <c r="F7" i="150"/>
  <c r="F8" i="150"/>
  <c r="F9" i="150"/>
  <c r="F10" i="150"/>
  <c r="F11" i="150"/>
  <c r="F12" i="150"/>
  <c r="D30" i="150"/>
  <c r="E30" i="150"/>
  <c r="D31" i="150"/>
  <c r="E31" i="150" s="1"/>
  <c r="D32" i="150"/>
  <c r="E32" i="150" s="1"/>
  <c r="E43" i="150"/>
  <c r="H43" i="150" s="1"/>
  <c r="E44" i="150"/>
  <c r="H44" i="150" s="1"/>
  <c r="E45" i="150"/>
  <c r="H45" i="150" s="1"/>
  <c r="E62" i="150"/>
  <c r="H62" i="150" s="1"/>
  <c r="E63" i="150"/>
  <c r="H63" i="150" s="1"/>
  <c r="E64" i="150"/>
  <c r="H64" i="150" s="1"/>
  <c r="E65" i="150"/>
  <c r="H65" i="150" s="1"/>
  <c r="E75" i="150"/>
  <c r="H75" i="150" s="1"/>
  <c r="D76" i="150"/>
  <c r="D77" i="150" s="1"/>
  <c r="E77" i="150" s="1"/>
  <c r="E4" i="151"/>
  <c r="E5" i="151"/>
  <c r="E6" i="151"/>
  <c r="E7" i="151"/>
  <c r="D4" i="152"/>
  <c r="D5" i="152"/>
  <c r="D6" i="152"/>
  <c r="D7" i="152"/>
  <c r="D8" i="152"/>
  <c r="D9" i="152"/>
  <c r="F4" i="153"/>
  <c r="F5" i="153"/>
  <c r="F6" i="153"/>
  <c r="D4" i="154"/>
  <c r="D5" i="154"/>
  <c r="D6" i="154"/>
  <c r="C4" i="155"/>
  <c r="D20" i="155"/>
  <c r="D21" i="155"/>
  <c r="D28" i="155"/>
  <c r="D29" i="155"/>
  <c r="D36" i="155"/>
  <c r="D7" i="156"/>
  <c r="C9" i="156" s="1" a="1"/>
  <c r="E7" i="156"/>
  <c r="F5" i="157" a="1"/>
  <c r="F5" i="157" s="1"/>
  <c r="F41" i="157" a="1"/>
  <c r="F41" i="157" s="1"/>
  <c r="F46" i="157"/>
  <c r="D4" i="158"/>
  <c r="D5" i="158"/>
  <c r="D6" i="158"/>
  <c r="D7" i="158"/>
  <c r="E4" i="159"/>
  <c r="E5" i="159"/>
  <c r="E6" i="159"/>
  <c r="E7" i="159"/>
  <c r="E8" i="159"/>
  <c r="E9" i="159"/>
  <c r="E10" i="159"/>
  <c r="E11" i="159"/>
  <c r="D4" i="160"/>
  <c r="D5" i="160"/>
  <c r="D6" i="160"/>
  <c r="D7" i="160"/>
  <c r="D8" i="160"/>
  <c r="D4" i="161"/>
  <c r="D6" i="161"/>
  <c r="D7" i="161"/>
  <c r="D8" i="161"/>
  <c r="D9" i="161"/>
  <c r="D10" i="161"/>
  <c r="D11" i="161"/>
  <c r="D14" i="161"/>
  <c r="D15" i="161"/>
  <c r="D16" i="161"/>
  <c r="D17" i="161"/>
  <c r="D50" i="161"/>
  <c r="D51" i="161"/>
  <c r="D52" i="161"/>
  <c r="C9" i="162"/>
  <c r="E9" i="162"/>
  <c r="G9" i="162"/>
  <c r="H34" i="162"/>
  <c r="H35" i="162"/>
  <c r="H36" i="162"/>
  <c r="C9" i="163"/>
  <c r="E9" i="163"/>
  <c r="G9" i="163"/>
  <c r="H32" i="163"/>
  <c r="H33" i="163"/>
  <c r="H36" i="163" s="1"/>
  <c r="H34" i="163"/>
  <c r="G14" i="164"/>
  <c r="F59" i="164"/>
  <c r="D74" i="164"/>
  <c r="D75" i="164"/>
  <c r="D76" i="164"/>
  <c r="D77" i="164"/>
  <c r="D78" i="164"/>
  <c r="D79" i="164"/>
  <c r="D80" i="164"/>
  <c r="D81" i="164"/>
  <c r="E121" i="164"/>
  <c r="F121" i="164"/>
  <c r="E122" i="164"/>
  <c r="F122" i="164"/>
  <c r="E123" i="164"/>
  <c r="F123" i="164"/>
  <c r="E124" i="164"/>
  <c r="F124" i="164"/>
  <c r="E125" i="164"/>
  <c r="F125" i="164"/>
  <c r="E126" i="164"/>
  <c r="F126" i="164"/>
  <c r="D4" i="165"/>
  <c r="D5" i="165"/>
  <c r="D6" i="165"/>
  <c r="D7" i="165"/>
  <c r="D8" i="165"/>
  <c r="D34" i="165"/>
  <c r="E34" i="165"/>
  <c r="F4" i="166"/>
  <c r="F5" i="166"/>
  <c r="F24" i="166"/>
  <c r="F25" i="166"/>
  <c r="D4" i="167"/>
  <c r="E4" i="168"/>
  <c r="E5" i="168"/>
  <c r="E6" i="168"/>
  <c r="E32" i="168"/>
  <c r="E33" i="168"/>
  <c r="E34" i="168"/>
  <c r="D19" i="20"/>
  <c r="H11" i="76"/>
  <c r="D12" i="26"/>
  <c r="G35" i="76"/>
  <c r="D20" i="20"/>
  <c r="D18" i="20"/>
  <c r="D4" i="24"/>
  <c r="D17" i="20"/>
  <c r="G47" i="76"/>
  <c r="F10" i="157" l="1"/>
  <c r="F52" i="157"/>
  <c r="F8" i="157"/>
  <c r="E78" i="105"/>
  <c r="G123" i="72"/>
  <c r="F77" i="105"/>
  <c r="G54" i="45"/>
  <c r="E76" i="150"/>
  <c r="H76" i="150" s="1"/>
  <c r="F10" i="67"/>
  <c r="E52" i="53"/>
  <c r="E26" i="52"/>
  <c r="F44" i="157"/>
  <c r="H66" i="150"/>
  <c r="F79" i="105"/>
  <c r="D77" i="105"/>
  <c r="H40" i="79"/>
  <c r="E56" i="53"/>
  <c r="E63" i="53"/>
  <c r="H125" i="45"/>
  <c r="G90" i="45"/>
  <c r="A32" i="118"/>
  <c r="G125" i="164"/>
  <c r="G123" i="164"/>
  <c r="G121" i="164"/>
  <c r="F14" i="150"/>
  <c r="D79" i="105"/>
  <c r="E76" i="105"/>
  <c r="F33" i="70"/>
  <c r="D63" i="67"/>
  <c r="F11" i="67"/>
  <c r="G89" i="45"/>
  <c r="E14" i="45"/>
  <c r="F48" i="157"/>
  <c r="D61" i="67"/>
  <c r="E26" i="53"/>
  <c r="E52" i="52"/>
  <c r="E52" i="8"/>
  <c r="H38" i="142"/>
  <c r="F35" i="137"/>
  <c r="E52" i="55"/>
  <c r="G91" i="45"/>
  <c r="G53" i="45"/>
  <c r="E59" i="8"/>
  <c r="E33" i="128" a="1"/>
  <c r="E33" i="128" s="1"/>
  <c r="C9" i="156"/>
  <c r="E10" i="156"/>
  <c r="C10" i="156"/>
  <c r="F11" i="156"/>
  <c r="D9" i="156"/>
  <c r="G10" i="156"/>
  <c r="F9" i="156"/>
  <c r="D11" i="156"/>
  <c r="E44" i="149"/>
  <c r="E46" i="149" s="1"/>
  <c r="E59" i="45"/>
  <c r="H36" i="143"/>
  <c r="E37" i="50"/>
  <c r="G126" i="164"/>
  <c r="G124" i="164"/>
  <c r="G122" i="164"/>
  <c r="H38" i="163"/>
  <c r="F50" i="157"/>
  <c r="F42" i="157"/>
  <c r="F6" i="157"/>
  <c r="E66" i="150"/>
  <c r="H38" i="143"/>
  <c r="F34" i="137"/>
  <c r="E56" i="55"/>
  <c r="E56" i="52"/>
  <c r="H123" i="45"/>
  <c r="H121" i="45"/>
  <c r="E95" i="45"/>
  <c r="G56" i="45"/>
  <c r="H78" i="11"/>
  <c r="F86" i="11" s="1"/>
  <c r="F95" i="11" s="1"/>
  <c r="H40" i="162"/>
  <c r="H40" i="142"/>
  <c r="H38" i="162"/>
  <c r="D36" i="105"/>
  <c r="G126" i="72"/>
  <c r="I31" i="67"/>
  <c r="G92" i="45"/>
  <c r="G55" i="45"/>
  <c r="G16" i="18"/>
  <c r="H77" i="150"/>
  <c r="F124" i="45"/>
  <c r="F125" i="45" s="1"/>
  <c r="H29" i="118"/>
  <c r="F9" i="157"/>
  <c r="F7" i="157"/>
  <c r="G11" i="156"/>
  <c r="E11" i="156"/>
  <c r="C11" i="156"/>
  <c r="F10" i="156"/>
  <c r="D10" i="156"/>
  <c r="G9" i="156"/>
  <c r="E9" i="156"/>
  <c r="D78" i="150"/>
  <c r="E79" i="105"/>
  <c r="F78" i="105"/>
  <c r="D78" i="105"/>
  <c r="E77" i="105"/>
  <c r="F76" i="105"/>
  <c r="E36" i="105"/>
  <c r="E127" i="45"/>
  <c r="H124" i="45"/>
  <c r="F82" i="11"/>
  <c r="F91" i="11" s="1"/>
  <c r="B32" i="118"/>
  <c r="B31" i="118"/>
  <c r="B30" i="118"/>
  <c r="F51" i="157"/>
  <c r="F49" i="157"/>
  <c r="F47" i="157"/>
  <c r="F45" i="157"/>
  <c r="F43" i="157"/>
  <c r="D64" i="67"/>
  <c r="D62" i="67"/>
  <c r="I32" i="67"/>
  <c r="D83" i="11" l="1"/>
  <c r="D92" i="11" s="1"/>
  <c r="E32" i="118"/>
  <c r="F32" i="118" s="1"/>
  <c r="A33" i="118"/>
  <c r="F127" i="45"/>
  <c r="F129" i="45" s="1"/>
  <c r="D82" i="11"/>
  <c r="D91" i="11" s="1"/>
  <c r="E83" i="11"/>
  <c r="E92" i="11" s="1"/>
  <c r="E84" i="11"/>
  <c r="E93" i="11" s="1"/>
  <c r="E85" i="11"/>
  <c r="E94" i="11" s="1"/>
  <c r="G82" i="11"/>
  <c r="G91" i="11" s="1"/>
  <c r="D85" i="11"/>
  <c r="D94" i="11" s="1"/>
  <c r="D86" i="11"/>
  <c r="D95" i="11" s="1"/>
  <c r="F83" i="11"/>
  <c r="F92" i="11" s="1"/>
  <c r="F84" i="11"/>
  <c r="F93" i="11" s="1"/>
  <c r="F85" i="11"/>
  <c r="F94" i="11" s="1"/>
  <c r="D84" i="11"/>
  <c r="D93" i="11" s="1"/>
  <c r="E82" i="11"/>
  <c r="E91" i="11" s="1"/>
  <c r="G83" i="11"/>
  <c r="G92" i="11" s="1"/>
  <c r="G84" i="11"/>
  <c r="G93" i="11" s="1"/>
  <c r="G85" i="11"/>
  <c r="G94" i="11" s="1"/>
  <c r="G86" i="11"/>
  <c r="G95" i="11" s="1"/>
  <c r="E86" i="11"/>
  <c r="E95" i="11" s="1"/>
  <c r="G30" i="118"/>
  <c r="C30" i="118"/>
  <c r="D30" i="118" s="1"/>
  <c r="G32" i="118"/>
  <c r="C32" i="118"/>
  <c r="D32" i="118" s="1"/>
  <c r="G31" i="118"/>
  <c r="C31" i="118"/>
  <c r="D31" i="118" s="1"/>
  <c r="E78" i="150"/>
  <c r="H78" i="150" s="1"/>
  <c r="D79" i="150"/>
  <c r="H95" i="11" l="1"/>
  <c r="E33" i="118"/>
  <c r="F33" i="118" s="1"/>
  <c r="B33" i="118"/>
  <c r="A34" i="118"/>
  <c r="E79" i="150"/>
  <c r="H79" i="150" s="1"/>
  <c r="D80" i="150"/>
  <c r="H31" i="118"/>
  <c r="H32" i="118"/>
  <c r="H30" i="118"/>
  <c r="A35" i="118" l="1"/>
  <c r="E34" i="118"/>
  <c r="F34" i="118" s="1"/>
  <c r="B34" i="118"/>
  <c r="G33" i="118"/>
  <c r="C33" i="118"/>
  <c r="D33" i="118" s="1"/>
  <c r="E80" i="150"/>
  <c r="H80" i="150" s="1"/>
  <c r="D81" i="150"/>
  <c r="H33" i="118" l="1"/>
  <c r="G34" i="118"/>
  <c r="C34" i="118"/>
  <c r="D34" i="118" s="1"/>
  <c r="A36" i="118"/>
  <c r="B35" i="118"/>
  <c r="E35" i="118"/>
  <c r="F35" i="118" s="1"/>
  <c r="E81" i="150"/>
  <c r="H81" i="150" s="1"/>
  <c r="D82" i="150"/>
  <c r="H34" i="118" l="1"/>
  <c r="A37" i="118"/>
  <c r="B36" i="118"/>
  <c r="E36" i="118"/>
  <c r="F36" i="118" s="1"/>
  <c r="C35" i="118"/>
  <c r="D35" i="118" s="1"/>
  <c r="G35" i="118"/>
  <c r="E82" i="150"/>
  <c r="D83" i="150"/>
  <c r="H82" i="150"/>
  <c r="H35" i="118" l="1"/>
  <c r="E37" i="118"/>
  <c r="F37" i="118" s="1"/>
  <c r="A38" i="118"/>
  <c r="B37" i="118"/>
  <c r="C36" i="118"/>
  <c r="D36" i="118" s="1"/>
  <c r="G36" i="118"/>
  <c r="H83" i="150"/>
  <c r="E83" i="150"/>
  <c r="D84" i="150"/>
  <c r="H36" i="118" l="1"/>
  <c r="C37" i="118"/>
  <c r="D37" i="118" s="1"/>
  <c r="G37" i="118"/>
  <c r="H37" i="118" s="1"/>
  <c r="E38" i="118"/>
  <c r="F38" i="118" s="1"/>
  <c r="A39" i="118"/>
  <c r="B38" i="118"/>
  <c r="E84" i="150"/>
  <c r="E85" i="150" s="1"/>
  <c r="H84" i="150"/>
  <c r="H85" i="150" s="1"/>
  <c r="A40" i="118" l="1"/>
  <c r="B39" i="118"/>
  <c r="E39" i="118"/>
  <c r="F39" i="118" s="1"/>
  <c r="G38" i="118"/>
  <c r="C38" i="118"/>
  <c r="D38" i="118" s="1"/>
  <c r="E40" i="118" l="1"/>
  <c r="F40" i="118" s="1"/>
  <c r="A41" i="118"/>
  <c r="B40" i="118"/>
  <c r="H38" i="118"/>
  <c r="C39" i="118"/>
  <c r="D39" i="118" s="1"/>
  <c r="G39" i="118"/>
  <c r="G40" i="118" l="1"/>
  <c r="C40" i="118"/>
  <c r="D40" i="118" s="1"/>
  <c r="H40" i="118" s="1"/>
  <c r="H39" i="118"/>
  <c r="A42" i="118"/>
  <c r="B41" i="118"/>
  <c r="E41" i="118"/>
  <c r="F41" i="118" s="1"/>
  <c r="A43" i="118" l="1"/>
  <c r="B42" i="118"/>
  <c r="E42" i="118"/>
  <c r="F42" i="118" s="1"/>
  <c r="G41" i="118"/>
  <c r="C41" i="118"/>
  <c r="D41" i="118" s="1"/>
  <c r="E43" i="118" l="1"/>
  <c r="F43" i="118" s="1"/>
  <c r="B43" i="118"/>
  <c r="A44" i="118"/>
  <c r="H41" i="118"/>
  <c r="G42" i="118"/>
  <c r="H42" i="118" s="1"/>
  <c r="C42" i="118"/>
  <c r="D42" i="118" s="1"/>
  <c r="A45" i="118" l="1"/>
  <c r="B44" i="118"/>
  <c r="E44" i="118"/>
  <c r="F44" i="118" s="1"/>
  <c r="C43" i="118"/>
  <c r="D43" i="118" s="1"/>
  <c r="G43" i="118"/>
  <c r="H43" i="118" l="1"/>
  <c r="A46" i="118"/>
  <c r="B45" i="118"/>
  <c r="E45" i="118"/>
  <c r="F45" i="118" s="1"/>
  <c r="C44" i="118"/>
  <c r="D44" i="118" s="1"/>
  <c r="G44" i="118"/>
  <c r="H44" i="118" l="1"/>
  <c r="B46" i="118"/>
  <c r="A47" i="118"/>
  <c r="E46" i="118"/>
  <c r="F46" i="118" s="1"/>
  <c r="G45" i="118"/>
  <c r="C45" i="118"/>
  <c r="D45" i="118" s="1"/>
  <c r="G46" i="118" l="1"/>
  <c r="C46" i="118"/>
  <c r="D46" i="118" s="1"/>
  <c r="H45" i="118"/>
  <c r="B47" i="118"/>
  <c r="E47" i="118"/>
  <c r="F47" i="118" s="1"/>
  <c r="A48" i="118"/>
  <c r="H46" i="118" l="1"/>
  <c r="C47" i="118"/>
  <c r="D47" i="118" s="1"/>
  <c r="G47" i="118"/>
  <c r="B48" i="118"/>
  <c r="A49" i="118"/>
  <c r="E48" i="118"/>
  <c r="F48" i="118" s="1"/>
  <c r="H47" i="118" l="1"/>
  <c r="A50" i="118"/>
  <c r="B49" i="118"/>
  <c r="E49" i="118"/>
  <c r="F49" i="118" s="1"/>
  <c r="G48" i="118"/>
  <c r="C48" i="118"/>
  <c r="D48" i="118" s="1"/>
  <c r="E50" i="118" l="1"/>
  <c r="F50" i="118" s="1"/>
  <c r="A51" i="118"/>
  <c r="B50" i="118"/>
  <c r="H48" i="118"/>
  <c r="G49" i="118"/>
  <c r="C49" i="118"/>
  <c r="D49" i="118" s="1"/>
  <c r="H49" i="118" s="1"/>
  <c r="G50" i="118" l="1"/>
  <c r="C50" i="118"/>
  <c r="D50" i="118" s="1"/>
  <c r="B51" i="118"/>
  <c r="A52" i="118"/>
  <c r="E51" i="118"/>
  <c r="F51" i="118" s="1"/>
  <c r="H50" i="118" l="1"/>
  <c r="E52" i="118"/>
  <c r="F52" i="118" s="1"/>
  <c r="A53" i="118"/>
  <c r="B52" i="118"/>
  <c r="C51" i="118"/>
  <c r="D51" i="118" s="1"/>
  <c r="G51" i="118"/>
  <c r="G52" i="118" l="1"/>
  <c r="C52" i="118"/>
  <c r="D52" i="118" s="1"/>
  <c r="B53" i="118"/>
  <c r="A54" i="118"/>
  <c r="E53" i="118"/>
  <c r="F53" i="118" s="1"/>
  <c r="H51" i="118"/>
  <c r="E54" i="118" l="1"/>
  <c r="F54" i="118" s="1"/>
  <c r="A55" i="118"/>
  <c r="B54" i="118"/>
  <c r="G53" i="118"/>
  <c r="C53" i="118"/>
  <c r="D53" i="118" s="1"/>
  <c r="H52" i="118"/>
  <c r="H53" i="118" l="1"/>
  <c r="G54" i="118"/>
  <c r="C54" i="118"/>
  <c r="D54" i="118" s="1"/>
  <c r="H54" i="118" s="1"/>
  <c r="E55" i="118"/>
  <c r="F55" i="118" s="1"/>
  <c r="A56" i="118"/>
  <c r="B55" i="118"/>
  <c r="E56" i="118" l="1"/>
  <c r="F56" i="118" s="1"/>
  <c r="A57" i="118"/>
  <c r="B56" i="118"/>
  <c r="G55" i="118"/>
  <c r="H55" i="118" s="1"/>
  <c r="C55" i="118"/>
  <c r="D55" i="118" s="1"/>
  <c r="G56" i="118" l="1"/>
  <c r="C56" i="118"/>
  <c r="D56" i="118" s="1"/>
  <c r="A58" i="118"/>
  <c r="E57" i="118"/>
  <c r="F57" i="118" s="1"/>
  <c r="B57" i="118"/>
  <c r="H56" i="118" l="1"/>
  <c r="C57" i="118"/>
  <c r="D57" i="118" s="1"/>
  <c r="G57" i="118"/>
  <c r="B58" i="118"/>
  <c r="E58" i="118"/>
  <c r="F58" i="118" s="1"/>
  <c r="A59" i="118"/>
  <c r="B59" i="118" l="1"/>
  <c r="E59" i="118"/>
  <c r="F59" i="118" s="1"/>
  <c r="G58" i="118"/>
  <c r="C58" i="118"/>
  <c r="D58" i="118" s="1"/>
  <c r="H57" i="118"/>
  <c r="H58" i="118" l="1"/>
  <c r="C59" i="118"/>
  <c r="D59" i="118" s="1"/>
  <c r="G59" i="118"/>
  <c r="H59" i="118" l="1"/>
  <c r="I59" i="118" l="1"/>
  <c r="I33" i="118"/>
  <c r="I50" i="118"/>
  <c r="I31" i="118"/>
  <c r="I51" i="118"/>
  <c r="I49" i="118"/>
  <c r="I41" i="118"/>
  <c r="I55" i="118"/>
  <c r="I52" i="118"/>
  <c r="I43" i="118"/>
  <c r="I35" i="118"/>
  <c r="I57" i="118"/>
  <c r="I30" i="118"/>
  <c r="I34" i="118"/>
  <c r="I36" i="118"/>
  <c r="I53" i="118"/>
  <c r="I38" i="118"/>
  <c r="I44" i="118"/>
  <c r="I39" i="118"/>
  <c r="I54" i="118"/>
  <c r="I29" i="118"/>
  <c r="I45" i="118"/>
  <c r="I56" i="118"/>
  <c r="I42" i="118"/>
  <c r="I58" i="118"/>
  <c r="I32" i="118"/>
  <c r="I48" i="118"/>
  <c r="I46" i="118"/>
  <c r="I47" i="118"/>
  <c r="I37" i="118"/>
  <c r="I40" i="118"/>
</calcChain>
</file>

<file path=xl/sharedStrings.xml><?xml version="1.0" encoding="utf-8"?>
<sst xmlns="http://schemas.openxmlformats.org/spreadsheetml/2006/main" count="6470" uniqueCount="3882">
  <si>
    <t>The main problem is calculating the length of the value to extract.</t>
  </si>
  <si>
    <t>If the extraction assumes the maximum length of three digits and the % sign, errors will occur</t>
  </si>
  <si>
    <t>when the percentage is only one digit long, as alphabetic characters will be included.</t>
  </si>
  <si>
    <t>To get around the problem the =SUBSTITUTE() function was used to increase the size of the</t>
  </si>
  <si>
    <t>spaces in the text.</t>
  </si>
  <si>
    <t>Now when the extraction takes place any unnecessary characters will be spaces which are</t>
  </si>
  <si>
    <t>ignored by the =VALUE() function.</t>
  </si>
  <si>
    <t xml:space="preserve"> =VALUE(MID(SUBSTITUTE(C52," ","    "),SEARCH("???%",SUBSTITUTE(C52," ","    ")),4))</t>
  </si>
  <si>
    <r>
      <t xml:space="preserve"> =</t>
    </r>
    <r>
      <rPr>
        <b/>
        <sz val="10"/>
        <color indexed="12"/>
        <rFont val="Arial"/>
        <family val="2"/>
      </rPr>
      <t>VALUE</t>
    </r>
    <r>
      <rPr>
        <sz val="10"/>
        <color indexed="12"/>
        <rFont val="Arial"/>
        <family val="2"/>
      </rPr>
      <t>(MID(SUBSTITUTE(C11," ","    "),SEARCH("???%",SUBSTITUTE(C11," ","    ")),4))</t>
    </r>
  </si>
  <si>
    <t xml:space="preserve"> =VAR(C4:C7)</t>
  </si>
  <si>
    <t xml:space="preserve"> =VAR(E4:E7)</t>
  </si>
  <si>
    <t xml:space="preserve"> =VAR(G4:G7)</t>
  </si>
  <si>
    <t>This function calculates the sample population variance of a list of values.</t>
  </si>
  <si>
    <t>=VAR(Range1,Range2,Range3 through to Range30)</t>
  </si>
  <si>
    <t>The boxes were weighed and the =VAR() function used as these boxes only represented</t>
  </si>
  <si>
    <t>The machine with the smallest variance was the most consistent.</t>
  </si>
  <si>
    <t xml:space="preserve"> =VAR(D34:G34)</t>
  </si>
  <si>
    <t xml:space="preserve"> =VAR(D35:G35)</t>
  </si>
  <si>
    <t xml:space="preserve"> =VAR(D36:G36)</t>
  </si>
  <si>
    <t xml:space="preserve"> =VARP(C4:C7)</t>
  </si>
  <si>
    <t xml:space="preserve"> =VARP(E4:E7)</t>
  </si>
  <si>
    <t xml:space="preserve"> =VARP(G4:G7)</t>
  </si>
  <si>
    <t>This function calculates the variance of a list of values.</t>
  </si>
  <si>
    <t>The variance is calculated on the basis that the values represent the entire population.</t>
  </si>
  <si>
    <t>=VARP(Range1,Range2,Range3 through to Range30)</t>
  </si>
  <si>
    <t>A trial run a just four boxes per machine were produced.</t>
  </si>
  <si>
    <t>The boxes were weighed and the =VARP() function used as these boxes</t>
  </si>
  <si>
    <t xml:space="preserve"> =VARP(D32:G32)</t>
  </si>
  <si>
    <t xml:space="preserve"> =VARP(D33:G33)</t>
  </si>
  <si>
    <t xml:space="preserve"> =VARP(D34:G34)</t>
  </si>
  <si>
    <t>The column numbers are not needed.</t>
  </si>
  <si>
    <t>col 1</t>
  </si>
  <si>
    <t>col 2</t>
  </si>
  <si>
    <t>col 3</t>
  </si>
  <si>
    <t>col 4</t>
  </si>
  <si>
    <t>col 5</t>
  </si>
  <si>
    <t>col 6</t>
  </si>
  <si>
    <t xml:space="preserve">Which column needs to be picked out : </t>
  </si>
  <si>
    <t xml:space="preserve"> =VLOOKUP(G11,C6:H8,G12,FALSE)</t>
  </si>
  <si>
    <t>This function scans down the row headings at the side of a table to find a specified item.</t>
  </si>
  <si>
    <t>When the item is found, it then scans across to pick a cell entry.</t>
  </si>
  <si>
    <t>=VLOOKUP(ItemToFind,RangeToLookIn,ColumnToPickFrom,SortedOrUnsorted)</t>
  </si>
  <si>
    <t>If the value is &gt;=100 the value is added to the total.</t>
  </si>
  <si>
    <t>Sold</t>
  </si>
  <si>
    <t>price</t>
  </si>
  <si>
    <t>Filters</t>
  </si>
  <si>
    <t>Bulbs</t>
  </si>
  <si>
    <t xml:space="preserve">Total Sales Value : </t>
  </si>
  <si>
    <t xml:space="preserve"> =SUMPRODUCT(D4:D6,E4:E6)</t>
  </si>
  <si>
    <t>This function uses at least two columns of values.</t>
  </si>
  <si>
    <t>The values in the first column are multipled with the corresponding value in the second column.</t>
  </si>
  <si>
    <t>The total of all the values is the result of the calculation.</t>
  </si>
  <si>
    <t>=SUMPRODUCT(Range1, Range, Range3 through to Range30)</t>
  </si>
  <si>
    <t>The following table was used by a drinks merchant to keep track of stock.</t>
  </si>
  <si>
    <t>The merchant needed to know the total purchase value of the stock, and the potential</t>
  </si>
  <si>
    <t>value of the stock when it is sold, takinging into account the markup percentage.</t>
  </si>
  <si>
    <t>The =SUMPRODUCT() function is used to multiply the Cases In Stock with the Case Price to</t>
  </si>
  <si>
    <t>calculate what the merchant spent in buying the stock.</t>
  </si>
  <si>
    <t>The =SUMPRODUCT() function is used to multiply the Cases In Stock with</t>
  </si>
  <si>
    <t>the Bottles In Case and the Bottle Setting Price, to calculate the potential value of the</t>
  </si>
  <si>
    <t>stock if it is all sold.</t>
  </si>
  <si>
    <t>Cases In Stock</t>
  </si>
  <si>
    <t>Case Price</t>
  </si>
  <si>
    <t>Bottles
In Case</t>
  </si>
  <si>
    <t>Bottle Cost</t>
  </si>
  <si>
    <t>Markup</t>
  </si>
  <si>
    <t>Bottle Selling Price</t>
  </si>
  <si>
    <t>Red Wine</t>
  </si>
  <si>
    <t>White Wine</t>
  </si>
  <si>
    <t>Lager</t>
  </si>
  <si>
    <t xml:space="preserve"> =D39/E39</t>
  </si>
  <si>
    <t xml:space="preserve"> =F39+F39*G39</t>
  </si>
  <si>
    <t xml:space="preserve">Total Value Of Stock : </t>
  </si>
  <si>
    <t xml:space="preserve"> =SUMPRODUCT(C35:C39,D35:D39)</t>
  </si>
  <si>
    <t xml:space="preserve">Total Selling Price Of Stock : </t>
  </si>
  <si>
    <t xml:space="preserve"> =SUMPRODUCT(C35:C39,E35:E39,H35:H39)</t>
  </si>
  <si>
    <t xml:space="preserve">Profit : </t>
  </si>
  <si>
    <t xml:space="preserve"> =E44-E43</t>
  </si>
  <si>
    <t>Deprecation in year 1</t>
  </si>
  <si>
    <t xml:space="preserve"> =SYD(F3,F4,F5,1)</t>
  </si>
  <si>
    <t>Deprecation in year 2</t>
  </si>
  <si>
    <t xml:space="preserve"> =SYD(F3,F4,F5,2)</t>
  </si>
  <si>
    <t>Deprecation in year 3</t>
  </si>
  <si>
    <t xml:space="preserve"> =SYD(F3,F4,F5,3)</t>
  </si>
  <si>
    <t>Deprecation in year 4</t>
  </si>
  <si>
    <t xml:space="preserve"> =SYD(F3,F4,F5,4)</t>
  </si>
  <si>
    <t>Deprecation in year 5</t>
  </si>
  <si>
    <t xml:space="preserve"> =SYD(F3,F4,F5,5)</t>
  </si>
  <si>
    <t>Deprecation in year 6</t>
  </si>
  <si>
    <t xml:space="preserve"> =SYD(F3,F4,F5,6)</t>
  </si>
  <si>
    <t>Total Depreciation :</t>
  </si>
  <si>
    <t xml:space="preserve"> =SUM(F7:F12)</t>
  </si>
  <si>
    <t>This function calculates the depreciation of an item throughout its life, using the sum of the</t>
  </si>
  <si>
    <t>years digits.</t>
  </si>
  <si>
    <t>The depreciation is greatest in the earlier part of the  items life.</t>
  </si>
  <si>
    <t>What is the Sum Of The Years Digits ?</t>
  </si>
  <si>
    <t>The sum of the years digits adds together the each of the years of the life.</t>
  </si>
  <si>
    <t xml:space="preserve"> =VLOOKUP(C126,C114:D116,2,FALSE)</t>
  </si>
  <si>
    <t xml:space="preserve"> =VLOOKUP(D126,F114:I116,MATCH(C126,G113:I113,0)+1,TRUE)</t>
  </si>
  <si>
    <t xml:space="preserve"> =(D126*E126)-(D126*E126*F126)</t>
  </si>
  <si>
    <t>Weekday</t>
  </si>
  <si>
    <t xml:space="preserve"> =WEEKDAY(C4)</t>
  </si>
  <si>
    <t xml:space="preserve"> =WEEKDAY(C5)</t>
  </si>
  <si>
    <t xml:space="preserve"> =WEEKDAY(C6,1)</t>
  </si>
  <si>
    <t xml:space="preserve"> =WEEKDAY(C7,2)</t>
  </si>
  <si>
    <t xml:space="preserve"> =WEEKDAY(C8,3)</t>
  </si>
  <si>
    <t>This function shows the day of the week from a date.</t>
  </si>
  <si>
    <t xml:space="preserve"> =WEEKDAY(Date,Type)</t>
  </si>
  <si>
    <t xml:space="preserve">   Type : This is used to indicate the week day numbering system.</t>
  </si>
  <si>
    <t xml:space="preserve">   1 : will set Sunday as 1 through to Saturday as 7</t>
  </si>
  <si>
    <t xml:space="preserve">   2 : will set Monday as 1 through to Sunday as 7.</t>
  </si>
  <si>
    <t xml:space="preserve">   3 : will set Monday as 0 through to Sunday as 6.</t>
  </si>
  <si>
    <t xml:space="preserve">   If no number is specified, Excel will use 1.</t>
  </si>
  <si>
    <t>The result will be shown as a normal number.</t>
  </si>
  <si>
    <t>The following table was used by a hotel which rented a function room.</t>
  </si>
  <si>
    <t>The hotel charged different rates depending upon which day of the week the booking was for.</t>
  </si>
  <si>
    <t>The Booking Date is entered.</t>
  </si>
  <si>
    <t>The Actual Day is calculated.</t>
  </si>
  <si>
    <t>The Booking Cost is picked from a list of rates using the =LOOKUP() function.</t>
  </si>
  <si>
    <t>Booking Date</t>
  </si>
  <si>
    <t>Actual Day</t>
  </si>
  <si>
    <t>Booking Cost</t>
  </si>
  <si>
    <t xml:space="preserve"> =LOOKUP(WEEKDAY(C34),C39:D45)</t>
  </si>
  <si>
    <t>Booking Rates</t>
  </si>
  <si>
    <t>Day Of Week</t>
  </si>
  <si>
    <r>
      <t xml:space="preserve">To show the result as the name of the day, use </t>
    </r>
    <r>
      <rPr>
        <b/>
        <sz val="10"/>
        <rFont val="Arial"/>
      </rPr>
      <t>Format</t>
    </r>
    <r>
      <rPr>
        <sz val="10"/>
        <rFont val="Arial"/>
      </rPr>
      <t xml:space="preserve">, </t>
    </r>
    <r>
      <rPr>
        <b/>
        <sz val="10"/>
        <rFont val="Arial"/>
      </rPr>
      <t>Cells</t>
    </r>
    <r>
      <rPr>
        <sz val="10"/>
        <rFont val="Arial"/>
      </rPr>
      <t xml:space="preserve">, </t>
    </r>
    <r>
      <rPr>
        <b/>
        <sz val="10"/>
        <rFont val="Arial"/>
      </rPr>
      <t>Custom</t>
    </r>
    <r>
      <rPr>
        <sz val="10"/>
        <rFont val="Arial"/>
      </rPr>
      <t xml:space="preserve"> and set</t>
    </r>
  </si>
  <si>
    <r>
      <t xml:space="preserve">the </t>
    </r>
    <r>
      <rPr>
        <b/>
        <sz val="10"/>
        <rFont val="Arial"/>
      </rPr>
      <t>Type</t>
    </r>
    <r>
      <rPr>
        <sz val="10"/>
        <rFont val="Arial"/>
      </rPr>
      <t xml:space="preserve"> to </t>
    </r>
    <r>
      <rPr>
        <b/>
        <sz val="10"/>
        <rFont val="Arial"/>
      </rPr>
      <t>ddd</t>
    </r>
    <r>
      <rPr>
        <sz val="10"/>
        <rFont val="Arial"/>
      </rPr>
      <t xml:space="preserve"> or </t>
    </r>
    <r>
      <rPr>
        <b/>
        <sz val="10"/>
        <rFont val="Arial"/>
      </rPr>
      <t>dddd</t>
    </r>
    <r>
      <rPr>
        <sz val="10"/>
        <rFont val="Arial"/>
      </rPr>
      <t>.</t>
    </r>
  </si>
  <si>
    <t>Days</t>
  </si>
  <si>
    <t xml:space="preserve"> =WORKDAY(D4,E4)</t>
  </si>
  <si>
    <t xml:space="preserve"> =WORKDAY(D5,E5)</t>
  </si>
  <si>
    <t>Use this function to calculate a past or future date based on a starting date and a</t>
  </si>
  <si>
    <t>specified number of days. The function excludes weekends and holidays and can</t>
  </si>
  <si>
    <t>therefore be used to calculate delivery dates or invoice dates.</t>
  </si>
  <si>
    <t xml:space="preserve"> =WORKDAY(StartDate,Days,Holidays)</t>
  </si>
  <si>
    <t>The result will normally be shown as a number which can be formatted to a</t>
  </si>
  <si>
    <t>normal date by using Format,Cells,Number,Date.</t>
  </si>
  <si>
    <t>The following example shows how the function can be used to calculate delivery dates</t>
  </si>
  <si>
    <t>based upon an initial Order Date and estimated Delivery Days.</t>
  </si>
  <si>
    <t>Order Date</t>
  </si>
  <si>
    <t>Delivery Days</t>
  </si>
  <si>
    <t>Delivery Date</t>
  </si>
  <si>
    <t xml:space="preserve"> =WORKDAY(D25,E25,D28:D32)</t>
  </si>
  <si>
    <t xml:space="preserve"> =YEAR(C4)</t>
  </si>
  <si>
    <t>This function extracts the year number from a date.</t>
  </si>
  <si>
    <t xml:space="preserve"> =YEAR(Date)</t>
  </si>
  <si>
    <t>The result is shown as a number.</t>
  </si>
  <si>
    <t>Fraction</t>
  </si>
  <si>
    <t xml:space="preserve"> =YEARFRAC(C4,D4)</t>
  </si>
  <si>
    <t xml:space="preserve"> =YEARFRAC(C5,D5)</t>
  </si>
  <si>
    <t xml:space="preserve"> =YEARFRAC(C6,D6)</t>
  </si>
  <si>
    <t>This function calculates the difference between two dates and expresses the result</t>
  </si>
  <si>
    <t>as a decimal fraction.</t>
  </si>
  <si>
    <t xml:space="preserve"> =YEARFRAC(StartDate,EndData,Basis)</t>
  </si>
  <si>
    <t xml:space="preserve">   Basis : Defines the calendar system to be used in the function.</t>
  </si>
  <si>
    <t xml:space="preserve">              0 : or omitted USA style 30 days per month divided by 360.</t>
  </si>
  <si>
    <t xml:space="preserve">              1 : 29 or 30 or 31 days per month divided by 365.</t>
  </si>
  <si>
    <t xml:space="preserve">              2 : 29 or 30 or 31 days per month divided by 360.</t>
  </si>
  <si>
    <t>An additional option can be used to start the search at a specific point in the text, thus</t>
  </si>
  <si>
    <t>enabling the search to find duplicate occurrences of the letter.</t>
  </si>
  <si>
    <t>If the letter is not found in the text, the result #VALUE is shown.</t>
  </si>
  <si>
    <t xml:space="preserve"> =FIND(LetterToLookFor,TextToLookInside,StartPosition)</t>
  </si>
  <si>
    <t>LetterToLookFor : This needs to be a single character.</t>
  </si>
  <si>
    <t>TextToLookInside : This is the piece of text to be searched through.</t>
  </si>
  <si>
    <t>StartPosition : This is optional, it specifies at which point in the text the search should begin.</t>
  </si>
  <si>
    <t>No special formatting is needed, the result will be shown as a number.</t>
  </si>
  <si>
    <t xml:space="preserve"> =FIXED(C4)</t>
  </si>
  <si>
    <t xml:space="preserve"> =FIXED(C5,0)</t>
  </si>
  <si>
    <t xml:space="preserve"> =FIXED(C6,1)</t>
  </si>
  <si>
    <t xml:space="preserve"> =FIXED(C7,2)</t>
  </si>
  <si>
    <t xml:space="preserve"> =FIXED(C8)</t>
  </si>
  <si>
    <t xml:space="preserve"> =FIXED(C9,0)</t>
  </si>
  <si>
    <t xml:space="preserve"> =FIXED(C10,1)</t>
  </si>
  <si>
    <t xml:space="preserve"> =FIXED(C11,2)</t>
  </si>
  <si>
    <t xml:space="preserve"> =FIXED(C12)</t>
  </si>
  <si>
    <t xml:space="preserve"> =FIXED(C13,0)</t>
  </si>
  <si>
    <t xml:space="preserve"> =FIXED(C14,0,TRUE)</t>
  </si>
  <si>
    <t>This function converts a numeric value to text.</t>
  </si>
  <si>
    <t>During the conversion the value can be rounded to a specific number of decimal places,</t>
  </si>
  <si>
    <t>and commas can be inserted at the 1,000's.</t>
  </si>
  <si>
    <t>=FIXED(NumberToConvert,DecimalPlaces,Commas)</t>
  </si>
  <si>
    <t>If DecimalPlaces places is not specified the function will assume 2.</t>
  </si>
  <si>
    <t>The Commas option can be TRUE for commas or FALSE for no commas.</t>
  </si>
  <si>
    <t>If the Commas is not specified the function will assume TRUE.</t>
  </si>
  <si>
    <t>Note that any further formatting with the Format, Cells, Number command will not have any effect.</t>
  </si>
  <si>
    <t>Rounded Down</t>
  </si>
  <si>
    <t xml:space="preserve"> =FLOOR(C4,1)</t>
  </si>
  <si>
    <t xml:space="preserve"> =FLOOR(C5,1)</t>
  </si>
  <si>
    <t xml:space="preserve"> =FLOOR(C6,1)</t>
  </si>
  <si>
    <t xml:space="preserve"> =FLOOR(C7,50)</t>
  </si>
  <si>
    <t xml:space="preserve"> =FLOOR(C8,50)</t>
  </si>
  <si>
    <t xml:space="preserve"> =FLOOR(C9,50)</t>
  </si>
  <si>
    <t>This function rounds a value down to the nearest multiple specified by the user.</t>
  </si>
  <si>
    <t>=FLOOR(NumberToRound,SignificantValue)</t>
  </si>
  <si>
    <t>The following table was used to calculate commission for members of a sales team.</t>
  </si>
  <si>
    <t>Commission is only paid for every £1000 of sales.</t>
  </si>
  <si>
    <t>The =FLOOR() function has been used to round down the Actual Sales to the</t>
  </si>
  <si>
    <t>nearest 1000, which is then used as the basis for Commission.</t>
  </si>
  <si>
    <t>Actual Sales</t>
  </si>
  <si>
    <t>Relevant Sales</t>
  </si>
  <si>
    <t>Commission</t>
  </si>
  <si>
    <t xml:space="preserve"> =FLOOR(D29,1000)</t>
  </si>
  <si>
    <t xml:space="preserve">Type the month number to predict : </t>
  </si>
  <si>
    <t xml:space="preserve">The Forecast sales figure is : </t>
  </si>
  <si>
    <t xml:space="preserve"> =FORECAST(E11,F4:F9,E4:E9)</t>
  </si>
  <si>
    <t>This function uses two sets of values to predict a single value.</t>
  </si>
  <si>
    <t>The predicted value is based on the relationship between the two original sets of values.</t>
  </si>
  <si>
    <t>If the values are sales figures for months 1 to 6, (Jan to Jun), you can use the function</t>
  </si>
  <si>
    <t>to predict what the sales figure will be in any other month.</t>
  </si>
  <si>
    <t>The way in which the prediction is calculated is based upon the assumption of a Linear Trend.</t>
  </si>
  <si>
    <t>=FORECAST(ItemToForeCast,RangeY,RangeX)</t>
  </si>
  <si>
    <t>ItemToForecast is the point in the future, (or past), for which you need the forecast.</t>
  </si>
  <si>
    <t>RangeY is the list of values which contain the historical data to be used as the basis</t>
  </si>
  <si>
    <t>of the forecast, such as Sales figures.</t>
  </si>
  <si>
    <t>RangeX is the intervals used when recording the historical data, such as Month number.</t>
  </si>
  <si>
    <t>The following table was used by a company considering expansion of their sales team.</t>
  </si>
  <si>
    <t>The Size and Performance of the previous teams over a period of three years were entered.</t>
  </si>
  <si>
    <t>The size of the New Sales team is entered.</t>
  </si>
  <si>
    <t>The =FORECAST() function is used to calculate the predicted performance for the new sales</t>
  </si>
  <si>
    <t>team based upon a linear trend.</t>
  </si>
  <si>
    <t>Size Of
Sales Team</t>
  </si>
  <si>
    <t>Known
Performance</t>
  </si>
  <si>
    <t>Size Of The New Sales Team :</t>
  </si>
  <si>
    <t>Estimated Forecast Of Performance :</t>
  </si>
  <si>
    <t xml:space="preserve"> =FORECAST(E43,E39:E41,D39:D41)</t>
  </si>
  <si>
    <t xml:space="preserve"> {=FREQUENCY(D4:F7,E9:E11)}</t>
  </si>
  <si>
    <t>This function compares a range of data against a list of intervals.</t>
  </si>
  <si>
    <t>The result shows how many items in the range of data fall between the intervals.</t>
  </si>
  <si>
    <t>The function is entered in the cells as an array, that is why it is enclosed in { } braces.</t>
  </si>
  <si>
    <t>=FREQUENCY(RangeOfData,ListOfIntervals)</t>
  </si>
  <si>
    <t>The following tables were used to record the weight of a group of children.</t>
  </si>
  <si>
    <t>The =FREQUENCY() function was then used to calculate the number of children whose</t>
  </si>
  <si>
    <t>weights fell between specified intervals.</t>
  </si>
  <si>
    <t>Weight Kg</t>
  </si>
  <si>
    <t>Number Of Children:</t>
  </si>
  <si>
    <t>Child 1</t>
  </si>
  <si>
    <t>Between 0 - 15 Kg</t>
  </si>
  <si>
    <t>Child 2</t>
  </si>
  <si>
    <t>Above 15 but less than or equal to 20 Kg</t>
  </si>
  <si>
    <t>Child 3</t>
  </si>
  <si>
    <t>Above 20 Kg</t>
  </si>
  <si>
    <t>Child 4</t>
  </si>
  <si>
    <t xml:space="preserve"> {=FREQUENCY(C30:C38,C41:C43)}</t>
  </si>
  <si>
    <t>Child 5</t>
  </si>
  <si>
    <t>Child 6</t>
  </si>
  <si>
    <t>Child 7</t>
  </si>
  <si>
    <t>Child 8</t>
  </si>
  <si>
    <t>Child 9</t>
  </si>
  <si>
    <t>Kg Weight Intervals</t>
  </si>
  <si>
    <t>This example uses characters instead of values.</t>
  </si>
  <si>
    <t>A restaurant has asked 40 customers for their rating of the food in the restaurant.</t>
  </si>
  <si>
    <t>The ratings were entered into a table as a single letter, E, V, A, P or D.</t>
  </si>
  <si>
    <t>The manager now wants to calculate how many responses fell into each category.</t>
  </si>
  <si>
    <t>Unfortunately, the =FREQUENCY() function ignores text entries, so how can the frequency</t>
  </si>
  <si>
    <t>of text be calculated?</t>
  </si>
  <si>
    <t>The answer is to use the =CODE() and =UPPER() functions.</t>
  </si>
  <si>
    <t>The =UPPER() forces all the text entries to be considered as capital letters.</t>
  </si>
  <si>
    <t>The =CODE() function calculates the unique ANSI code for each character.</t>
  </si>
  <si>
    <t>As this code is a numeric value, the =FREQUENCY() function can then be used!</t>
  </si>
  <si>
    <t>Rating</t>
  </si>
  <si>
    <t>Frequency</t>
  </si>
  <si>
    <t>Excellent</t>
  </si>
  <si>
    <t xml:space="preserve">  {=FREQUENCY(CODE(UPPER(B67:I71)),CODE(UPPER(C60:C64)))}</t>
  </si>
  <si>
    <t>Very Good</t>
  </si>
  <si>
    <t>V</t>
  </si>
  <si>
    <t>Poor</t>
  </si>
  <si>
    <t>Disgusting</t>
  </si>
  <si>
    <t>D</t>
  </si>
  <si>
    <t>Customer Ratings</t>
  </si>
  <si>
    <t>number of repetitions to below the maximum of 200.</t>
  </si>
  <si>
    <t xml:space="preserve"> =REPT("||",D29/100)</t>
  </si>
  <si>
    <t>Original
Text</t>
  </si>
  <si>
    <t>Right
String</t>
  </si>
  <si>
    <t xml:space="preserve"> =RIGHT(C4,D4)</t>
  </si>
  <si>
    <t xml:space="preserve"> =RIGHT(C5,D5)</t>
  </si>
  <si>
    <t>Orders Table</t>
  </si>
  <si>
    <t>Units</t>
  </si>
  <si>
    <t>Discount</t>
  </si>
  <si>
    <t xml:space="preserve"> =HLOOKUP(C127,E111:G112,2,FALSE)</t>
  </si>
  <si>
    <t xml:space="preserve"> =HLOOKUP(D127,E115:G118,MATCH(C127,D116:D118,0)+1,TRUE)</t>
  </si>
  <si>
    <r>
      <t xml:space="preserve">If they were sorted alphabetically they would have read as </t>
    </r>
    <r>
      <rPr>
        <b/>
        <sz val="10"/>
        <rFont val="Arial"/>
      </rPr>
      <t>F</t>
    </r>
    <r>
      <rPr>
        <sz val="10"/>
        <rFont val="Arial"/>
      </rPr>
      <t>eb,</t>
    </r>
    <r>
      <rPr>
        <b/>
        <sz val="10"/>
        <rFont val="Arial"/>
      </rPr>
      <t>J</t>
    </r>
    <r>
      <rPr>
        <sz val="10"/>
        <rFont val="Arial"/>
      </rPr>
      <t>an,</t>
    </r>
    <r>
      <rPr>
        <b/>
        <sz val="10"/>
        <rFont val="Arial"/>
      </rPr>
      <t>M</t>
    </r>
    <r>
      <rPr>
        <sz val="10"/>
        <rFont val="Arial"/>
      </rPr>
      <t>ar.</t>
    </r>
  </si>
  <si>
    <t xml:space="preserve"> =HOUR(C4)</t>
  </si>
  <si>
    <t xml:space="preserve"> =HOUR(C5)</t>
  </si>
  <si>
    <t xml:space="preserve">the row heading of Jan is not included in the </t>
  </si>
  <si>
    <t>column heading of Jan is</t>
  </si>
  <si>
    <t>lookup range.</t>
  </si>
  <si>
    <t>not included in the lookup</t>
  </si>
  <si>
    <t>range.</t>
  </si>
  <si>
    <t>Problems</t>
  </si>
  <si>
    <t>The list of information to be looked through must be sorted in ascending order, otherwise errors</t>
  </si>
  <si>
    <t>will occur, either as #N/A or incorrect results.</t>
  </si>
  <si>
    <t>Table 1 shows the Name column sorted alphabetically, the results of using =LOOKUP() will</t>
  </si>
  <si>
    <t>be correct.</t>
  </si>
  <si>
    <t>Table 2 shows the same data, but not sorted. Sometimes the results will be correct, but other</t>
  </si>
  <si>
    <t>times the result will be an #N/A error or incorrect figure.</t>
  </si>
  <si>
    <t xml:space="preserve">Name : </t>
  </si>
  <si>
    <t>Value :</t>
  </si>
  <si>
    <t xml:space="preserve"> =LOOKUP(C88,B80:E86)</t>
  </si>
  <si>
    <t xml:space="preserve"> =LOOKUP(H88,G80:J86)</t>
  </si>
  <si>
    <r>
      <t xml:space="preserve">The </t>
    </r>
    <r>
      <rPr>
        <b/>
        <sz val="10"/>
        <rFont val="Arial"/>
      </rPr>
      <t>March</t>
    </r>
    <r>
      <rPr>
        <sz val="10"/>
        <rFont val="Arial"/>
      </rPr>
      <t xml:space="preserve"> value for this person is : </t>
    </r>
  </si>
  <si>
    <r>
      <t xml:space="preserve">If the table has more </t>
    </r>
    <r>
      <rPr>
        <b/>
        <sz val="10"/>
        <rFont val="Arial"/>
      </rPr>
      <t>rows</t>
    </r>
    <r>
      <rPr>
        <sz val="10"/>
        <rFont val="Arial"/>
      </rPr>
      <t xml:space="preserve"> than columns : </t>
    </r>
  </si>
  <si>
    <r>
      <t xml:space="preserve">the function will look </t>
    </r>
    <r>
      <rPr>
        <b/>
        <sz val="10"/>
        <rFont val="Arial"/>
      </rPr>
      <t>down</t>
    </r>
    <r>
      <rPr>
        <sz val="10"/>
        <rFont val="Arial"/>
      </rPr>
      <t xml:space="preserve"> the left most column</t>
    </r>
  </si>
  <si>
    <r>
      <t xml:space="preserve">If the table has the </t>
    </r>
    <r>
      <rPr>
        <b/>
        <sz val="10"/>
        <rFont val="Arial"/>
      </rPr>
      <t>same</t>
    </r>
    <r>
      <rPr>
        <sz val="10"/>
        <rFont val="Arial"/>
      </rPr>
      <t xml:space="preserve"> amount of rows and columns :</t>
    </r>
  </si>
  <si>
    <r>
      <t xml:space="preserve">the function will look </t>
    </r>
    <r>
      <rPr>
        <b/>
        <sz val="10"/>
        <rFont val="Arial"/>
      </rPr>
      <t>down</t>
    </r>
    <r>
      <rPr>
        <sz val="10"/>
        <rFont val="Arial"/>
      </rPr>
      <t xml:space="preserve"> the left most column and</t>
    </r>
  </si>
  <si>
    <r>
      <t xml:space="preserve">If the table has more </t>
    </r>
    <r>
      <rPr>
        <b/>
        <sz val="10"/>
        <rFont val="Arial"/>
      </rPr>
      <t>columns</t>
    </r>
    <r>
      <rPr>
        <sz val="10"/>
        <rFont val="Arial"/>
      </rPr>
      <t xml:space="preserve"> than rows :</t>
    </r>
  </si>
  <si>
    <r>
      <t xml:space="preserve">the function will look </t>
    </r>
    <r>
      <rPr>
        <b/>
        <sz val="10"/>
        <rFont val="Arial"/>
      </rPr>
      <t>across</t>
    </r>
    <r>
      <rPr>
        <sz val="10"/>
        <rFont val="Arial"/>
      </rPr>
      <t xml:space="preserve"> the top row trying</t>
    </r>
  </si>
  <si>
    <t xml:space="preserve"> =LOOKUP(F12,D4:G10,F4:F10)</t>
  </si>
  <si>
    <t>This function looks for a piece of information in a list, and then picks an item from</t>
  </si>
  <si>
    <t>a second range of cells.</t>
  </si>
  <si>
    <t>=LOOKUP(WhatToLookFor,RangeToLookIn,RangeToPickFrom)</t>
  </si>
  <si>
    <t>The RangeToPickFrom must have the same number of cells in it as the RangeToLookin.</t>
  </si>
  <si>
    <t>Be careful not to include unnecessary heading in the ranges as these will cause errors.</t>
  </si>
  <si>
    <t>The following example shows how the =LOOKUP() function was used to match a name typed</t>
  </si>
  <si>
    <t>in cell G41 against the list of names in C38:C43. When a match is found the =LOOKUP() then</t>
  </si>
  <si>
    <t>picks from the second range E38:J38.</t>
  </si>
  <si>
    <t>If the name Carol is used, the match is made in the third cell of the list of names, and then</t>
  </si>
  <si>
    <t>the function picks the third cell from the list of values.</t>
  </si>
  <si>
    <t>RangeToLookIn</t>
  </si>
  <si>
    <t>RangeToPickFrom</t>
  </si>
  <si>
    <t>Type a name :</t>
  </si>
  <si>
    <t xml:space="preserve">Value : </t>
  </si>
  <si>
    <t xml:space="preserve"> =LOOKUP(G41,C38:C43,E38:J38)</t>
  </si>
  <si>
    <r>
      <t xml:space="preserve">The </t>
    </r>
    <r>
      <rPr>
        <b/>
        <sz val="10"/>
        <rFont val="Arial"/>
      </rPr>
      <t>Feb</t>
    </r>
    <r>
      <rPr>
        <sz val="10"/>
        <rFont val="Arial"/>
      </rPr>
      <t xml:space="preserve"> value for this person is : </t>
    </r>
  </si>
  <si>
    <t>Upper Case Text</t>
  </si>
  <si>
    <t>Lower Case</t>
  </si>
  <si>
    <t>ALAN JONES</t>
  </si>
  <si>
    <t xml:space="preserve"> =LOWER(C4)</t>
  </si>
  <si>
    <t>Turf</t>
  </si>
  <si>
    <t xml:space="preserve"> =IF(AND(C61="Yes",D61&gt;=1000),D61*10%,0)</t>
  </si>
  <si>
    <r>
      <t xml:space="preserve">The =AND() function is used with the =IF() to check that the product is on offer </t>
    </r>
    <r>
      <rPr>
        <b/>
        <sz val="10"/>
        <rFont val="Arial"/>
      </rPr>
      <t>and</t>
    </r>
    <r>
      <rPr>
        <sz val="10"/>
        <rFont val="Arial"/>
      </rPr>
      <t xml:space="preserve"> that</t>
    </r>
  </si>
  <si>
    <t>Holiday booking price list.</t>
  </si>
  <si>
    <t>People</t>
  </si>
  <si>
    <t>Weeks</t>
  </si>
  <si>
    <t xml:space="preserve">How many weeks required : </t>
  </si>
  <si>
    <t xml:space="preserve">How many people in the party : </t>
  </si>
  <si>
    <t xml:space="preserve">Cost per person is : </t>
  </si>
  <si>
    <t xml:space="preserve"> =INDEX(D7:G9,G11,G12)</t>
  </si>
  <si>
    <t>This function picks a value from a range of data by looking down a specified number</t>
  </si>
  <si>
    <t>of rows and then across a specified number of columns.</t>
  </si>
  <si>
    <t>It can be used with a single block of data, or non-continuos blocks.</t>
  </si>
  <si>
    <t>There are various forms of syntax for this function.</t>
  </si>
  <si>
    <t>Syntax 1</t>
  </si>
  <si>
    <t>=INDEX(RangeToLookIn,Coordinate)</t>
  </si>
  <si>
    <t>This is used when the RangeToLookIn is either a single column or row.</t>
  </si>
  <si>
    <t>The Co-ordinate indicates how far down or across to look when picking the data from the range.</t>
  </si>
  <si>
    <t>Both of the examples below use the same syntax, but the Co-ordinate refers to a row when</t>
  </si>
  <si>
    <t>the range is vertical and a column when the range is horizontal.</t>
  </si>
  <si>
    <t>Colours</t>
  </si>
  <si>
    <t>Size</t>
  </si>
  <si>
    <t>Large</t>
  </si>
  <si>
    <t>Medium</t>
  </si>
  <si>
    <t>Small</t>
  </si>
  <si>
    <t xml:space="preserve">Type either 1, 2 or 3 : </t>
  </si>
  <si>
    <t xml:space="preserve">The colour is : </t>
  </si>
  <si>
    <t xml:space="preserve">The size is : </t>
  </si>
  <si>
    <t xml:space="preserve"> =INDEX(D32:D34,D36)</t>
  </si>
  <si>
    <t xml:space="preserve"> =INDEX(G34:I34,H36)</t>
  </si>
  <si>
    <t>Syntax 2</t>
  </si>
  <si>
    <t>=INDEX(RangeToLookIn,RowCoordinate,ColumnColumnCordinate)</t>
  </si>
  <si>
    <t>This syntax is used when the range is made up of rows and columns.</t>
  </si>
  <si>
    <t>Country</t>
  </si>
  <si>
    <t>Currency</t>
  </si>
  <si>
    <t>Population</t>
  </si>
  <si>
    <t>Capitol</t>
  </si>
  <si>
    <t>England</t>
  </si>
  <si>
    <t>Sterling</t>
  </si>
  <si>
    <t>50 M</t>
  </si>
  <si>
    <t>London</t>
  </si>
  <si>
    <t>France</t>
  </si>
  <si>
    <t>Franc</t>
  </si>
  <si>
    <t>40 M</t>
  </si>
  <si>
    <t>Paris</t>
  </si>
  <si>
    <t>Germany</t>
  </si>
  <si>
    <t>DM</t>
  </si>
  <si>
    <t>60 M</t>
  </si>
  <si>
    <t>Bonn</t>
  </si>
  <si>
    <t>Spain</t>
  </si>
  <si>
    <t>Peseta</t>
  </si>
  <si>
    <t>30 M</t>
  </si>
  <si>
    <t>Barcelona</t>
  </si>
  <si>
    <t xml:space="preserve">Type 1,2,3 or 4 for the country : </t>
  </si>
  <si>
    <t xml:space="preserve">Type 1,2 or 3 for statistics : </t>
  </si>
  <si>
    <t xml:space="preserve"> =INDEX(D45:F48,F50,F51)</t>
  </si>
  <si>
    <t>Syntax 3</t>
  </si>
  <si>
    <t>=INDEX(NamedRangeToLookIn,RowCoordinate,ColumnColumnCordinate,AreaToPickFrom)</t>
  </si>
  <si>
    <t>Using this syntax the range to look in can be made up of multiple areas.</t>
  </si>
  <si>
    <t>The easiest way to refer to these areas is to select them and give them a single name.</t>
  </si>
  <si>
    <t>The AreaToPickFrom indicates which of the multiple areas should be used.</t>
  </si>
  <si>
    <t>In the following example the figures for North and South have been named as one</t>
  </si>
  <si>
    <t>range called NorthAndSouth.</t>
  </si>
  <si>
    <t>NORTH</t>
  </si>
  <si>
    <t>Qtr1</t>
  </si>
  <si>
    <t>Qtr2</t>
  </si>
  <si>
    <t>Qtr3</t>
  </si>
  <si>
    <t>Qtr4</t>
  </si>
  <si>
    <t>SOUTH</t>
  </si>
  <si>
    <t xml:space="preserve">Type 1, 2 or 3 for the product : </t>
  </si>
  <si>
    <t xml:space="preserve">Type 1, 2, 3 or 4 for the Qtr : </t>
  </si>
  <si>
    <t xml:space="preserve">Type 1 for North or 2 for South : </t>
  </si>
  <si>
    <t xml:space="preserve"> =INDEX(NorthAndSouth,F76,F77,F78)</t>
  </si>
  <si>
    <t>One solution would be to retype the calculation each time new data is entered, but this</t>
  </si>
  <si>
    <t>would be time consuming and open to human error.</t>
  </si>
  <si>
    <t>A better way is to indicate the start and end point of the range to be calculated by</t>
  </si>
  <si>
    <t>using the =OFFSET() function.</t>
  </si>
  <si>
    <t>The =OFFSET() picks out a cell a certain number of cells away from another cell.</t>
  </si>
  <si>
    <t>By giving the =OFFSET() the address of the first cell in the range which needs to</t>
  </si>
  <si>
    <t>be totalled, we can then indicate how far away the end cell should be and the =OFFSET()</t>
  </si>
  <si>
    <t>will give us the address of cell which will be the end of the range to be totalled.</t>
  </si>
  <si>
    <t>The =OFFSET() needs to know three things;</t>
  </si>
  <si>
    <t>1. A cell address to use as the fixed point from where it should base the offset.</t>
  </si>
  <si>
    <t>2. How many rows it should look up or down from the starting point.</t>
  </si>
  <si>
    <t>3. How many columns it should look left or right from the starting point.</t>
  </si>
  <si>
    <t>This example uses E24 as the starting point and offsets no rows or columns which</t>
  </si>
  <si>
    <t>results in the range being summed as E24:E24.</t>
  </si>
  <si>
    <t>This example uses E29 as the starting point and offsets 1 col to pick out</t>
  </si>
  <si>
    <t>cell F29 resulting in a the range E29:F29 being summed.</t>
  </si>
  <si>
    <t>This example uses E34 as the starting point and offsets 2 cols to pick out</t>
  </si>
  <si>
    <t>cell G34 resulting in a the range E34:G34 being summed.</t>
  </si>
  <si>
    <t>Using =OFFSET() Twice In A Formula</t>
  </si>
  <si>
    <t>The following examples use =OFFSET() to pick both the start and end of the range</t>
  </si>
  <si>
    <t>which needs to be totalled.</t>
  </si>
  <si>
    <t>The cell E45 has been used as the starting point for both offsets and each has</t>
  </si>
  <si>
    <t>been offset by just 1 column. The result is that just cell F45 is used as the</t>
  </si>
  <si>
    <t>range F45:F45 for the sum function to calculate.</t>
  </si>
  <si>
    <t>Today :</t>
  </si>
  <si>
    <t>OMs PS 2008</t>
  </si>
  <si>
    <t>Note that the result is actually the number of days before todays date. To calculate</t>
  </si>
  <si>
    <t>a result which includes the current date an extra 1 will need to be added.</t>
  </si>
  <si>
    <t xml:space="preserve"> =TODAY()-C28+1</t>
  </si>
  <si>
    <t xml:space="preserve"> =TODAY()-C29+1</t>
  </si>
  <si>
    <t>The following example shows the number of days from today until the year 2000.</t>
  </si>
  <si>
    <t>Year 2000</t>
  </si>
  <si>
    <t>Days Until</t>
  </si>
  <si>
    <t xml:space="preserve"> =C36-TODAY()</t>
  </si>
  <si>
    <t xml:space="preserve"> {=TRANSPOSE(C3:E7)}</t>
  </si>
  <si>
    <t>As an array formula in all these cells</t>
  </si>
  <si>
    <t>This function copies data from a range, and places in it in a new range, turning it so</t>
  </si>
  <si>
    <t>that the data originally in columns is now in rows, and the data originally in rows</t>
  </si>
  <si>
    <t>is in columns.</t>
  </si>
  <si>
    <t>The transpose range must be the same size as the original range.</t>
  </si>
  <si>
    <t>The function needs to be entered as an array formula.</t>
  </si>
  <si>
    <t xml:space="preserve"> =QUOTIENT(D39,E39)</t>
  </si>
  <si>
    <t>Random greater than or equal to 0 but less than 1.</t>
  </si>
  <si>
    <t xml:space="preserve"> =RAND()</t>
  </si>
  <si>
    <t>Random greater than or equal to 0 but less than 10</t>
  </si>
  <si>
    <t xml:space="preserve"> =RAND()*10</t>
  </si>
  <si>
    <t>Random between 5 and 10.</t>
  </si>
  <si>
    <t xml:space="preserve"> =RAND()*(10-5)+5</t>
  </si>
  <si>
    <t>This function creates a random number &gt;=0 but &lt;1.</t>
  </si>
  <si>
    <t>The number will change each time the worksheet recalculates, or when F9 is pressed.</t>
  </si>
  <si>
    <t>=RAND()</t>
  </si>
  <si>
    <t>The following examples show how the =RAND() function has been used to randomly</t>
  </si>
  <si>
    <t>sort list of information.</t>
  </si>
  <si>
    <t>A list of cards has been entered in column C, and =RAND() in column D.</t>
  </si>
  <si>
    <t>By clicking inside the random numbers and then using Data, Sort or the Sort button</t>
  </si>
  <si>
    <t>the cards will be shuffled.</t>
  </si>
  <si>
    <t>The same technique has been used to generate a list of six winning lottery numbers.</t>
  </si>
  <si>
    <t>Card</t>
  </si>
  <si>
    <t>Random</t>
  </si>
  <si>
    <t>Lottery</t>
  </si>
  <si>
    <t>Clubs 8</t>
  </si>
  <si>
    <t>Clubs 6</t>
  </si>
  <si>
    <t>Diamond 9</t>
  </si>
  <si>
    <t>Spades 13</t>
  </si>
  <si>
    <t>Clubs 9</t>
  </si>
  <si>
    <t>Diamond 7</t>
  </si>
  <si>
    <t>Diamond 4</t>
  </si>
  <si>
    <t>Clubs 10</t>
  </si>
  <si>
    <t>Spades 3</t>
  </si>
  <si>
    <t>Hearts 6</t>
  </si>
  <si>
    <t>Hearts 4</t>
  </si>
  <si>
    <t>Diamond 8</t>
  </si>
  <si>
    <t>Hearts 11</t>
  </si>
  <si>
    <t>Clubs 3</t>
  </si>
  <si>
    <t>Clubs 13</t>
  </si>
  <si>
    <t>Spades 5</t>
  </si>
  <si>
    <t>Diamond 3</t>
  </si>
  <si>
    <t>Spades 2</t>
  </si>
  <si>
    <t>Diamond 6</t>
  </si>
  <si>
    <t>Clubs 5</t>
  </si>
  <si>
    <t>Spades 1</t>
  </si>
  <si>
    <t>Clubs 12</t>
  </si>
  <si>
    <t>Hearts 10</t>
  </si>
  <si>
    <t>Hearts 13</t>
  </si>
  <si>
    <t>Spades 7</t>
  </si>
  <si>
    <t>Spades 6</t>
  </si>
  <si>
    <t>Diamond 12</t>
  </si>
  <si>
    <t>Hearts 3</t>
  </si>
  <si>
    <t>Hearts 5</t>
  </si>
  <si>
    <t>Hearts 8</t>
  </si>
  <si>
    <t>Hearts 1</t>
  </si>
  <si>
    <t>Diamond 13</t>
  </si>
  <si>
    <t>Hearts 9</t>
  </si>
  <si>
    <t>Clubs 4</t>
  </si>
  <si>
    <t>Diamond 5</t>
  </si>
  <si>
    <t>Spades 4</t>
  </si>
  <si>
    <t>Clubs 1</t>
  </si>
  <si>
    <t>Spades 8</t>
  </si>
  <si>
    <t>Hearts 7</t>
  </si>
  <si>
    <t>Diamond 1</t>
  </si>
  <si>
    <t>Clubs 2</t>
  </si>
  <si>
    <t>Hearts 2</t>
  </si>
  <si>
    <t>Diamond 11</t>
  </si>
  <si>
    <t>Clubs 7</t>
  </si>
  <si>
    <t>Spades 12</t>
  </si>
  <si>
    <t>Spades 10</t>
  </si>
  <si>
    <t>Clubs 11</t>
  </si>
  <si>
    <t>Diamond 2</t>
  </si>
  <si>
    <t>Diamond 10</t>
  </si>
  <si>
    <t>Spades 9</t>
  </si>
  <si>
    <t>Spades 11</t>
  </si>
  <si>
    <t>Hearts 12</t>
  </si>
  <si>
    <t>Low</t>
  </si>
  <si>
    <t>High</t>
  </si>
  <si>
    <t xml:space="preserve"> =RANDBETWEEN(C4,D4)</t>
  </si>
  <si>
    <t xml:space="preserve"> =RANDBETWEEN(C5,D5)</t>
  </si>
  <si>
    <t>This function produces a random whole number between two specified numbers.</t>
  </si>
  <si>
    <t>The random number will change each time the spreadsheet is recalculated or F9 is pressed.</t>
  </si>
  <si>
    <t>=RANDOMBETWEEN(LowLimit,HighLimit)</t>
  </si>
  <si>
    <t>The following table shows how the =RANDBETWEEN() has been used to generate six</t>
  </si>
  <si>
    <t>numbers to use for the National Lottery.</t>
  </si>
  <si>
    <t>Note that the function does not check to ensure all numbers are unique, the same number</t>
  </si>
  <si>
    <t>could be generated twice or more.</t>
  </si>
  <si>
    <t>Lottery Numbers</t>
  </si>
  <si>
    <t>The Winning
Ticket!</t>
  </si>
  <si>
    <t xml:space="preserve"> =RANDBETWEEN($C$24,$D$24)</t>
  </si>
  <si>
    <t>Number 1</t>
  </si>
  <si>
    <t>Number 2</t>
  </si>
  <si>
    <t>Press function Key</t>
  </si>
  <si>
    <t>Number 3</t>
  </si>
  <si>
    <t>F9 to recalculate.</t>
  </si>
  <si>
    <t>Number 4</t>
  </si>
  <si>
    <t>Number 5</t>
  </si>
  <si>
    <t>Number 6</t>
  </si>
  <si>
    <t>Bonus ball</t>
  </si>
  <si>
    <t xml:space="preserve"> {=IF(SUM(1/COUNTIF(E24:E30,E24:E30))&lt;&gt;7,"Duplicates! Spin again","All OK")}</t>
  </si>
  <si>
    <t>This formula is used to determine whether all the numbers are different.</t>
  </si>
  <si>
    <t>It is entered as an array using Ctrl+Shift+Enter.</t>
  </si>
  <si>
    <t>Ranking Position
High to Low</t>
  </si>
  <si>
    <t xml:space="preserve"> =RANK(C4,C4:C8)</t>
  </si>
  <si>
    <t xml:space="preserve"> =RANK(C5,C4:C8)</t>
  </si>
  <si>
    <t xml:space="preserve"> =RANK(C6,C4:C8)</t>
  </si>
  <si>
    <t xml:space="preserve"> =RANK(C7,C4:C8)</t>
  </si>
  <si>
    <t xml:space="preserve"> =RANK(C8,C4:C8)</t>
  </si>
  <si>
    <t>Ranking Position
Low to High</t>
  </si>
  <si>
    <t xml:space="preserve"> =RANK(C11,C11:C15,1)</t>
  </si>
  <si>
    <t xml:space="preserve"> =RANK(C12,C11:C15,1)</t>
  </si>
  <si>
    <t xml:space="preserve"> =RANK(C13,C11:C15,1)</t>
  </si>
  <si>
    <t xml:space="preserve"> =RANK(C14,C11:C15,1)</t>
  </si>
  <si>
    <t xml:space="preserve"> =RANK(C15,C11:C15,1)</t>
  </si>
  <si>
    <t xml:space="preserve"> =RANK(C18,C18:C22)</t>
  </si>
  <si>
    <t xml:space="preserve"> =RANK(C19,C18:C22)</t>
  </si>
  <si>
    <t xml:space="preserve"> =RANK(C20,C18:C22)</t>
  </si>
  <si>
    <t xml:space="preserve"> =RANK(C21,C18:C22)</t>
  </si>
  <si>
    <t xml:space="preserve"> =RANK(C22,C18:C22)</t>
  </si>
  <si>
    <t>This function calculates the position of a value in a list relative to the other values in the list.</t>
  </si>
  <si>
    <t>A typical usage would be to rank the times of athletes in a race to find the winner.</t>
  </si>
  <si>
    <t>The ranking can be done on an ascending (low to high) or descending (high to low) basis.</t>
  </si>
  <si>
    <t>If there are duplicate values in the list, they will be assigned the same rank. Subsequent ranks</t>
  </si>
  <si>
    <r>
      <t>=C29*IF(AND(B29&gt;=$G$24,B29&lt;$G$25),$H$24,IF(B29&gt;=$G$25,$H$25,</t>
    </r>
    <r>
      <rPr>
        <b/>
        <sz val="10"/>
        <color indexed="12"/>
        <rFont val="Arial"/>
      </rPr>
      <t>0</t>
    </r>
    <r>
      <rPr>
        <sz val="10"/>
        <rFont val="Arial"/>
      </rPr>
      <t>))</t>
    </r>
  </si>
  <si>
    <t>Permutations</t>
  </si>
  <si>
    <t xml:space="preserve"> =PERMUT(C4,D4)</t>
  </si>
  <si>
    <t xml:space="preserve"> =PERMUT(C5,D5)</t>
  </si>
  <si>
    <t xml:space="preserve"> =PERMUT(C6,D6)</t>
  </si>
  <si>
    <t xml:space="preserve"> =PERMUT(C7,D7)</t>
  </si>
  <si>
    <t>This function calculates the maximum number of permutations given a fixed number of items.</t>
  </si>
  <si>
    <t>The internal order is significant, so AB and BA will be considered as two possible permutations.</t>
  </si>
  <si>
    <t>It could be used to calculate the possible number of 4 digit passwords from the digits 0 to 9.</t>
  </si>
  <si>
    <t>=PERMUT(PoolToPickFrom,ItemsInAGroup)</t>
  </si>
  <si>
    <t>The following table was used to calculate the total number of 8 letter passwords which can</t>
  </si>
  <si>
    <t>be created by using all 26 letters of the alphabet.</t>
  </si>
  <si>
    <t>Letter In Alphabet</t>
  </si>
  <si>
    <t>Password Size</t>
  </si>
  <si>
    <t>In the case of a two letter password made from the letter A, B, C and D, the following</t>
  </si>
  <si>
    <t>twelve permutations would be possible.</t>
  </si>
  <si>
    <t>Password 1</t>
  </si>
  <si>
    <t>Password 7</t>
  </si>
  <si>
    <t>BA</t>
  </si>
  <si>
    <t>Password 2</t>
  </si>
  <si>
    <t>Password 8</t>
  </si>
  <si>
    <t>CA</t>
  </si>
  <si>
    <t>Password 3</t>
  </si>
  <si>
    <t>Password 9</t>
  </si>
  <si>
    <t>DA</t>
  </si>
  <si>
    <t>Password 4</t>
  </si>
  <si>
    <t>Password 10</t>
  </si>
  <si>
    <t>CB</t>
  </si>
  <si>
    <t>Password 5</t>
  </si>
  <si>
    <t>Password 11</t>
  </si>
  <si>
    <t>Password 6</t>
  </si>
  <si>
    <t>Password 12</t>
  </si>
  <si>
    <t>DC</t>
  </si>
  <si>
    <t xml:space="preserve"> =PI()</t>
  </si>
  <si>
    <t>This function is equal to the value of Pi.</t>
  </si>
  <si>
    <t>It is correct to 15 decimal places.</t>
  </si>
  <si>
    <t>It does not need any input, it is a self contained function.</t>
  </si>
  <si>
    <t>=PI()</t>
  </si>
  <si>
    <t>To calculate the area of a circle.</t>
  </si>
  <si>
    <t>Radius</t>
  </si>
  <si>
    <t>Area</t>
  </si>
  <si>
    <t xml:space="preserve"> =PI()*(C21^2)</t>
  </si>
  <si>
    <t xml:space="preserve"> =POWER(C4,D4)</t>
  </si>
  <si>
    <t xml:space="preserve"> =POWER(C5,D5)</t>
  </si>
  <si>
    <t xml:space="preserve"> =POWER(C6,D6)</t>
  </si>
  <si>
    <t xml:space="preserve"> =POWER(C7,D7)</t>
  </si>
  <si>
    <t>This function raises a number to a user specified power.</t>
  </si>
  <si>
    <t>It is the same as using the ^ operator, such as 3^4, which result is 81.</t>
  </si>
  <si>
    <t>Both the POWER() function and the ^ operator are the same as using 3*3*3*3.</t>
  </si>
  <si>
    <t>=POWER(NumberToBeRaised,Power)</t>
  </si>
  <si>
    <t xml:space="preserve"> =PI()*POWER(C22,2)</t>
  </si>
  <si>
    <t xml:space="preserve"> =PRODUCT(C4,D4)</t>
  </si>
  <si>
    <t xml:space="preserve"> =PRODUCT(C5:D5)</t>
  </si>
  <si>
    <t xml:space="preserve"> =PRODUCT(C6:D6,10)</t>
  </si>
  <si>
    <t xml:space="preserve"> =PRODUCT(C4:D6)</t>
  </si>
  <si>
    <t>This function multiples a group of numbers together.</t>
  </si>
  <si>
    <t>It is the same as using 2*3*5*10*3*7, which results in 6300.</t>
  </si>
  <si>
    <t>=PRODUCT(Number1,Number2,Number3... through to Number30)</t>
  </si>
  <si>
    <t>=PRODUCT(RangeOfNumbers)</t>
  </si>
  <si>
    <t>=PRODUCT(Number1,Range,Number2...)</t>
  </si>
  <si>
    <t>Proper</t>
  </si>
  <si>
    <t>alan jones</t>
  </si>
  <si>
    <t xml:space="preserve"> =PROPER(C4)</t>
  </si>
  <si>
    <t>This function counts the number of characters, including spaces and numbers, in a piece of text.</t>
  </si>
  <si>
    <t>=LEN(Text)</t>
  </si>
  <si>
    <t>No Special formatting is needed.</t>
  </si>
  <si>
    <t>This example shows how the =LEN() function is used in a formula which extracts the</t>
  </si>
  <si>
    <t>See the example for FREQUENCY.</t>
  </si>
  <si>
    <t>Pool Of Items</t>
  </si>
  <si>
    <t>Items In A Group</t>
  </si>
  <si>
    <t>Possible Groups</t>
  </si>
  <si>
    <t xml:space="preserve"> =COMBIN(C4,D4)</t>
  </si>
  <si>
    <t xml:space="preserve"> =COMBIN(C5,D5)</t>
  </si>
  <si>
    <t xml:space="preserve"> =COMBIN(C6,D6)</t>
  </si>
  <si>
    <t>This function calculates the highest number of combinations available based upon</t>
  </si>
  <si>
    <t>a fixed number of items.</t>
  </si>
  <si>
    <t>The internal order of the combination does not matter, so AB is the  same as BA.</t>
  </si>
  <si>
    <t xml:space="preserve"> =COMBIN(HowManyItems,GroupSize)</t>
  </si>
  <si>
    <t>This example calculates the possible number of pairs of letters available</t>
  </si>
  <si>
    <t>from the four characters ABCD.</t>
  </si>
  <si>
    <t>Total Characters</t>
  </si>
  <si>
    <t>Group Size</t>
  </si>
  <si>
    <t>Combinations</t>
  </si>
  <si>
    <t xml:space="preserve"> =COMBIN(C25,D25)</t>
  </si>
  <si>
    <t>The proof !</t>
  </si>
  <si>
    <t>The four letters :</t>
  </si>
  <si>
    <t>ABCD</t>
  </si>
  <si>
    <t>Pair 1</t>
  </si>
  <si>
    <t>AB</t>
  </si>
  <si>
    <t>Pair 2</t>
  </si>
  <si>
    <t>AC</t>
  </si>
  <si>
    <t>Pair 3</t>
  </si>
  <si>
    <t>AD</t>
  </si>
  <si>
    <t>Pair 4</t>
  </si>
  <si>
    <t>BC</t>
  </si>
  <si>
    <t>Pair 5</t>
  </si>
  <si>
    <t>BD</t>
  </si>
  <si>
    <t>Pair 6</t>
  </si>
  <si>
    <t>CD</t>
  </si>
  <si>
    <t>A decorator is asked to design a colour scheme for a new office.</t>
  </si>
  <si>
    <t>The decorator is given five colours to work with, but can only use three in any scheme.</t>
  </si>
  <si>
    <t>How many colours schemes can be created ?</t>
  </si>
  <si>
    <t>Available Colours</t>
  </si>
  <si>
    <t>Colours Per Scheme</t>
  </si>
  <si>
    <t>Totals Schemes</t>
  </si>
  <si>
    <t xml:space="preserve"> =COMBIN(C41,D41)</t>
  </si>
  <si>
    <t>The colours</t>
  </si>
  <si>
    <t>Red</t>
  </si>
  <si>
    <t>Blue</t>
  </si>
  <si>
    <t>Yellow</t>
  </si>
  <si>
    <t>Black</t>
  </si>
  <si>
    <t>Scheme 1</t>
  </si>
  <si>
    <t>Scheme 2</t>
  </si>
  <si>
    <t>Scheme 3</t>
  </si>
  <si>
    <t>Scheme 4</t>
  </si>
  <si>
    <t>Scheme 5</t>
  </si>
  <si>
    <t>Scheme 6</t>
  </si>
  <si>
    <t>Scheme 7</t>
  </si>
  <si>
    <t>Scheme 8</t>
  </si>
  <si>
    <t>Scheme 9</t>
  </si>
  <si>
    <t>Scheme 10</t>
  </si>
  <si>
    <t>??????</t>
  </si>
  <si>
    <t>Name 1</t>
  </si>
  <si>
    <t>Name 2</t>
  </si>
  <si>
    <t>Concatenated Text</t>
  </si>
  <si>
    <t>Jones</t>
  </si>
  <si>
    <t xml:space="preserve"> =CONCATENATE(C4,D4)</t>
  </si>
  <si>
    <t>Williams</t>
  </si>
  <si>
    <t xml:space="preserve"> =CONCATENATE(C5,D5)</t>
  </si>
  <si>
    <t>Davies</t>
  </si>
  <si>
    <t xml:space="preserve"> =CONCATENATE(C6,D6)</t>
  </si>
  <si>
    <t xml:space="preserve"> =CONCATENATE(C7," ",D7)</t>
  </si>
  <si>
    <t xml:space="preserve"> =CONCATENATE(D8,", ",C8)</t>
  </si>
  <si>
    <t xml:space="preserve"> =CONCATENATE(D9,", ",C9)</t>
  </si>
  <si>
    <t>This function joins separate pieces of text into one item.</t>
  </si>
  <si>
    <t xml:space="preserve"> =CONCATENATE(Text1,Text2,Text3...Text30)</t>
  </si>
  <si>
    <t>Up to thirty pieces of text can be joined.</t>
  </si>
  <si>
    <t>No special formatting is needed, the result will be shown as normal text.</t>
  </si>
  <si>
    <t xml:space="preserve"> =C25&amp;D25</t>
  </si>
  <si>
    <t xml:space="preserve"> =C26&amp;D26</t>
  </si>
  <si>
    <t xml:space="preserve"> =C27&amp;D27</t>
  </si>
  <si>
    <t xml:space="preserve"> =C28&amp;" "&amp;D28</t>
  </si>
  <si>
    <t xml:space="preserve"> =D29&amp;", "&amp;C29</t>
  </si>
  <si>
    <t xml:space="preserve"> =STDEV(D35:G35)</t>
  </si>
  <si>
    <t>Machine 3</t>
  </si>
  <si>
    <t xml:space="preserve"> =STDEV(D36:G36)</t>
  </si>
  <si>
    <t xml:space="preserve">The smallest deviation is : </t>
  </si>
  <si>
    <t xml:space="preserve"> =MIN(H34:H36)</t>
  </si>
  <si>
    <t xml:space="preserve">The machine with the smallest deviation is : </t>
  </si>
  <si>
    <t xml:space="preserve"> =INDEX(C34:C36,MATCH(MIN(H34:H36),H34:H36,0))</t>
  </si>
  <si>
    <t>Explanation of formula:</t>
  </si>
  <si>
    <t>This finds the lowest value.</t>
  </si>
  <si>
    <r>
      <t xml:space="preserve">These two cells are the </t>
    </r>
    <r>
      <rPr>
        <b/>
        <i/>
        <sz val="10"/>
        <rFont val="Arial"/>
      </rPr>
      <t>Criteria</t>
    </r>
    <r>
      <rPr>
        <i/>
        <sz val="10"/>
        <rFont val="Arial"/>
      </rPr>
      <t xml:space="preserve"> range.</t>
    </r>
  </si>
  <si>
    <r>
      <t xml:space="preserve">The </t>
    </r>
    <r>
      <rPr>
        <b/>
        <sz val="10"/>
        <rFont val="Arial"/>
      </rPr>
      <t>DatabaseRange</t>
    </r>
    <r>
      <rPr>
        <sz val="10"/>
        <rFont val="Arial"/>
      </rPr>
      <t xml:space="preserve"> is the entire list of information you need to examine, including the</t>
    </r>
  </si>
  <si>
    <r>
      <t xml:space="preserve">The </t>
    </r>
    <r>
      <rPr>
        <b/>
        <sz val="10"/>
        <rFont val="Arial"/>
      </rPr>
      <t>FieldName</t>
    </r>
    <r>
      <rPr>
        <sz val="10"/>
        <rFont val="Arial"/>
      </rPr>
      <t xml:space="preserve"> is the name, or cell, of the values to be averaged, such as "Unit Cost" or F3.</t>
    </r>
  </si>
  <si>
    <r>
      <t xml:space="preserve">The </t>
    </r>
    <r>
      <rPr>
        <b/>
        <sz val="10"/>
        <rFont val="Arial"/>
      </rPr>
      <t>CriteriaRange</t>
    </r>
    <r>
      <rPr>
        <sz val="10"/>
        <rFont val="Arial"/>
      </rPr>
      <t xml:space="preserve"> is made up of two types of information.</t>
    </r>
  </si>
  <si>
    <t>Full Date</t>
  </si>
  <si>
    <t>The Day</t>
  </si>
  <si>
    <t xml:space="preserve"> =DAY(C4)</t>
  </si>
  <si>
    <t xml:space="preserve"> =DAY(C5)</t>
  </si>
  <si>
    <t xml:space="preserve"> =DAY(C6)</t>
  </si>
  <si>
    <t>This function extracts the day of the month from a complete date.</t>
  </si>
  <si>
    <t xml:space="preserve"> =DAY(value)</t>
  </si>
  <si>
    <t>Normally the result will be a number, but this can be formatted to show the actual</t>
  </si>
  <si>
    <t>day of the week by using Format,Cells,Number,Custom and using the code ddd or dddd.</t>
  </si>
  <si>
    <t>The =DAY function has been used to calculate the name of the day for your birthday.</t>
  </si>
  <si>
    <t xml:space="preserve">Please enter your date of birth in the format dd/mm/yy : </t>
  </si>
  <si>
    <t xml:space="preserve">You were born on  : </t>
  </si>
  <si>
    <t xml:space="preserve"> =DAY(F21)</t>
  </si>
  <si>
    <t>StartDate</t>
  </si>
  <si>
    <t>EndDate</t>
  </si>
  <si>
    <t>Days Between</t>
  </si>
  <si>
    <t>* See the Note below.</t>
  </si>
  <si>
    <t xml:space="preserve"> =DAYS360(C4,D4,TRUE)</t>
  </si>
  <si>
    <t xml:space="preserve"> =DAYS360(C5,D5,TRUE)</t>
  </si>
  <si>
    <t xml:space="preserve"> =DAYS360(C6,D6,TRUE)</t>
  </si>
  <si>
    <t xml:space="preserve"> =DAYS360(C7,D7,TRUE)</t>
  </si>
  <si>
    <t>Shows the number of days between two dates based on a 360-day year (twelve 30-day months).</t>
  </si>
  <si>
    <t>Use this function if your accounting system is based on twelve 30-day months.</t>
  </si>
  <si>
    <t xml:space="preserve"> =DAYS360(StartDate,EndDate,TRUE of FALSE)</t>
  </si>
  <si>
    <t xml:space="preserve">   TRUE : Use this for European accounting systems.</t>
  </si>
  <si>
    <t xml:space="preserve">   FALSE : Use this for USA accounting systems.</t>
  </si>
  <si>
    <t>The calculation does not include the last day. The result of using 1-Jan-98 and 5-Jan-98 will</t>
  </si>
  <si>
    <t>give a result of 4. To correct this add 1 to the result. =DAYS360(Start,End,TRUE)+1</t>
  </si>
  <si>
    <t xml:space="preserve">Purchase Price : </t>
  </si>
  <si>
    <t xml:space="preserve">Life in Years : </t>
  </si>
  <si>
    <t xml:space="preserve">Salvage value : </t>
  </si>
  <si>
    <t>Deprecation</t>
  </si>
  <si>
    <t xml:space="preserve"> =DB(E3,E5,E4,D8)</t>
  </si>
  <si>
    <t xml:space="preserve"> =DB(E3,E5,E4,D9)</t>
  </si>
  <si>
    <t xml:space="preserve"> =DB(E3,E5,E4,D10)</t>
  </si>
  <si>
    <t xml:space="preserve"> =DB(E3,E5,E4,D11)</t>
  </si>
  <si>
    <t xml:space="preserve"> =DB(E3,E5,E4,D12)</t>
  </si>
  <si>
    <t xml:space="preserve">Total Depreciation : </t>
  </si>
  <si>
    <t>* See example 4 below.</t>
  </si>
  <si>
    <t>This function calculates deprecation based upon a fixed percentage.</t>
  </si>
  <si>
    <t>The first year is depreciated by the fixed percentage.</t>
  </si>
  <si>
    <t>The second year uses the same percentage, but uses the original value of the item less</t>
  </si>
  <si>
    <t>the first years depreciation.</t>
  </si>
  <si>
    <t>Any subsequent years use the same percentage, using the original value of the item less</t>
  </si>
  <si>
    <t>the depreciation of the previous years.</t>
  </si>
  <si>
    <t>The percentage used in the depreciation is not set by the user, the function calculates</t>
  </si>
  <si>
    <t>the necessary percentage, which will be vary based upon the values inputted by the user.</t>
  </si>
  <si>
    <t>An additional feature of this function is the ability to take into account when the item was</t>
  </si>
  <si>
    <t>originally purchased.</t>
  </si>
  <si>
    <t>If the item was purchased part way through the financial year, the first years depreciation</t>
  </si>
  <si>
    <t>will be based on the remaining part of the year.</t>
  </si>
  <si>
    <t>=DB(PurchasePrice,SalvageValue,Life,PeriodToCalculate,FirstYearMonth)</t>
  </si>
  <si>
    <t>The FirstYearMonth is the month in which the item was purchased during the</t>
  </si>
  <si>
    <t>first financial year. This is an optional value, if it not used the function will assume 12 as</t>
  </si>
  <si>
    <t>the value.</t>
  </si>
  <si>
    <t>This example shows the percentage used in the depreciation.</t>
  </si>
  <si>
    <t>Year 1 depreciation is based upon the original Purchase Price alone.</t>
  </si>
  <si>
    <t>Year 2 depreciation is based upon the original Purchase Price minus Year 1 deprecation.</t>
  </si>
  <si>
    <t>Year 3 deprecation is based upon original Purchase Price minus Year 1 + Year 2 deprecation.</t>
  </si>
  <si>
    <t>The % Deprc has been calculated purely to demonstrate what % is being used.</t>
  </si>
  <si>
    <t>% Deprc</t>
  </si>
  <si>
    <t xml:space="preserve"> =DB(E47,E48,E49,D56)</t>
  </si>
  <si>
    <t>This example is similar to the previous, with the exception of the deprecation being calculated</t>
  </si>
  <si>
    <t>on a monthly basis. This has been done by multiplying the years by 12.</t>
  </si>
  <si>
    <t xml:space="preserve"> =DB(E66,E68,E67*12,D75)</t>
  </si>
  <si>
    <t>This example shows how the length of the first years ownership has been taken into account.</t>
  </si>
  <si>
    <t xml:space="preserve">First Year Ownership In Months : </t>
  </si>
  <si>
    <t xml:space="preserve"> =DB(E74,E76,E75,D84,E77)</t>
  </si>
  <si>
    <t>Why Is The Answer Wrong ?</t>
  </si>
  <si>
    <t>In all of the examples above the total depreceation may not be exactly the expected value.</t>
  </si>
  <si>
    <t>This is due to the way in which the percentage value for the depreceation has been calculated</t>
  </si>
  <si>
    <t>by the =DB() fumction.</t>
  </si>
  <si>
    <t>The percentage rate is calculated by Execl using the formula = 1 - ((salvage / cost) ^ (1 / life)).</t>
  </si>
  <si>
    <t>The result of this calculation is then rounded to three decimal places.</t>
  </si>
  <si>
    <t>Although this rounding may only make a minor change to the percentage rate, when applied</t>
  </si>
  <si>
    <t>to large values, the differnce is compounded resulting in what could be considered as</t>
  </si>
  <si>
    <t>approximate values for the the depreceation.</t>
  </si>
  <si>
    <t>The =MONTH function has been used to calculate the name of the month for your birthday.</t>
  </si>
  <si>
    <t>Please enter your date of birth in the format dd/mm/yy</t>
  </si>
  <si>
    <t xml:space="preserve">You were born in </t>
  </si>
  <si>
    <t xml:space="preserve"> =MONTH(F20)</t>
  </si>
  <si>
    <t>Multiple</t>
  </si>
  <si>
    <t>Rounded
Value</t>
  </si>
  <si>
    <t xml:space="preserve"> =MROUND(C4,D4)</t>
  </si>
  <si>
    <t xml:space="preserve"> =MROUND(C5,D5)</t>
  </si>
  <si>
    <t xml:space="preserve"> =MROUND(C6,D6)</t>
  </si>
  <si>
    <t xml:space="preserve"> =MROUND(C7,D7)</t>
  </si>
  <si>
    <t xml:space="preserve"> =MROUND(C8,D8)</t>
  </si>
  <si>
    <t>This function rounds a number up or down to the nearest multiple specified by the user.</t>
  </si>
  <si>
    <t>=MROUND(NumberToRound,MultipleToUse)</t>
  </si>
  <si>
    <t>Original</t>
  </si>
  <si>
    <t>Converted</t>
  </si>
  <si>
    <t xml:space="preserve"> =N(C4)</t>
  </si>
  <si>
    <t xml:space="preserve"> =N(C5)</t>
  </si>
  <si>
    <t xml:space="preserve"> =N(C6)</t>
  </si>
  <si>
    <t xml:space="preserve"> =N(C7)</t>
  </si>
  <si>
    <t xml:space="preserve"> =N(C8)</t>
  </si>
  <si>
    <t xml:space="preserve"> =N(C9)</t>
  </si>
  <si>
    <t xml:space="preserve"> =N(C10)</t>
  </si>
  <si>
    <t xml:space="preserve"> =N(C11)</t>
  </si>
  <si>
    <t xml:space="preserve"> =N(C12)</t>
  </si>
  <si>
    <t>This function converts a numeric entry to its mathematical value.</t>
  </si>
  <si>
    <t>Anything which will not convert is shown as 0 zero.</t>
  </si>
  <si>
    <t>Excel does not really need this function, due to the fact that Excel calculates in this way</t>
  </si>
  <si>
    <t>naturally. The function is included for compatibility with other spreadsheet programs.</t>
  </si>
  <si>
    <t>=N(NumericEntry)</t>
  </si>
  <si>
    <t xml:space="preserve"> =NA()</t>
  </si>
  <si>
    <t>Test</t>
  </si>
  <si>
    <t xml:space="preserve"> =IF(ISBLANK(C6),NA(),C6+1)</t>
  </si>
  <si>
    <t xml:space="preserve"> =IF(ISBLANK(C7),NA(),C7+1)</t>
  </si>
  <si>
    <t xml:space="preserve"> =IF(ISBLANK(C8),NA(),C8+1)</t>
  </si>
  <si>
    <t xml:space="preserve"> =SUM(D11:D14)</t>
  </si>
  <si>
    <t>This function is a place marker used to indicate that required information is Not Available.</t>
  </si>
  <si>
    <t>It can be type directly in to a cell as =NA() or it can be used as part of a calculation.</t>
  </si>
  <si>
    <t>When the =NA() is used, any calculations which depend upon the cell will also show #NA.</t>
  </si>
  <si>
    <t>It is used to indicate that all the data has not yet been entered in to the spreadsheet.</t>
  </si>
  <si>
    <t>=NA()</t>
  </si>
  <si>
    <t>The following table was used by a company to calculate the monthly Wage of an employee.</t>
  </si>
  <si>
    <t>The Salary and Tax percentage are entered.</t>
  </si>
  <si>
    <t>The Tax is then deducted from the Salary to calculate the Wage.</t>
  </si>
  <si>
    <t>Table 1 shows that when the Tax is not entered, the Wage is still calculated.</t>
  </si>
  <si>
    <t>On a large spreadsheet this may go unnoticed and the wrong Wage paid.</t>
  </si>
  <si>
    <t>Tax %</t>
  </si>
  <si>
    <t>Pay</t>
  </si>
  <si>
    <t xml:space="preserve"> =C39-C39*D39</t>
  </si>
  <si>
    <t xml:space="preserve"> =C40-C40*D40</t>
  </si>
  <si>
    <t xml:space="preserve"> =C41-C41*D41</t>
  </si>
  <si>
    <t>This finds the position of the lowest value.</t>
  </si>
  <si>
    <t xml:space="preserve"> =MATCH(MIN(H34:H36),H34:H36,0)</t>
  </si>
  <si>
    <t>This looks down the Machine column to</t>
  </si>
  <si>
    <t>find the machine name.</t>
  </si>
  <si>
    <t xml:space="preserve"> =STDEVP(C4:C7)</t>
  </si>
  <si>
    <t xml:space="preserve"> =STDEVP(E4:E7)</t>
  </si>
  <si>
    <t xml:space="preserve"> =STDEVP(G4:G7)</t>
  </si>
  <si>
    <t>This function calculates the standard deviation of a list of values.</t>
  </si>
  <si>
    <t>The result is calculated on the basis that the values represent the entire population.</t>
  </si>
  <si>
    <t>=STDEVP(Range1,Range2,Range3 through to Range30)</t>
  </si>
  <si>
    <t>A trial run of just four boxes per machine were produced.</t>
  </si>
  <si>
    <t>The boxes were weighed and the =STDEVP() function used as these boxes</t>
  </si>
  <si>
    <t>represented the entire test run.</t>
  </si>
  <si>
    <t>The machine with the smallest variance was the most consistent. ????????????????????</t>
  </si>
  <si>
    <t xml:space="preserve"> =STDEVP(D32:G32)</t>
  </si>
  <si>
    <t xml:space="preserve"> =STDEVP(D33:G33)</t>
  </si>
  <si>
    <t xml:space="preserve"> =STDEVP(D34:G34)</t>
  </si>
  <si>
    <t xml:space="preserve">The smallest variance is : </t>
  </si>
  <si>
    <t xml:space="preserve"> =MIN(H32:H34)</t>
  </si>
  <si>
    <t xml:space="preserve">The machine with the smallest variance is : </t>
  </si>
  <si>
    <t xml:space="preserve"> =INDEX(C32:C34,MATCH(MIN(H32:H34),H32:H34,0))</t>
  </si>
  <si>
    <t xml:space="preserve"> =(MIN(H32:H34)</t>
  </si>
  <si>
    <t xml:space="preserve"> =MATCH(MIN(H32:H34),H32:H34,0)</t>
  </si>
  <si>
    <t>Old Text
To Remove</t>
  </si>
  <si>
    <t>New Text
To Insert</t>
  </si>
  <si>
    <t>Updated Text</t>
  </si>
  <si>
    <t>ABCDEF</t>
  </si>
  <si>
    <t xml:space="preserve"> =SUBSTITUTE(B4,C4,D4)</t>
  </si>
  <si>
    <t>ABCDABCD</t>
  </si>
  <si>
    <t xml:space="preserve"> =SUBSTITUTE(B5,C5,D5)</t>
  </si>
  <si>
    <t>Northern Region</t>
  </si>
  <si>
    <t xml:space="preserve"> =SUBSTITUTE(B6,C6,D6)</t>
  </si>
  <si>
    <t>Sand and Cement</t>
  </si>
  <si>
    <t>and</t>
  </si>
  <si>
    <t>&amp;</t>
  </si>
  <si>
    <t xml:space="preserve"> =SUBSTITUTE(B7,C7,D7)</t>
  </si>
  <si>
    <t>Instance To
Be Replaced</t>
  </si>
  <si>
    <t>ABCABCABC</t>
  </si>
  <si>
    <t>ABC</t>
  </si>
  <si>
    <t xml:space="preserve"> =SUBSTITUTE(B10,C10,D10,E10)</t>
  </si>
  <si>
    <t xml:space="preserve"> =SUBSTITUTE(B11,C11,D11,E11)</t>
  </si>
  <si>
    <t>This function replaces a specified piece of text with a different piece of text.</t>
  </si>
  <si>
    <t>It can either replace all occurrences of the text, or a specific instance.</t>
  </si>
  <si>
    <t xml:space="preserve"> =SIGN(C7)</t>
  </si>
  <si>
    <t xml:space="preserve"> =SIGN(C8)</t>
  </si>
  <si>
    <t>This function tests a value to determine whether it is positive or negative.</t>
  </si>
  <si>
    <t>If the value is positive the result is 1.</t>
  </si>
  <si>
    <t>If the value is negative the result is -1.</t>
  </si>
  <si>
    <t>If the value is zero 0 the result is 0.</t>
  </si>
  <si>
    <t>=SIGN(CellToTest)</t>
  </si>
  <si>
    <t>The CellToTest can be a cell or a calculation.</t>
  </si>
  <si>
    <t>Salvage</t>
  </si>
  <si>
    <t>Life</t>
  </si>
  <si>
    <t>Straight Line Depreciation</t>
  </si>
  <si>
    <t xml:space="preserve"> =SLN(F3,F4,F5)</t>
  </si>
  <si>
    <t>Purchase Value Of A New Car</t>
  </si>
  <si>
    <t>Second Hand Value</t>
  </si>
  <si>
    <t>Number Of Years Ownership</t>
  </si>
  <si>
    <t>Annual Straight Line Depreciation</t>
  </si>
  <si>
    <t xml:space="preserve"> =SLN(F9,F10,F11)</t>
  </si>
  <si>
    <t>This function calculates the Straight Line Depreciation of an item.</t>
  </si>
  <si>
    <t>(Also known as Fixed Instalment method).</t>
  </si>
  <si>
    <t>The Straight Line Depreciation is how much the value of an item reduced during a specific</t>
  </si>
  <si>
    <t>period of time. The result is a uniform depreciation value.</t>
  </si>
  <si>
    <t>An example would be if you bought a new car for £20,000, then kept it for 6 years.</t>
  </si>
  <si>
    <t>At the end of your ownership you sell the car for £8,000.</t>
  </si>
  <si>
    <t>The difference between the original and the trade in price is £20,000 - £8,000 which is £12,000.</t>
  </si>
  <si>
    <t>Because you owned the car for 6 years, the SLN is calculated as £12,000 / 6 which is £2,000.</t>
  </si>
  <si>
    <t>=SLN(OriginalCost,SellingPrice,LengthOfOwnership)</t>
  </si>
  <si>
    <t>The LengthOfOwnership can be any time period, days, months or years.</t>
  </si>
  <si>
    <t>However, the SLN which is calculated will, be for that time, specifying 2 years ownership</t>
  </si>
  <si>
    <t>as 24 months will give an SLN per month.</t>
  </si>
  <si>
    <t>Lowest Value</t>
  </si>
  <si>
    <t xml:space="preserve"> =SMALL(C4:C8,1)</t>
  </si>
  <si>
    <t>2nd Lowest Value</t>
  </si>
  <si>
    <t xml:space="preserve"> =SMALL(C4:C8,2)</t>
  </si>
  <si>
    <t>3rd Lowest Value</t>
  </si>
  <si>
    <t xml:space="preserve"> =SMALL(C4:C8,3)</t>
  </si>
  <si>
    <t>4th Lowest Value</t>
  </si>
  <si>
    <t xml:space="preserve"> =SMALL(C4:C8,4)</t>
  </si>
  <si>
    <t>5th Lowest Value</t>
  </si>
  <si>
    <t xml:space="preserve"> =SMALL(C4:C8,5)</t>
  </si>
  <si>
    <t>=SMALL(ListOfNumbersToExamine,PositionToPickFrom)</t>
  </si>
  <si>
    <t>The following table was used to calculate the bottom 3 sales figures between Jan, Feb and Mar.</t>
  </si>
  <si>
    <t xml:space="preserve"> =SMALL(D24:F27,1)</t>
  </si>
  <si>
    <t xml:space="preserve"> =SMALL(D24:F27,2)</t>
  </si>
  <si>
    <t xml:space="preserve"> =SMALL(D24:F27,3)</t>
  </si>
  <si>
    <t xml:space="preserve"> =STDEV(C4:C7)</t>
  </si>
  <si>
    <t xml:space="preserve"> =STDEV(E4:E7)</t>
  </si>
  <si>
    <t>The RangeToLookIn is the range of data with the row headings at the left hand side.</t>
  </si>
  <si>
    <t>The ColumnToPickFrom is how far across the table the function should look to pick from.</t>
  </si>
  <si>
    <t>This table is used to find a value based on a specified name and month.</t>
  </si>
  <si>
    <t>The =VLOOKUP() is used to scan down to find the name.</t>
  </si>
  <si>
    <t>The problem arises when we need to scan across to find the month column.</t>
  </si>
  <si>
    <t>The =MATCH() looks through the list of names to find the month we require. It then calculates</t>
  </si>
  <si>
    <t>the position of the month in the list. Unfortunately, because the list of months is not as wide</t>
  </si>
  <si>
    <t>The =VLOOKUP() now uses this =MATCH() number to look across the columns and</t>
  </si>
  <si>
    <t>The =VLOOKUP() uses FALSE at the end of the function to indicate to Excel that the</t>
  </si>
  <si>
    <t>row headings are not sorted.</t>
  </si>
  <si>
    <t>mar</t>
  </si>
  <si>
    <t xml:space="preserve"> =VLOOKUP(F56,C50:F54,MATCH(F57,D49:F49,0)+1,FALSE)</t>
  </si>
  <si>
    <t>This example shows how the =VLOOKUP() is used to pick the cost of a spare part for</t>
  </si>
  <si>
    <t>The =VLOOKUP() scans down row headings in column F for the spare part entered in column C.</t>
  </si>
  <si>
    <t>When the make is found, the =VLOOKUP() then scans across to find the price, using the</t>
  </si>
  <si>
    <t>result of the =MATCH() function to find the position of the make of car.</t>
  </si>
  <si>
    <t>The functions use the absolute ranges indicated by the dollar symbol . This ensures that</t>
  </si>
  <si>
    <t>when the formula is copied to more cells, the ranges for =VLOOKUP() and =MATCH() do</t>
  </si>
  <si>
    <t>Lookup Table</t>
  </si>
  <si>
    <t xml:space="preserve"> =VLOOKUP(C81,F75:I79,MATCH(B81,G74:I74,0)+1,FALSE)</t>
  </si>
  <si>
    <t>The name of the Item is typed in column C of the Orders Table.</t>
  </si>
  <si>
    <t xml:space="preserve">   names down the side of the Unit Cost Table are not sorted.</t>
  </si>
  <si>
    <t xml:space="preserve">   =VLOOKUP(C126,C114:D116,2,FALSE)</t>
  </si>
  <si>
    <t>If the Quantity Ordered matches a value at the side of the Discount Table the =VLOOKUP will</t>
  </si>
  <si>
    <t>look across to find the correct discount.</t>
  </si>
  <si>
    <t xml:space="preserve">   down the side of the Discount Table are sorted.</t>
  </si>
  <si>
    <t xml:space="preserve">   not match a value at the side of the Discount Table, the next lowest value is used. </t>
  </si>
  <si>
    <t xml:space="preserve">   the 100 row is used.</t>
  </si>
  <si>
    <t xml:space="preserve">   =VLOOKUP(D126,F114:I116,MATCH(C126,G113:I113,0)+1,TRUE)</t>
  </si>
  <si>
    <t>Formula for :</t>
  </si>
  <si>
    <t>But because the * is calculated first Excel sees the</t>
  </si>
  <si>
    <t>Example 2 : The correct answer.</t>
  </si>
  <si>
    <t>=(C27+C28)*C29</t>
  </si>
  <si>
    <r>
      <t xml:space="preserve">The need for brackets occurs when you mix </t>
    </r>
    <r>
      <rPr>
        <sz val="10"/>
        <color indexed="12"/>
        <rFont val="Arial"/>
        <family val="2"/>
      </rPr>
      <t>plus</t>
    </r>
    <r>
      <rPr>
        <sz val="10"/>
        <rFont val="Arial"/>
      </rPr>
      <t xml:space="preserve"> or </t>
    </r>
    <r>
      <rPr>
        <sz val="10"/>
        <color indexed="12"/>
        <rFont val="Arial"/>
        <family val="2"/>
      </rPr>
      <t>minus</t>
    </r>
    <r>
      <rPr>
        <sz val="10"/>
        <rFont val="Arial"/>
      </rPr>
      <t xml:space="preserve"> with </t>
    </r>
    <r>
      <rPr>
        <sz val="10"/>
        <color indexed="17"/>
        <rFont val="Arial"/>
        <family val="2"/>
      </rPr>
      <t>divide</t>
    </r>
    <r>
      <rPr>
        <sz val="10"/>
        <rFont val="Arial"/>
      </rPr>
      <t xml:space="preserve"> or </t>
    </r>
    <r>
      <rPr>
        <sz val="10"/>
        <color indexed="17"/>
        <rFont val="Arial"/>
        <family val="2"/>
      </rPr>
      <t>multiply</t>
    </r>
    <r>
      <rPr>
        <sz val="10"/>
        <rFont val="Arial"/>
      </rPr>
      <t>.</t>
    </r>
  </si>
  <si>
    <r>
      <t xml:space="preserve">Mathematically speaking the </t>
    </r>
    <r>
      <rPr>
        <sz val="10"/>
        <color indexed="17"/>
        <rFont val="Arial"/>
        <family val="2"/>
      </rPr>
      <t>*</t>
    </r>
    <r>
      <rPr>
        <sz val="10"/>
        <rFont val="Arial"/>
      </rPr>
      <t xml:space="preserve"> and </t>
    </r>
    <r>
      <rPr>
        <sz val="10"/>
        <color indexed="17"/>
        <rFont val="Arial"/>
        <family val="2"/>
      </rPr>
      <t>/</t>
    </r>
    <r>
      <rPr>
        <sz val="10"/>
        <rFont val="Arial"/>
      </rPr>
      <t xml:space="preserve"> are more important than </t>
    </r>
    <r>
      <rPr>
        <sz val="10"/>
        <color indexed="12"/>
        <rFont val="Arial"/>
        <family val="2"/>
      </rPr>
      <t>+</t>
    </r>
    <r>
      <rPr>
        <sz val="10"/>
        <rFont val="Arial"/>
      </rPr>
      <t xml:space="preserve"> and</t>
    </r>
    <r>
      <rPr>
        <sz val="10"/>
        <color indexed="12"/>
        <rFont val="Arial"/>
        <family val="2"/>
      </rPr>
      <t xml:space="preserve"> -</t>
    </r>
    <r>
      <rPr>
        <sz val="10"/>
        <rFont val="Arial"/>
      </rPr>
      <t xml:space="preserve"> .</t>
    </r>
  </si>
  <si>
    <r>
      <t xml:space="preserve">The </t>
    </r>
    <r>
      <rPr>
        <b/>
        <sz val="12"/>
        <color indexed="17"/>
        <rFont val="Arial"/>
        <family val="2"/>
      </rPr>
      <t>*</t>
    </r>
    <r>
      <rPr>
        <sz val="10"/>
        <rFont val="Arial"/>
      </rPr>
      <t xml:space="preserve"> and </t>
    </r>
    <r>
      <rPr>
        <b/>
        <sz val="12"/>
        <color indexed="17"/>
        <rFont val="Arial"/>
        <family val="2"/>
      </rPr>
      <t>/</t>
    </r>
    <r>
      <rPr>
        <sz val="10"/>
        <rFont val="Arial"/>
      </rPr>
      <t xml:space="preserve"> operations will be calculated before </t>
    </r>
    <r>
      <rPr>
        <b/>
        <sz val="12"/>
        <color indexed="12"/>
        <rFont val="Arial"/>
        <family val="2"/>
      </rPr>
      <t>+</t>
    </r>
    <r>
      <rPr>
        <sz val="10"/>
        <rFont val="Arial"/>
      </rPr>
      <t xml:space="preserve"> and</t>
    </r>
    <r>
      <rPr>
        <b/>
        <sz val="12"/>
        <color indexed="12"/>
        <rFont val="Arial"/>
        <family val="2"/>
      </rPr>
      <t xml:space="preserve"> -</t>
    </r>
    <r>
      <rPr>
        <sz val="10"/>
        <rFont val="Arial"/>
      </rPr>
      <t xml:space="preserve"> .</t>
    </r>
  </si>
  <si>
    <t>You can calculate a persons age based on their birthday and todays date.</t>
  </si>
  <si>
    <t>The DATEDIF() is not documented in Excel 5, 7 or 97, but it is in 2000.</t>
  </si>
  <si>
    <t>(Makes you wonder what else Microsoft forgot to tell us!)</t>
  </si>
  <si>
    <t>Birth date :</t>
  </si>
  <si>
    <t>Years lived :</t>
  </si>
  <si>
    <t xml:space="preserve"> =DATEDIF(C8,TODAY(),"y")</t>
  </si>
  <si>
    <t>and the months :</t>
  </si>
  <si>
    <t xml:space="preserve"> =DATEDIF(C8,TODAY(),"ym")</t>
  </si>
  <si>
    <t>and the days :</t>
  </si>
  <si>
    <t xml:space="preserve"> =DATEDIF(C8,TODAY(),"md")</t>
  </si>
  <si>
    <t>You can put this all together in one calculation, which creates a text version.</t>
  </si>
  <si>
    <t xml:space="preserve"> ="Age is "&amp;DATEDIF(C8,TODAY(),"y")&amp;" Years, "&amp;DATEDIF(C8,TODAY(),"ym")&amp;" Months and "&amp;DATEDIF(C8,TODAY(),"md")&amp;" Days"</t>
  </si>
  <si>
    <t>Another way to calculate age</t>
  </si>
  <si>
    <t>This method gives you an age which may potentially have decimal places representing the months.</t>
  </si>
  <si>
    <t>If the age is 20.5, the .5 represents 6 months.</t>
  </si>
  <si>
    <t>Age is :</t>
  </si>
  <si>
    <t xml:space="preserve"> =(TODAY()-C23)/365.25</t>
  </si>
  <si>
    <r>
      <t xml:space="preserve">The calculation uses the </t>
    </r>
    <r>
      <rPr>
        <sz val="10"/>
        <color indexed="12"/>
        <rFont val="Arial"/>
        <family val="2"/>
      </rPr>
      <t>DATEDIF()</t>
    </r>
    <r>
      <rPr>
        <sz val="10"/>
        <rFont val="Arial"/>
      </rPr>
      <t xml:space="preserve"> function.</t>
    </r>
  </si>
  <si>
    <t>Instead of using the AutoSum button from the toolbar,</t>
  </si>
  <si>
    <t>Try it here :</t>
  </si>
  <si>
    <t>or</t>
  </si>
  <si>
    <r>
      <t xml:space="preserve">you can press </t>
    </r>
    <r>
      <rPr>
        <b/>
        <sz val="10"/>
        <color indexed="12"/>
        <rFont val="Arial"/>
        <family val="2"/>
      </rPr>
      <t>Alt</t>
    </r>
    <r>
      <rPr>
        <sz val="10"/>
        <rFont val="Arial"/>
      </rPr>
      <t xml:space="preserve"> and </t>
    </r>
    <r>
      <rPr>
        <b/>
        <sz val="10"/>
        <color indexed="12"/>
        <rFont val="Arial"/>
        <family val="2"/>
      </rPr>
      <t>=</t>
    </r>
    <r>
      <rPr>
        <sz val="10"/>
        <rFont val="Arial"/>
      </rPr>
      <t xml:space="preserve"> to achieve the same result.</t>
    </r>
  </si>
  <si>
    <r>
      <t xml:space="preserve">Move to a blank cell in the Total row or column, then press </t>
    </r>
    <r>
      <rPr>
        <b/>
        <sz val="10"/>
        <color indexed="12"/>
        <rFont val="Arial"/>
        <family val="2"/>
      </rPr>
      <t>Alt</t>
    </r>
    <r>
      <rPr>
        <sz val="10"/>
        <rFont val="Arial"/>
      </rPr>
      <t xml:space="preserve"> and </t>
    </r>
    <r>
      <rPr>
        <b/>
        <sz val="10"/>
        <color indexed="12"/>
        <rFont val="Arial"/>
        <family val="2"/>
      </rPr>
      <t>=</t>
    </r>
    <r>
      <rPr>
        <sz val="10"/>
        <rFont val="Arial"/>
      </rPr>
      <t>.</t>
    </r>
  </si>
  <si>
    <r>
      <t xml:space="preserve">Select a row, column or all cells and then press </t>
    </r>
    <r>
      <rPr>
        <b/>
        <sz val="10"/>
        <color indexed="12"/>
        <rFont val="Arial"/>
        <family val="2"/>
      </rPr>
      <t>Alt</t>
    </r>
    <r>
      <rPr>
        <sz val="10"/>
        <rFont val="Arial"/>
      </rPr>
      <t xml:space="preserve"> and </t>
    </r>
    <r>
      <rPr>
        <b/>
        <sz val="10"/>
        <color indexed="12"/>
        <rFont val="Arial"/>
        <family val="2"/>
      </rPr>
      <t>=</t>
    </r>
    <r>
      <rPr>
        <sz val="10"/>
        <rFont val="Arial"/>
      </rPr>
      <t>.</t>
    </r>
  </si>
  <si>
    <t>Number</t>
  </si>
  <si>
    <t>Absolute Value</t>
  </si>
  <si>
    <t>=ABS(C4)</t>
  </si>
  <si>
    <t>=ABS(C5)</t>
  </si>
  <si>
    <t>=ABS(C6)</t>
  </si>
  <si>
    <t>=ABS(C7)</t>
  </si>
  <si>
    <t>What Does it Do ?</t>
  </si>
  <si>
    <t>This function calculates the value of a number, irrespective of whether it is positive or negative.</t>
  </si>
  <si>
    <t>Syntax</t>
  </si>
  <si>
    <t xml:space="preserve"> =ABS(CellAddress or Number)</t>
  </si>
  <si>
    <t>The result will be shown as a number, no special formatting is needed.</t>
  </si>
  <si>
    <t>Example</t>
  </si>
  <si>
    <t>The following table was used by a company testing a machine which cuts timber.</t>
  </si>
  <si>
    <t>The machine needs to cut timber to an exact length.</t>
  </si>
  <si>
    <t>Three pieces of timber were cut and then measured.</t>
  </si>
  <si>
    <t>In calculating the difference between the Required Length and the Actual Length it does</t>
  </si>
  <si>
    <t>not matter if the wood was cut too long or short, the measurement needs to be expressed as</t>
  </si>
  <si>
    <t>an absolute value.</t>
  </si>
  <si>
    <t>Table 1 shows the original calculations.</t>
  </si>
  <si>
    <t>The Difference for Test 3 is shown as negative, which has a knock on effect</t>
  </si>
  <si>
    <t>when the Error Percentage is calculated.</t>
  </si>
  <si>
    <t>Whether the wood was too long or short, the percentage should still be expressed</t>
  </si>
  <si>
    <t>as an absolute value.</t>
  </si>
  <si>
    <t>Table 1</t>
  </si>
  <si>
    <t>Test
Cut</t>
  </si>
  <si>
    <t>Required
Length</t>
  </si>
  <si>
    <t>Actual
Length</t>
  </si>
  <si>
    <t>Difference</t>
  </si>
  <si>
    <t>Error
Percentage</t>
  </si>
  <si>
    <t>Test 1</t>
  </si>
  <si>
    <t>Test 2</t>
  </si>
  <si>
    <t>Test 3</t>
  </si>
  <si>
    <t>=D36-E36</t>
  </si>
  <si>
    <t>Table 2 shows the same data but using the =ABS() function to correct the calculations.</t>
  </si>
  <si>
    <t>Table 2</t>
  </si>
  <si>
    <t>=ABS(D45-E45)</t>
  </si>
  <si>
    <t xml:space="preserve">Type a column number : </t>
  </si>
  <si>
    <t xml:space="preserve">Type a row number : </t>
  </si>
  <si>
    <t xml:space="preserve">Type a sheet name : </t>
  </si>
  <si>
    <t>Hello</t>
  </si>
  <si>
    <t xml:space="preserve"> =ADDRESS(F4,F3,1,TRUE)</t>
  </si>
  <si>
    <t xml:space="preserve"> =ADDRESS(F4,F3,2,TRUE)</t>
  </si>
  <si>
    <t xml:space="preserve"> =ADDRESS(F4,F3,3,TRUE)</t>
  </si>
  <si>
    <t xml:space="preserve"> =ADDRESS(F4,F3,4,TRUE)</t>
  </si>
  <si>
    <t xml:space="preserve"> =ADDRESS(F4,F3,1,FALSE)</t>
  </si>
  <si>
    <t xml:space="preserve"> =ADDRESS(F4,F3,2,FALSE)</t>
  </si>
  <si>
    <t xml:space="preserve"> =ADDRESS(F4,F3,3,FALSE)</t>
  </si>
  <si>
    <t xml:space="preserve"> =ADDRESS(F4,F3,4,FALSE)</t>
  </si>
  <si>
    <t>This is an extended version of the previous example.</t>
  </si>
  <si>
    <t>It allows the names of products and the quarters to be entered.</t>
  </si>
  <si>
    <t>The =MATCH() function is used to find the row and column positions of the names entered.</t>
  </si>
  <si>
    <t>These positions are then used by the =INDEX() function to look for the data.</t>
  </si>
  <si>
    <t>EAST</t>
  </si>
  <si>
    <t>WEST</t>
  </si>
  <si>
    <t>wood</t>
  </si>
  <si>
    <t>qtr2</t>
  </si>
  <si>
    <t>west</t>
  </si>
  <si>
    <r>
      <t xml:space="preserve"> =INDEX(</t>
    </r>
    <r>
      <rPr>
        <sz val="8"/>
        <color indexed="20"/>
        <rFont val="Arial"/>
        <family val="2"/>
      </rPr>
      <t>EastAndWest</t>
    </r>
    <r>
      <rPr>
        <sz val="8"/>
        <rFont val="Arial"/>
        <family val="2"/>
      </rPr>
      <t>,</t>
    </r>
    <r>
      <rPr>
        <sz val="8"/>
        <color indexed="17"/>
        <rFont val="Arial"/>
        <family val="2"/>
      </rPr>
      <t>MATCH(F100,C91:C93,0)</t>
    </r>
    <r>
      <rPr>
        <sz val="8"/>
        <rFont val="Arial"/>
        <family val="2"/>
      </rPr>
      <t>,</t>
    </r>
    <r>
      <rPr>
        <sz val="8"/>
        <color indexed="10"/>
        <rFont val="Arial"/>
        <family val="2"/>
      </rPr>
      <t>MATCH(F101,D90:G90,0)</t>
    </r>
    <r>
      <rPr>
        <sz val="8"/>
        <rFont val="Arial"/>
        <family val="2"/>
      </rPr>
      <t>,</t>
    </r>
    <r>
      <rPr>
        <sz val="8"/>
        <color indexed="14"/>
        <rFont val="Arial"/>
        <family val="2"/>
      </rPr>
      <t>IF(F102=C90,1,IF(F102=C95,2))</t>
    </r>
    <r>
      <rPr>
        <sz val="8"/>
        <rFont val="Arial"/>
        <family val="2"/>
      </rPr>
      <t>)</t>
    </r>
  </si>
  <si>
    <t xml:space="preserve">Type address of any of the cells in the above table, such as G6 : </t>
  </si>
  <si>
    <t>G6</t>
  </si>
  <si>
    <t xml:space="preserve">The value in the cell you typed is : </t>
  </si>
  <si>
    <t xml:space="preserve"> =INDIRECT(H9)</t>
  </si>
  <si>
    <t>This function converts a plain piece of text which looks like a cell address into a usable</t>
  </si>
  <si>
    <t>cell reference.</t>
  </si>
  <si>
    <t>The address can be either on the same worksheet or on a different worksheet.</t>
  </si>
  <si>
    <t>=INDIRECT(Text)</t>
  </si>
  <si>
    <t>This example shows how data can be picked form other worksheets by using</t>
  </si>
  <si>
    <t>the worksheet name and a cell address.</t>
  </si>
  <si>
    <t>The example uses three other worksheets named NORTH, SOUTH and EAST.</t>
  </si>
  <si>
    <t>The data on these three sheets is laid out in the same cells on each sheet.</t>
  </si>
  <si>
    <t>When a reference to a sheet is made the exclamation symbol ! needs to be placed</t>
  </si>
  <si>
    <t>between the sheet name and cell address acting as punctuation.</t>
  </si>
  <si>
    <t>C8</t>
  </si>
  <si>
    <t xml:space="preserve"> =INDIRECT(G33&amp;"!"&amp;G34)</t>
  </si>
  <si>
    <t>This example uses the same data as above, but this time the =SUM() function is</t>
  </si>
  <si>
    <t>used to calculate a total from a range of cells.</t>
  </si>
  <si>
    <t>C5</t>
  </si>
  <si>
    <t>C7</t>
  </si>
  <si>
    <t xml:space="preserve"> =SUM(INDIRECT(G44&amp;"!"&amp;G45&amp;":"&amp;G46))</t>
  </si>
  <si>
    <r>
      <t xml:space="preserve">Type the name of the </t>
    </r>
    <r>
      <rPr>
        <b/>
        <sz val="10"/>
        <rFont val="Arial"/>
      </rPr>
      <t>sheet</t>
    </r>
    <r>
      <rPr>
        <sz val="10"/>
        <rFont val="Arial"/>
      </rPr>
      <t xml:space="preserve">, such as North : </t>
    </r>
  </si>
  <si>
    <r>
      <t xml:space="preserve">Type the </t>
    </r>
    <r>
      <rPr>
        <b/>
        <sz val="10"/>
        <rFont val="Arial"/>
      </rPr>
      <t>cell</t>
    </r>
    <r>
      <rPr>
        <sz val="10"/>
        <rFont val="Arial"/>
      </rPr>
      <t xml:space="preserve"> to pick data from, such as C8 : </t>
    </r>
  </si>
  <si>
    <r>
      <t xml:space="preserve">Type the name of the </t>
    </r>
    <r>
      <rPr>
        <b/>
        <sz val="10"/>
        <rFont val="Arial"/>
      </rPr>
      <t>sheet</t>
    </r>
    <r>
      <rPr>
        <sz val="10"/>
        <rFont val="Arial"/>
      </rPr>
      <t>,</t>
    </r>
    <r>
      <rPr>
        <sz val="10"/>
        <rFont val="Arial"/>
      </rPr>
      <t xml:space="preserve"> such as South : </t>
    </r>
  </si>
  <si>
    <r>
      <t xml:space="preserve">Type the </t>
    </r>
    <r>
      <rPr>
        <b/>
        <sz val="10"/>
        <rFont val="Arial"/>
      </rPr>
      <t>start</t>
    </r>
    <r>
      <rPr>
        <sz val="10"/>
        <rFont val="Arial"/>
      </rPr>
      <t xml:space="preserve"> cell of the range, such as C5 : </t>
    </r>
  </si>
  <si>
    <r>
      <t xml:space="preserve">Type the </t>
    </r>
    <r>
      <rPr>
        <b/>
        <sz val="10"/>
        <rFont val="Arial"/>
      </rPr>
      <t>end</t>
    </r>
    <r>
      <rPr>
        <sz val="10"/>
        <rFont val="Arial"/>
      </rPr>
      <t xml:space="preserve"> cell of the range, such as C7 : </t>
    </r>
  </si>
  <si>
    <t>System Information</t>
  </si>
  <si>
    <t>Current directory</t>
  </si>
  <si>
    <t xml:space="preserve"> =INFO("directory")</t>
  </si>
  <si>
    <t>Available bytes of memory</t>
  </si>
  <si>
    <t xml:space="preserve"> =INFO("memavail")</t>
  </si>
  <si>
    <t>Memory in use</t>
  </si>
  <si>
    <t xml:space="preserve"> =INFO("memused")</t>
  </si>
  <si>
    <t>Total bytes of memory</t>
  </si>
  <si>
    <t xml:space="preserve"> =INFO("totmem")</t>
  </si>
  <si>
    <t>Number of active worksheets</t>
  </si>
  <si>
    <t xml:space="preserve"> =INFO("numfile")</t>
  </si>
  <si>
    <t>Cell currently in the top left of the window</t>
  </si>
  <si>
    <t xml:space="preserve"> =INFO("origin")</t>
  </si>
  <si>
    <t>Operating system</t>
  </si>
  <si>
    <t xml:space="preserve"> =INFO("osversion")</t>
  </si>
  <si>
    <t>Recalculation mode</t>
  </si>
  <si>
    <t xml:space="preserve"> =INFO("recalc")</t>
  </si>
  <si>
    <t>Excel version</t>
  </si>
  <si>
    <t xml:space="preserve"> =INFO("release")</t>
  </si>
  <si>
    <t>Name of system. (PC or Mac)</t>
  </si>
  <si>
    <t xml:space="preserve"> =INFO("system")</t>
  </si>
  <si>
    <t>This function provides information about the operating environment of the computer.</t>
  </si>
  <si>
    <t xml:space="preserve"> =INFO(text)</t>
  </si>
  <si>
    <t xml:space="preserve">   text : This is the name of the item you require information about.</t>
  </si>
  <si>
    <t>The cell E51 has been used as the starting point of both offsets, the first offset is</t>
  </si>
  <si>
    <t>offset by 1 column, the second by 2 columns. The result is the range F51:G51 which</t>
  </si>
  <si>
    <t>is then totalled.</t>
  </si>
  <si>
    <t>The cell E57 has been used as the starting point for both offsets, the first offset is</t>
  </si>
  <si>
    <t>offset by 1 column, the second by 3 columns. The result is the range F57:H57 which</t>
  </si>
  <si>
    <t>The following table shows five months of data.</t>
  </si>
  <si>
    <t>To calculate the total of a specific group of months the =OFFSET() function has been used.</t>
  </si>
  <si>
    <t>The function is case sensitive.</t>
  </si>
  <si>
    <t>=SUBSTITUTE(OriginalText,TextToRemove,TextToInsert,InstanceToUse)</t>
  </si>
  <si>
    <t>The InstanceToUse is optional, if it is omitted all instances will be substituted.</t>
  </si>
  <si>
    <t>To cope with upper or lower case in the substitution you can use other text functions</t>
  </si>
  <si>
    <t>such as =UPPER(), =LOWER() or =PROPER() to ensure that the substitution will take place.</t>
  </si>
  <si>
    <t>Table 1 shows how differing text cases alter the result of the substitution.</t>
  </si>
  <si>
    <t>region</t>
  </si>
  <si>
    <t>area</t>
  </si>
  <si>
    <t xml:space="preserve"> =SUBSTITUTE(B39,C39,D39)</t>
  </si>
  <si>
    <t>Table 2 shows how the =PROPER() function has been used to take account of the mixed cases.</t>
  </si>
  <si>
    <t xml:space="preserve"> =SUBSTITUTE(PROPER(B50),PROPER(C50),PROPER(D50))</t>
  </si>
  <si>
    <r>
      <t xml:space="preserve">Northern </t>
    </r>
    <r>
      <rPr>
        <b/>
        <sz val="10"/>
        <color indexed="20"/>
        <rFont val="Arial"/>
      </rPr>
      <t>region</t>
    </r>
  </si>
  <si>
    <t>Horizontal</t>
  </si>
  <si>
    <t xml:space="preserve"> =SUM(C4:E4)</t>
  </si>
  <si>
    <t>Vertical</t>
  </si>
  <si>
    <t xml:space="preserve"> =SUM(C7:C9)</t>
  </si>
  <si>
    <t>Single Cells</t>
  </si>
  <si>
    <t xml:space="preserve"> =SUM(C13,D14,E13)</t>
  </si>
  <si>
    <t>Multiple Ranges</t>
  </si>
  <si>
    <t xml:space="preserve"> =SUM(C17:C19,E17:E19)</t>
  </si>
  <si>
    <t>Functions</t>
  </si>
  <si>
    <t xml:space="preserve"> =SUM(AVERAGE(C23:C25),MAX(E23:E25))</t>
  </si>
  <si>
    <t>This function creates a total from a list of numbers.</t>
  </si>
  <si>
    <t>It can be used either horizontally or vertically.</t>
  </si>
  <si>
    <t>The numbers can be in single cells, ranges are from other functions.</t>
  </si>
  <si>
    <t>=SUM(Range1,Range2,Range3... through to Range30).</t>
  </si>
  <si>
    <t>Many people use the =SUM() function incorrectly.</t>
  </si>
  <si>
    <t>This example shows how the SUM has been combined with plus + symbols.</t>
  </si>
  <si>
    <t>The formula is actually doing more work than needed.</t>
  </si>
  <si>
    <t>It should have been entered as either =C48+C49+C50 or =SUM(C48:C50).</t>
  </si>
  <si>
    <t xml:space="preserve"> =SUM(C48+C49+C50)</t>
  </si>
  <si>
    <t>Wrong!</t>
  </si>
  <si>
    <t xml:space="preserve"> =SUM(C48:C50)</t>
  </si>
  <si>
    <t>Correct</t>
  </si>
  <si>
    <t xml:space="preserve"> =C48+C49+C50</t>
  </si>
  <si>
    <t>Using =SUM() For A Running Total</t>
  </si>
  <si>
    <t>Running
Total</t>
  </si>
  <si>
    <t xml:space="preserve"> =SUM($D$7:D7)</t>
  </si>
  <si>
    <t xml:space="preserve"> =SUM($D$7:D8)</t>
  </si>
  <si>
    <t xml:space="preserve"> =SUM($D$7:D9)</t>
  </si>
  <si>
    <t xml:space="preserve"> =SUM($D$7:D10)</t>
  </si>
  <si>
    <t xml:space="preserve"> =SUM($D$7:D11)</t>
  </si>
  <si>
    <t xml:space="preserve"> =SUM($D$7:D12)</t>
  </si>
  <si>
    <t>Jul</t>
  </si>
  <si>
    <t xml:space="preserve"> =SUM($D$7:D13)</t>
  </si>
  <si>
    <t>Aug</t>
  </si>
  <si>
    <t xml:space="preserve"> =SUM($D$7:D14)</t>
  </si>
  <si>
    <t>Sep</t>
  </si>
  <si>
    <t xml:space="preserve"> =SUM($D$7:D15)</t>
  </si>
  <si>
    <t>Oct</t>
  </si>
  <si>
    <t xml:space="preserve"> =SUM($D$7:D16)</t>
  </si>
  <si>
    <t>Nov</t>
  </si>
  <si>
    <t xml:space="preserve"> =SUM($D$7:D17)</t>
  </si>
  <si>
    <t>Dec</t>
  </si>
  <si>
    <t xml:space="preserve"> =SUM($D$7:D18)</t>
  </si>
  <si>
    <t>Type the formula =SUM($D$7:D7) in cell E7 and then copy down the table.</t>
  </si>
  <si>
    <t>It works because the first reference uses dollar symbols $ to keep $D$7 static</t>
  </si>
  <si>
    <t>The result will be formatted as a normal number.</t>
  </si>
  <si>
    <t>See Example 4 in the =DGET() function.</t>
  </si>
  <si>
    <t>Original Value</t>
  </si>
  <si>
    <t>Evenly Rounded</t>
  </si>
  <si>
    <t xml:space="preserve"> =EVEN(C4)</t>
  </si>
  <si>
    <t xml:space="preserve"> =EVEN(C5)</t>
  </si>
  <si>
    <t xml:space="preserve"> =EVEN(C6)</t>
  </si>
  <si>
    <t xml:space="preserve"> =EVEN(C7)</t>
  </si>
  <si>
    <t>This function round a number up the  nearest even whole number.</t>
  </si>
  <si>
    <t>=EVEN(Number)</t>
  </si>
  <si>
    <t>The following table is used by a garage which repairs cars.</t>
  </si>
  <si>
    <t>The garage is repairing a fleet of cars from three manufactures.</t>
  </si>
  <si>
    <t>Each manufacturer uses a different type of windscreen wiper which are only supplied in pairs.</t>
  </si>
  <si>
    <t>Table 1 was used to enter the number of wipers required for each type of car</t>
  </si>
  <si>
    <t>and then show how many pairs need to be ordered.</t>
  </si>
  <si>
    <t>Car</t>
  </si>
  <si>
    <t>Wipers To Order</t>
  </si>
  <si>
    <t>Pairs to Order</t>
  </si>
  <si>
    <t>Vauxhall</t>
  </si>
  <si>
    <t xml:space="preserve"> =EVEN(D28)/2</t>
  </si>
  <si>
    <t>Ford</t>
  </si>
  <si>
    <t xml:space="preserve"> =EVEN(D29)/2</t>
  </si>
  <si>
    <t>Peugeot</t>
  </si>
  <si>
    <t xml:space="preserve"> =EVEN(D30)/2</t>
  </si>
  <si>
    <t>Text1</t>
  </si>
  <si>
    <t>Text2</t>
  </si>
  <si>
    <t xml:space="preserve"> =EXACT(C4,D4)</t>
  </si>
  <si>
    <t>hello</t>
  </si>
  <si>
    <t xml:space="preserve"> =EXACT(C5,D5)</t>
  </si>
  <si>
    <t>Goodbye</t>
  </si>
  <si>
    <t xml:space="preserve"> =EXACT(C6,D6)</t>
  </si>
  <si>
    <t>This function compares two items of text and determine whether they are exactly the same.</t>
  </si>
  <si>
    <t>The case of the characters is taken into account, only words which are spelt the same and</t>
  </si>
  <si>
    <t>which have upper and lower case characters in the same position will be considered as equal.</t>
  </si>
  <si>
    <t xml:space="preserve"> =EXACT(Text1,Text2)</t>
  </si>
  <si>
    <t xml:space="preserve"> Only two items of text can be compared.</t>
  </si>
  <si>
    <t>If the two items of text are exactly the same the result of TRUE will be shown.</t>
  </si>
  <si>
    <t>If there is any difference in the two items of text the result of FALSE will be shown.</t>
  </si>
  <si>
    <t>Here is a simple password checking formula.</t>
  </si>
  <si>
    <t>You need to guess the correct password.</t>
  </si>
  <si>
    <t>The password is the name of a colour, either red blue or green.</t>
  </si>
  <si>
    <t>The case of the password is important.</t>
  </si>
  <si>
    <t>The =EXACT() function is used to check your guess.</t>
  </si>
  <si>
    <t xml:space="preserve">Guess the password : </t>
  </si>
  <si>
    <t>red</t>
  </si>
  <si>
    <t xml:space="preserve">Is it correct : </t>
  </si>
  <si>
    <t>(To stop you from cheating, the correct password has been entered as a series of =CHAR()</t>
  </si>
  <si>
    <t>functions, which use the ANSI number of the characters rather than the character itself!)</t>
  </si>
  <si>
    <t>Its still very easy though.</t>
  </si>
  <si>
    <t>Factorial</t>
  </si>
  <si>
    <t xml:space="preserve"> =FACT(C4)</t>
  </si>
  <si>
    <t xml:space="preserve"> =FACT(C5)</t>
  </si>
  <si>
    <t xml:space="preserve"> =FACT(C6)</t>
  </si>
  <si>
    <t xml:space="preserve"> =FACT(C7)</t>
  </si>
  <si>
    <t xml:space="preserve"> =FACT(C8)</t>
  </si>
  <si>
    <t>This function calculates the factorial of a number.</t>
  </si>
  <si>
    <t>The factorial is calculated as 1*2*3*4..etc.</t>
  </si>
  <si>
    <t>The Result range shows the quantities of each ingredient that will have to be ordered to</t>
  </si>
  <si>
    <t>meet the production target.</t>
  </si>
  <si>
    <t>Note the depth of the Result is the same as the depth of Range 1, and the width of</t>
  </si>
  <si>
    <t>the Result is the same as the width of Range 2.</t>
  </si>
  <si>
    <t>Range 1</t>
  </si>
  <si>
    <t>Range 2</t>
  </si>
  <si>
    <t>Ingredients</t>
  </si>
  <si>
    <t>Butter</t>
  </si>
  <si>
    <t>Eggs</t>
  </si>
  <si>
    <t>Sugar</t>
  </si>
  <si>
    <t>Ingredients To Order</t>
  </si>
  <si>
    <t>{=MMULT(C69:D72,G69:I70)}</t>
  </si>
  <si>
    <t>In all cells</t>
  </si>
  <si>
    <t>Hint</t>
  </si>
  <si>
    <t>To get a feel for how the =MMULT() function operates, set all values in Range1 and Range2</t>
  </si>
  <si>
    <t>to zero 0, then change a single value in each.</t>
  </si>
  <si>
    <t>Divisor</t>
  </si>
  <si>
    <t>Remainder</t>
  </si>
  <si>
    <t xml:space="preserve"> =MOD(C4,D4)</t>
  </si>
  <si>
    <t xml:space="preserve"> =MOD(C5,D5)</t>
  </si>
  <si>
    <t xml:space="preserve"> =MOD(C6,D6)</t>
  </si>
  <si>
    <t xml:space="preserve"> =MOD(C7,D7)</t>
  </si>
  <si>
    <t xml:space="preserve"> =MOD(C8,D8)</t>
  </si>
  <si>
    <t>This function calculates the remainder after a number has been divided by another number.</t>
  </si>
  <si>
    <t>=MOD(Number,Divisor)</t>
  </si>
  <si>
    <t>Mode</t>
  </si>
  <si>
    <t xml:space="preserve"> =MODE(C4:G4)</t>
  </si>
  <si>
    <t xml:space="preserve"> =MODE(C6:G6)</t>
  </si>
  <si>
    <t xml:space="preserve"> =MODE(C8:G8)</t>
  </si>
  <si>
    <t xml:space="preserve"> =MODE(C9:G9)</t>
  </si>
  <si>
    <t xml:space="preserve"> =MODE(C10:G10)</t>
  </si>
  <si>
    <t xml:space="preserve"> =MODE(C12:G12)</t>
  </si>
  <si>
    <t>This function displays the most frequently occurring number in a group of numbers.</t>
  </si>
  <si>
    <t>For it to work correctly there must be at least two numbers which are the same.</t>
  </si>
  <si>
    <t>If all the values in the group are unique the function shows the error #N/A.</t>
  </si>
  <si>
    <t>When there is more than one set of duplicates, the number closest to the beginning</t>
  </si>
  <si>
    <t>of the group will be used. (Which is not really an accurate answer!)</t>
  </si>
  <si>
    <t>=MODE(Range1,Range2,Range3... through to Range30)</t>
  </si>
  <si>
    <t>The following table shows garments sold in a clothes shop.</t>
  </si>
  <si>
    <t>The shopkeeper wants to keep track of the most commonly sold size.</t>
  </si>
  <si>
    <t>The =MODE() function has been used to calulate this.</t>
  </si>
  <si>
    <t>Garmet</t>
  </si>
  <si>
    <t>Blouse</t>
  </si>
  <si>
    <t xml:space="preserve">Most frequently ordered size : </t>
  </si>
  <si>
    <t>Skirt</t>
  </si>
  <si>
    <t xml:space="preserve"> =MODE(D33:D52)</t>
  </si>
  <si>
    <t>Shirt</t>
  </si>
  <si>
    <t xml:space="preserve">Count of size 8 : </t>
  </si>
  <si>
    <t>Dress</t>
  </si>
  <si>
    <t xml:space="preserve"> =COUNTIF(D33:D52,"8")</t>
  </si>
  <si>
    <t>Count of size 10 :</t>
  </si>
  <si>
    <t xml:space="preserve"> =COUNTIF(D33:D52,"10")</t>
  </si>
  <si>
    <t>Count of size 12 :</t>
  </si>
  <si>
    <t xml:space="preserve"> =COUNTIF(D33:D52,"12")</t>
  </si>
  <si>
    <t>If the =AVERAGE() function had been used the answer would have been :</t>
  </si>
  <si>
    <t>This figure is of no benefit to the shopkeeper as there are no garmets of this size!</t>
  </si>
  <si>
    <t>Original Date</t>
  </si>
  <si>
    <t xml:space="preserve"> =MONTH(C4)</t>
  </si>
  <si>
    <t xml:space="preserve"> =MONTH(C5)</t>
  </si>
  <si>
    <t>This function extracts the month from a complete date.</t>
  </si>
  <si>
    <t xml:space="preserve"> =MONTH(Date)</t>
  </si>
  <si>
    <t>month by using Format,Cells,Number,Custom and using the code mmm or mmmm.</t>
  </si>
  <si>
    <t>The following tables were used by a company to predict when they would start to</t>
  </si>
  <si>
    <t>make a profit.</t>
  </si>
  <si>
    <t>Their bank manager had told the company that unless they could show a profit by the</t>
  </si>
  <si>
    <t>end of the next year, the bank would no longer provide an overdraft facility.</t>
  </si>
  <si>
    <t>To prove to the bank that, based upon the past years performance, the company would</t>
  </si>
  <si>
    <t>start to make a profit at the end of the next year, the =TREND() function was used.</t>
  </si>
  <si>
    <t>The historical data for the past year was entered, months 1 to 12.</t>
  </si>
  <si>
    <t>The months to predict were entered, 13 to 24.</t>
  </si>
  <si>
    <t>The =TREND() function shows that it will be month 22 before the company make a profit.</t>
  </si>
  <si>
    <t xml:space="preserve"> {=TREND(C41:C52,B41:B52,E41:E52)}</t>
  </si>
  <si>
    <t>The</t>
  </si>
  <si>
    <t>same</t>
  </si>
  <si>
    <t>function</t>
  </si>
  <si>
    <t>used</t>
  </si>
  <si>
    <t>all</t>
  </si>
  <si>
    <t>cells</t>
  </si>
  <si>
    <t>as</t>
  </si>
  <si>
    <t>an</t>
  </si>
  <si>
    <t>array</t>
  </si>
  <si>
    <t>formula</t>
  </si>
  <si>
    <t>How To Enter An Array Formula</t>
  </si>
  <si>
    <t>Select all the cells where the array is required, such as F41 to F52.</t>
  </si>
  <si>
    <t>Type the formula such as =TREND(C41:C52,B41:B52,E41:E52), but do not press Enter.</t>
  </si>
  <si>
    <t>Hold the Ctrl+Shift keys down.</t>
  </si>
  <si>
    <t>Press Enter to enter the formula as an array.</t>
  </si>
  <si>
    <t>Trimmed Text</t>
  </si>
  <si>
    <t xml:space="preserve">  ABCD</t>
  </si>
  <si>
    <t xml:space="preserve"> =TRIM(C4)</t>
  </si>
  <si>
    <t xml:space="preserve">  A   B   C   D</t>
  </si>
  <si>
    <t xml:space="preserve"> =TRIM(C5)</t>
  </si>
  <si>
    <t xml:space="preserve">   Alan        Jones</t>
  </si>
  <si>
    <t xml:space="preserve"> =TRIM(C6)</t>
  </si>
  <si>
    <t xml:space="preserve"> =TRIM(C7)</t>
  </si>
  <si>
    <t>This function removes unwanted spaces from a piece of text.</t>
  </si>
  <si>
    <t>The spaces before and after the text will be removed completely.</t>
  </si>
  <si>
    <t>Multiple spaces within the text will be trimmed to a single space</t>
  </si>
  <si>
    <t>=TRIM(TextToTrim)</t>
  </si>
  <si>
    <t>Precision For
Truncation</t>
  </si>
  <si>
    <t>Truncated
Number</t>
  </si>
  <si>
    <t xml:space="preserve"> =TRUNC(C4,D4)</t>
  </si>
  <si>
    <t xml:space="preserve"> =TRUNC(C5,D5)</t>
  </si>
  <si>
    <t xml:space="preserve"> =TRUNC(C6,D6)</t>
  </si>
  <si>
    <t xml:space="preserve"> =TRUNC(C7,D7)</t>
  </si>
  <si>
    <t xml:space="preserve"> =TRUNC(C8,D8)</t>
  </si>
  <si>
    <t xml:space="preserve"> =TRUNC(C9,D9)</t>
  </si>
  <si>
    <t xml:space="preserve"> =TRUNC(C10,D10)</t>
  </si>
  <si>
    <t xml:space="preserve"> =TRUNC(C11,D11)</t>
  </si>
  <si>
    <t>This function removes the decimal part of a number, it does not actually round the number.</t>
  </si>
  <si>
    <t>=TRUNC(NumberToTuncate,Precision)</t>
  </si>
  <si>
    <t>Upper Case</t>
  </si>
  <si>
    <t xml:space="preserve"> =UPPER(C4)</t>
  </si>
  <si>
    <t xml:space="preserve"> =UPPER(C5)</t>
  </si>
  <si>
    <t>carOl wiLLiamS</t>
  </si>
  <si>
    <t xml:space="preserve"> =UPPER(C6)</t>
  </si>
  <si>
    <t xml:space="preserve"> =UPPER(C7)</t>
  </si>
  <si>
    <t>abc123</t>
  </si>
  <si>
    <t xml:space="preserve"> =UPPER(C8)</t>
  </si>
  <si>
    <t>This function converts all characters in a piece of text to upper case.</t>
  </si>
  <si>
    <t>=UPPER(TextToConvert)</t>
  </si>
  <si>
    <t>Text Containing A Number</t>
  </si>
  <si>
    <t>Annual turnover was £5000</t>
  </si>
  <si>
    <t xml:space="preserve"> =VALUE(MID(C4,SEARCH("£",C4),99))</t>
  </si>
  <si>
    <t>There was a 2% increase in sales.</t>
  </si>
  <si>
    <t>There was a 50% increase in sales.</t>
  </si>
  <si>
    <t>A 100% increase was achieved.</t>
  </si>
  <si>
    <t>Only a 2% increase in sales.</t>
  </si>
  <si>
    <t>Approx 50% increase in sales.</t>
  </si>
  <si>
    <t>There was a 100% increase in sales.</t>
  </si>
  <si>
    <t>* See explanation below.</t>
  </si>
  <si>
    <t>The winning time was 1:30 seconds.</t>
  </si>
  <si>
    <t xml:space="preserve"> =VALUE(MID(C14,SEARCH("??:??",C14),5))</t>
  </si>
  <si>
    <t xml:space="preserve"> =VALUE(MID(C15,SEARCH("??:??",C15),5))</t>
  </si>
  <si>
    <t>The winning time was 10:30 seconds.</t>
  </si>
  <si>
    <t xml:space="preserve"> =VALUE(MID(C16,SEARCH("??:??",C16),5))</t>
  </si>
  <si>
    <t>The winning time was 0:30 seconds.</t>
  </si>
  <si>
    <t xml:space="preserve"> =VALUE(MID(C17,SEARCH("??:??",C17),5))</t>
  </si>
  <si>
    <t>This function converts a piece of text which resembles a number into an actual value.</t>
  </si>
  <si>
    <t>If the number in the middle of a long piece of text it will have to be extracted using other</t>
  </si>
  <si>
    <t>text functions such as =SEARCH(), =MID(), =FIND(), =SUBSTITUTE, =LEFT() or =RIGHT().</t>
  </si>
  <si>
    <t>=VALUE(TextToConvert)</t>
  </si>
  <si>
    <t>The result will be shown as a value, based upon the original text.</t>
  </si>
  <si>
    <t>If the £ sign is included in the text it will be ignored.</t>
  </si>
  <si>
    <t>If the % sign is included in the text, the result will be a decimal fraction which can then</t>
  </si>
  <si>
    <t>be formatted as a percentage.</t>
  </si>
  <si>
    <t>If the original text format appears as a time hh:mm the result will be a time.</t>
  </si>
  <si>
    <t>The same will be true for other recognised formats.</t>
  </si>
  <si>
    <t>Explanation of formula shown above.</t>
  </si>
  <si>
    <t>To extract the values from the following text is complicated!</t>
  </si>
  <si>
    <t>The actual percentage value is of variable length, it can be either one, two or three digits long.</t>
  </si>
  <si>
    <t>The only way to identify the value is the fact it always ends with the % sign.</t>
  </si>
  <si>
    <t>There is no way to identify the beginning of the value, other than it is preceded by a space.</t>
  </si>
  <si>
    <t>This function examines a cell or calculation to determine whether it is a numeric value.</t>
  </si>
  <si>
    <t>If the cell or calculation is a numeric value the result TRUE is shown.</t>
  </si>
  <si>
    <t>If the cell or calculation is not numeric, or is blank, the result FALSE is shown.</t>
  </si>
  <si>
    <t>=ISNUMBER(CellToTest)</t>
  </si>
  <si>
    <t>The cell to test can be a cell reference or a calculation.</t>
  </si>
  <si>
    <t>The following table was used by a personnel department to lookup the salary of an employee.</t>
  </si>
  <si>
    <t>The employee can be entered as a Name or as a Numeric value.</t>
  </si>
  <si>
    <t>The =ISNUMBER() function has been used to identify the type of entry made, and then</t>
  </si>
  <si>
    <t>the =IF() decides which VLOOKUP to perform.</t>
  </si>
  <si>
    <t>ID No.</t>
  </si>
  <si>
    <t>Salary</t>
  </si>
  <si>
    <t xml:space="preserve">Type Employee Name or ID : </t>
  </si>
  <si>
    <t>eric</t>
  </si>
  <si>
    <t xml:space="preserve">The Salary is : </t>
  </si>
  <si>
    <t xml:space="preserve"> =IF(ISNUMBER(E35),VLOOKUP(E35,C29:E33,3,FALSE),VLOOKUP(E35,D29:E33,2,FALSE))</t>
  </si>
  <si>
    <t>Is it Odd</t>
  </si>
  <si>
    <t xml:space="preserve"> =ISODD(C4)</t>
  </si>
  <si>
    <t xml:space="preserve"> =ISODD(C5)</t>
  </si>
  <si>
    <t xml:space="preserve"> =ISODD(C6)</t>
  </si>
  <si>
    <t xml:space="preserve"> =ISODD(C7)</t>
  </si>
  <si>
    <t xml:space="preserve"> =ISODD(C8)</t>
  </si>
  <si>
    <t xml:space="preserve"> =ISODD(C9)</t>
  </si>
  <si>
    <t xml:space="preserve"> =ISODD(C10)</t>
  </si>
  <si>
    <t xml:space="preserve"> =ISODD(C11)</t>
  </si>
  <si>
    <t xml:space="preserve"> =ISODD(C12)</t>
  </si>
  <si>
    <t>This function tests a number to determine whether it is odd.</t>
  </si>
  <si>
    <t>An odd number is shown as TRUE an even number is shown as FALSE.</t>
  </si>
  <si>
    <t>Note that dates can be odd or even.</t>
  </si>
  <si>
    <t xml:space="preserve"> =ISODD(CellToTest)</t>
  </si>
  <si>
    <t xml:space="preserve"> =ISREF(A1)</t>
  </si>
  <si>
    <t xml:space="preserve"> =ISREF(B99)</t>
  </si>
  <si>
    <t xml:space="preserve"> =ISREF(Hello)</t>
  </si>
  <si>
    <t xml:space="preserve"> =ISREF(10)</t>
  </si>
  <si>
    <t xml:space="preserve"> =ISREF(NOW())</t>
  </si>
  <si>
    <t xml:space="preserve"> =ISREF("A1")</t>
  </si>
  <si>
    <t xml:space="preserve"> =ISREF(XX99)</t>
  </si>
  <si>
    <t>This function shows TRUE if given a cell address, or FALSE for any other type of value.</t>
  </si>
  <si>
    <t>Its a bit of an odd one, and is normally used in macros rather than on the worksheet.</t>
  </si>
  <si>
    <t>=ISREF(ValueToTest)</t>
  </si>
  <si>
    <t>The ValueToTest can be any type of data, but when used on the worksheet, it cannot be a</t>
  </si>
  <si>
    <t>reference to the contents of another cell, as the reference will itself be evaluated by the function.</t>
  </si>
  <si>
    <t xml:space="preserve"> =ISTEXT(D4)</t>
  </si>
  <si>
    <t xml:space="preserve"> =ISTEXT(D5)</t>
  </si>
  <si>
    <t xml:space="preserve"> =ISTEXT(D6)</t>
  </si>
  <si>
    <t xml:space="preserve"> =ISTEXT(D7)</t>
  </si>
  <si>
    <t>This functions tests an entry to determine whether it is text.</t>
  </si>
  <si>
    <t>If the entry is text is shows TRUE.</t>
  </si>
  <si>
    <t>If the entry is any other type it shows FALSE.</t>
  </si>
  <si>
    <t>=ISTEXT(CellToTest)</t>
  </si>
  <si>
    <t>The =ISTEXT() function has been used to identify the type of entry made, and then</t>
  </si>
  <si>
    <t>The function will show the hour of the day based upon a time or a number.</t>
  </si>
  <si>
    <t xml:space="preserve"> =HOUR(Number)</t>
  </si>
  <si>
    <t>The result will be shown as a normal number between 0 and 23.</t>
  </si>
  <si>
    <t xml:space="preserve"> =IF(C4&gt;=D4,"Achieved","Not Achieved")</t>
  </si>
  <si>
    <t xml:space="preserve"> =IF(C5&gt;=D5,"Achieved","Not Achieved")</t>
  </si>
  <si>
    <t xml:space="preserve"> =IF(C6&gt;=D6,"Achieved","Not Achieved")</t>
  </si>
  <si>
    <t>This function tests a condition.</t>
  </si>
  <si>
    <t>If the condition is met it is considered to be TRUE.</t>
  </si>
  <si>
    <t>If the condition is not met it is considered as FALSE.</t>
  </si>
  <si>
    <t>Depending upon the result, one of two actions will be carried out.</t>
  </si>
  <si>
    <t xml:space="preserve"> =IF(Condition,ActionIfTrue,ActionIfFalse)</t>
  </si>
  <si>
    <t>The Condition is usually a test of two cells, such as A1=A2.</t>
  </si>
  <si>
    <t>The ActionIfTrue and ActionIfFalse can be numbers, text or calculations.</t>
  </si>
  <si>
    <t>The following table shows the Sales figures and Targets for sales reps.</t>
  </si>
  <si>
    <t>Each has their own target which they must reach.</t>
  </si>
  <si>
    <t>The =IF() function is used to compare the Sales with the Target.</t>
  </si>
  <si>
    <t>If the Sales are greater than or equal to the Target the result of Achieved is shown.</t>
  </si>
  <si>
    <t>If the Sales do not reach the target the result of Not Achieved is shown.</t>
  </si>
  <si>
    <t>Note that the text used in the =IF() function needs to be placed in double quotes "Achieved".</t>
  </si>
  <si>
    <t xml:space="preserve"> =IF(C31&gt;=D31,"Achieved","Not Achieved")</t>
  </si>
  <si>
    <t xml:space="preserve"> =IF(C32&gt;=D32,"Achieved","Not Achieved")</t>
  </si>
  <si>
    <t xml:space="preserve"> =IF(C33&gt;=D33,"Achieved","Not Achieved")</t>
  </si>
  <si>
    <t>The following table is similar to that in Example 1.</t>
  </si>
  <si>
    <t>This time the Commission to be paid to the sales rep is calculated.</t>
  </si>
  <si>
    <t>If the Sales are greater than or equal to the Target, the Commission is 10% of Sales.</t>
  </si>
  <si>
    <t>If the Sales do not reach Target, the Commission is only 5% of Sales.</t>
  </si>
  <si>
    <t xml:space="preserve"> =IF(C43&gt;=D43,C43*10%,C43*5%)</t>
  </si>
  <si>
    <t xml:space="preserve"> =IF(C44&gt;=D44,C44*10%,C44*5%)</t>
  </si>
  <si>
    <t xml:space="preserve"> =IF(C45&gt;=D45,C45*10%,C45*5%)</t>
  </si>
  <si>
    <t>This example uses the =AND() within the =IF() function.</t>
  </si>
  <si>
    <t>A builders merchant gives 10% discount on certain product lines.</t>
  </si>
  <si>
    <t>The discount is only given on products which are on Special Offer, when the Order Value</t>
  </si>
  <si>
    <t>is £1000 or above.</t>
  </si>
  <si>
    <t>the value of the order is above £1000.</t>
  </si>
  <si>
    <t>Special</t>
  </si>
  <si>
    <t>Order</t>
  </si>
  <si>
    <t>Offer</t>
  </si>
  <si>
    <t>Value</t>
  </si>
  <si>
    <t>Yes</t>
  </si>
  <si>
    <t>No special formatting is needed, the result will be shown as a number between 1 and 255.</t>
  </si>
  <si>
    <t>Text</t>
  </si>
  <si>
    <t>Date</t>
  </si>
  <si>
    <t>DB</t>
  </si>
  <si>
    <t>GESTEP</t>
  </si>
  <si>
    <t>Table 1 shows how just a normal division results in varying Item Costs.</t>
  </si>
  <si>
    <t>Box Qnty</t>
  </si>
  <si>
    <t>Box Cost</t>
  </si>
  <si>
    <t>Cost Per Item</t>
  </si>
  <si>
    <t>Plugs</t>
  </si>
  <si>
    <t xml:space="preserve"> =D69/C69</t>
  </si>
  <si>
    <t>Sockets</t>
  </si>
  <si>
    <t xml:space="preserve"> =D70/C70</t>
  </si>
  <si>
    <t>Junctions</t>
  </si>
  <si>
    <t xml:space="preserve"> =D71/C71</t>
  </si>
  <si>
    <t>Adapters</t>
  </si>
  <si>
    <t xml:space="preserve"> =D72/C72</t>
  </si>
  <si>
    <t>Table 2 shows how the =CEILING() function has been used to raise the Item Cost to</t>
  </si>
  <si>
    <t>always end in 99 pence.</t>
  </si>
  <si>
    <t>In Box</t>
  </si>
  <si>
    <t>Raised Cost</t>
  </si>
  <si>
    <t xml:space="preserve"> =INT(E83)+CEILING(MOD(E83,1),0.99)</t>
  </si>
  <si>
    <t>Explanation</t>
  </si>
  <si>
    <t>=INT(E83)</t>
  </si>
  <si>
    <t>Calculates the integer part of the price.</t>
  </si>
  <si>
    <t>=MOD(E83,1)</t>
  </si>
  <si>
    <t>Calculates the decimal part of the price.</t>
  </si>
  <si>
    <t>=CEILING(MOD(E83),0.99)</t>
  </si>
  <si>
    <t>Raises the decimal to 0.99</t>
  </si>
  <si>
    <t>This is the cell and contents to test.</t>
  </si>
  <si>
    <t>The cell address.</t>
  </si>
  <si>
    <t xml:space="preserve"> =CELL("address",D3)</t>
  </si>
  <si>
    <t>The column number.</t>
  </si>
  <si>
    <t xml:space="preserve"> =CELL("col",D3)</t>
  </si>
  <si>
    <t>The row number.</t>
  </si>
  <si>
    <t xml:space="preserve"> =CELL("row",D3)</t>
  </si>
  <si>
    <t>The actual contents of the cell.</t>
  </si>
  <si>
    <t xml:space="preserve"> =CELL("contents",D3)</t>
  </si>
  <si>
    <t xml:space="preserve"> =CELL("type",D3)</t>
  </si>
  <si>
    <t xml:space="preserve"> =CELL("prefix",D3)</t>
  </si>
  <si>
    <t>The width of the cell.</t>
  </si>
  <si>
    <t xml:space="preserve"> =CELL("width",D3)</t>
  </si>
  <si>
    <t>The number format fo the cell.
(See the table shown below)</t>
  </si>
  <si>
    <t xml:space="preserve"> =CELL("format",D3)</t>
  </si>
  <si>
    <t xml:space="preserve"> =CELL("parentheses",D3)</t>
  </si>
  <si>
    <t xml:space="preserve"> =CELL("color",D3)</t>
  </si>
  <si>
    <t xml:space="preserve"> =CELL("protect",D3)</t>
  </si>
  <si>
    <t>The filename containing the cell.</t>
  </si>
  <si>
    <t xml:space="preserve"> =CELL("filename",D3)</t>
  </si>
  <si>
    <t>This function examines a cell and displays information about the contents, position and formatting.</t>
  </si>
  <si>
    <t>=CELL("TypeOfInfoRequired",CellToTest)</t>
  </si>
  <si>
    <t>The TypeOfInfoRequired is a text entry which must be surrounded with quotes " ".</t>
  </si>
  <si>
    <t>Codes used to show the formatting of the cell.</t>
  </si>
  <si>
    <t>Numeric Format</t>
  </si>
  <si>
    <t>Code</t>
  </si>
  <si>
    <t xml:space="preserve">General </t>
  </si>
  <si>
    <t>G</t>
  </si>
  <si>
    <t>F0</t>
  </si>
  <si>
    <t xml:space="preserve">#,##0 </t>
  </si>
  <si>
    <t>,0</t>
  </si>
  <si>
    <t>0.00</t>
  </si>
  <si>
    <t>F2</t>
  </si>
  <si>
    <t xml:space="preserve">#,##0.00 </t>
  </si>
  <si>
    <t>,2</t>
  </si>
  <si>
    <t xml:space="preserve">$#,##0_);($#,##0) </t>
  </si>
  <si>
    <t>C0</t>
  </si>
  <si>
    <t xml:space="preserve">$#,##0_);[Red]($#,##0) </t>
  </si>
  <si>
    <t>C0-</t>
  </si>
  <si>
    <t>$#,##0.00_);($#,##0.00)</t>
  </si>
  <si>
    <t>C2</t>
  </si>
  <si>
    <t xml:space="preserve">$#,##0.00_);[Red]($#,##0.00) </t>
  </si>
  <si>
    <t>C2-</t>
  </si>
  <si>
    <t>P0</t>
  </si>
  <si>
    <t>P2</t>
  </si>
  <si>
    <t>S2</t>
  </si>
  <si>
    <t># ?/? or # ??/??</t>
  </si>
  <si>
    <t>m/d/yy or m/d/yy h:mm or mm/dd/yy.</t>
  </si>
  <si>
    <t>D4</t>
  </si>
  <si>
    <t>d-mmm-yy or dd-mmm-yy</t>
  </si>
  <si>
    <t>D1</t>
  </si>
  <si>
    <t>d-mmm or dd-mmm</t>
  </si>
  <si>
    <t>D2</t>
  </si>
  <si>
    <t xml:space="preserve">mmm-yy </t>
  </si>
  <si>
    <t>D3</t>
  </si>
  <si>
    <t>mm/dd</t>
  </si>
  <si>
    <t>D5</t>
  </si>
  <si>
    <t xml:space="preserve">h:mm AM/PM </t>
  </si>
  <si>
    <t>D7</t>
  </si>
  <si>
    <t xml:space="preserve">h:mm:ss AM/PM </t>
  </si>
  <si>
    <t>D6</t>
  </si>
  <si>
    <t xml:space="preserve">h:mm </t>
  </si>
  <si>
    <t>D9</t>
  </si>
  <si>
    <t xml:space="preserve">h:mm:ss </t>
  </si>
  <si>
    <t>D8</t>
  </si>
  <si>
    <t>The following example uses the =CELL() function as part of a formula which extracts the filename.</t>
  </si>
  <si>
    <t>The name of the current file is :</t>
  </si>
  <si>
    <r>
      <t xml:space="preserve">The type of entry in the cell.
Shown as </t>
    </r>
    <r>
      <rPr>
        <b/>
        <sz val="10"/>
        <rFont val="Arial"/>
      </rPr>
      <t>b</t>
    </r>
    <r>
      <rPr>
        <sz val="10"/>
        <rFont val="Arial"/>
      </rPr>
      <t xml:space="preserve"> for blank, </t>
    </r>
    <r>
      <rPr>
        <b/>
        <sz val="10"/>
        <rFont val="Arial"/>
      </rPr>
      <t>l</t>
    </r>
    <r>
      <rPr>
        <sz val="10"/>
        <rFont val="Arial"/>
      </rPr>
      <t xml:space="preserve"> for text, </t>
    </r>
    <r>
      <rPr>
        <b/>
        <sz val="10"/>
        <rFont val="Arial"/>
      </rPr>
      <t>v</t>
    </r>
    <r>
      <rPr>
        <sz val="10"/>
        <rFont val="Arial"/>
      </rPr>
      <t xml:space="preserve"> for value.</t>
    </r>
  </si>
  <si>
    <t xml:space="preserve"> =D30&amp;", "&amp;C30</t>
  </si>
  <si>
    <r>
      <t xml:space="preserve">You can achieve the same result by using the </t>
    </r>
    <r>
      <rPr>
        <b/>
        <sz val="10"/>
        <rFont val="Arial"/>
      </rPr>
      <t>&amp;</t>
    </r>
    <r>
      <rPr>
        <sz val="10"/>
        <rFont val="Arial"/>
      </rPr>
      <t xml:space="preserve"> operator.</t>
    </r>
  </si>
  <si>
    <t>Amount
To Convert</t>
  </si>
  <si>
    <t>Converting
From</t>
  </si>
  <si>
    <t>Converting
To</t>
  </si>
  <si>
    <t>Converted
Amount</t>
  </si>
  <si>
    <t>in</t>
  </si>
  <si>
    <t>cm</t>
  </si>
  <si>
    <t xml:space="preserve"> =CONVERT(C4,D4,E4)</t>
  </si>
  <si>
    <t>ft</t>
  </si>
  <si>
    <t>m</t>
  </si>
  <si>
    <t xml:space="preserve"> =CONVERT(C5,D5,E5)</t>
  </si>
  <si>
    <t>yd</t>
  </si>
  <si>
    <t xml:space="preserve"> =CONVERT(C6,D6,E6)</t>
  </si>
  <si>
    <t>yr</t>
  </si>
  <si>
    <t>day</t>
  </si>
  <si>
    <t xml:space="preserve"> =CONVERT(C8,D8,E8)</t>
  </si>
  <si>
    <t>hr</t>
  </si>
  <si>
    <t xml:space="preserve"> =CONVERT(C9,D9,E9)</t>
  </si>
  <si>
    <t>mn</t>
  </si>
  <si>
    <t xml:space="preserve"> =CONVERT(C10,D10,E10)</t>
  </si>
  <si>
    <t>sec</t>
  </si>
  <si>
    <t xml:space="preserve"> =CONVERT(C11,D11,E11)</t>
  </si>
  <si>
    <t>This function converts a value measure in one type of unit, to the same value expressed</t>
  </si>
  <si>
    <t>in a different type of unit, such as Inches to Centimetres.</t>
  </si>
  <si>
    <t>=CONVERT(AmountToConvert,UnitToConvertFrom,UnitToConvertTo)</t>
  </si>
  <si>
    <t>The following table was used by an Import / Exporting company to convert the weight</t>
  </si>
  <si>
    <t>and size of packages from old style UK measuring system to European system.</t>
  </si>
  <si>
    <t>Pounds</t>
  </si>
  <si>
    <t>Ounces</t>
  </si>
  <si>
    <t>Kilograms</t>
  </si>
  <si>
    <t>Weight</t>
  </si>
  <si>
    <t xml:space="preserve"> =CONVERT(D28,"lbm","kg")+CONVERT(E28,"ozm","kg")</t>
  </si>
  <si>
    <t>Feet</t>
  </si>
  <si>
    <t>Inches</t>
  </si>
  <si>
    <t>Metres</t>
  </si>
  <si>
    <t>Height</t>
  </si>
  <si>
    <t>Length</t>
  </si>
  <si>
    <t>Width</t>
  </si>
  <si>
    <t xml:space="preserve"> =CONVERT(D34,"ft","m")+CONVERT(E34,"in","m")</t>
  </si>
  <si>
    <t>Abbreviations</t>
  </si>
  <si>
    <t>This is a list of all the possible abbreviations which can be used to denote measuring systems.</t>
  </si>
  <si>
    <t>Weight &amp; Mass</t>
  </si>
  <si>
    <t>Distance</t>
  </si>
  <si>
    <t>Gram</t>
  </si>
  <si>
    <t>g</t>
  </si>
  <si>
    <t>Meter</t>
  </si>
  <si>
    <t>Kilogram</t>
  </si>
  <si>
    <t>kg</t>
  </si>
  <si>
    <t>Statute mile</t>
  </si>
  <si>
    <t>mi</t>
  </si>
  <si>
    <t>Slug</t>
  </si>
  <si>
    <t>sg</t>
  </si>
  <si>
    <t>Nautical mile</t>
  </si>
  <si>
    <t>Nmi</t>
  </si>
  <si>
    <t>Pound mass</t>
  </si>
  <si>
    <t>lbm</t>
  </si>
  <si>
    <t>Inch</t>
  </si>
  <si>
    <t>U (atomic mass)</t>
  </si>
  <si>
    <t>u</t>
  </si>
  <si>
    <t>Foot</t>
  </si>
  <si>
    <t>Ounce mass</t>
  </si>
  <si>
    <t>ozm</t>
  </si>
  <si>
    <t>Yard</t>
  </si>
  <si>
    <t>Angstrom</t>
  </si>
  <si>
    <t>ang</t>
  </si>
  <si>
    <t>Pica (1/72 in.)</t>
  </si>
  <si>
    <t>Pica</t>
  </si>
  <si>
    <t>Year</t>
  </si>
  <si>
    <t>Pressure</t>
  </si>
  <si>
    <t>Hour</t>
  </si>
  <si>
    <t>Pascal</t>
  </si>
  <si>
    <t>Pa</t>
  </si>
  <si>
    <t>Minute</t>
  </si>
  <si>
    <t>Atmosphere</t>
  </si>
  <si>
    <t>atm</t>
  </si>
  <si>
    <t>Second</t>
  </si>
  <si>
    <t>mm of Mercury</t>
  </si>
  <si>
    <t>mmHg</t>
  </si>
  <si>
    <t>Temperature</t>
  </si>
  <si>
    <t>Liquid</t>
  </si>
  <si>
    <t>Degree Celsius</t>
  </si>
  <si>
    <t>Teaspoon</t>
  </si>
  <si>
    <t>tsp</t>
  </si>
  <si>
    <t>Degree Fahrenheit</t>
  </si>
  <si>
    <t>F</t>
  </si>
  <si>
    <t>Tablespoon</t>
  </si>
  <si>
    <t>tbs</t>
  </si>
  <si>
    <t>Degree Kelvin</t>
  </si>
  <si>
    <t>K</t>
  </si>
  <si>
    <t>Fluid ounce</t>
  </si>
  <si>
    <t>oz</t>
  </si>
  <si>
    <t>Cup</t>
  </si>
  <si>
    <t>cup</t>
  </si>
  <si>
    <t>Force</t>
  </si>
  <si>
    <t>Pint</t>
  </si>
  <si>
    <t>pt</t>
  </si>
  <si>
    <t>Newton</t>
  </si>
  <si>
    <t>Quart</t>
  </si>
  <si>
    <t>qt</t>
  </si>
  <si>
    <t>Dyne</t>
  </si>
  <si>
    <t>dyn</t>
  </si>
  <si>
    <t>Gallon</t>
  </si>
  <si>
    <t>gal</t>
  </si>
  <si>
    <t>Pound force</t>
  </si>
  <si>
    <t>lbf</t>
  </si>
  <si>
    <t>Liter</t>
  </si>
  <si>
    <t>l</t>
  </si>
  <si>
    <t>Energy</t>
  </si>
  <si>
    <t>Power</t>
  </si>
  <si>
    <t>Joule</t>
  </si>
  <si>
    <t>J</t>
  </si>
  <si>
    <t>Horsepower</t>
  </si>
  <si>
    <t>HP</t>
  </si>
  <si>
    <t>Erg</t>
  </si>
  <si>
    <t>e</t>
  </si>
  <si>
    <t>Watt</t>
  </si>
  <si>
    <t>W</t>
  </si>
  <si>
    <t>Thermodynamic
calorie</t>
  </si>
  <si>
    <t>IT calorie</t>
  </si>
  <si>
    <t>cal</t>
  </si>
  <si>
    <t>Magnetism</t>
  </si>
  <si>
    <t>Electron volt</t>
  </si>
  <si>
    <t>eV</t>
  </si>
  <si>
    <t>Tesla</t>
  </si>
  <si>
    <t>Horsepower-hour</t>
  </si>
  <si>
    <t>HPh</t>
  </si>
  <si>
    <t>Gauss</t>
  </si>
  <si>
    <t>ga</t>
  </si>
  <si>
    <t>Watt-hour</t>
  </si>
  <si>
    <t>Wh</t>
  </si>
  <si>
    <t>Foot-pound</t>
  </si>
  <si>
    <t>flb</t>
  </si>
  <si>
    <t>BTU</t>
  </si>
  <si>
    <t>These characters can be used as a prefix  to access further units of measure.</t>
  </si>
  <si>
    <t>Prefix</t>
  </si>
  <si>
    <t>Multiplier</t>
  </si>
  <si>
    <t>Abbreviation</t>
  </si>
  <si>
    <t>exa</t>
  </si>
  <si>
    <t>E</t>
  </si>
  <si>
    <t>deci</t>
  </si>
  <si>
    <t>d</t>
  </si>
  <si>
    <t>peta</t>
  </si>
  <si>
    <t>P</t>
  </si>
  <si>
    <t>centi</t>
  </si>
  <si>
    <t>tera</t>
  </si>
  <si>
    <t>milli</t>
  </si>
  <si>
    <t>giga</t>
  </si>
  <si>
    <t>micro</t>
  </si>
  <si>
    <t>mega</t>
  </si>
  <si>
    <t>M</t>
  </si>
  <si>
    <t>nano</t>
  </si>
  <si>
    <t>n</t>
  </si>
  <si>
    <t>kilo</t>
  </si>
  <si>
    <t>k</t>
  </si>
  <si>
    <t>pico</t>
  </si>
  <si>
    <t>p</t>
  </si>
  <si>
    <t>hecto</t>
  </si>
  <si>
    <t>h</t>
  </si>
  <si>
    <t>femto</t>
  </si>
  <si>
    <t>f</t>
  </si>
  <si>
    <t>dekao</t>
  </si>
  <si>
    <t>atto</t>
  </si>
  <si>
    <r>
      <t>Using "</t>
    </r>
    <r>
      <rPr>
        <b/>
        <sz val="10"/>
        <rFont val="Arial"/>
      </rPr>
      <t>c</t>
    </r>
    <r>
      <rPr>
        <sz val="10"/>
        <rFont val="Arial"/>
      </rPr>
      <t>" as a prefix to meters "</t>
    </r>
    <r>
      <rPr>
        <b/>
        <sz val="10"/>
        <rFont val="Arial"/>
      </rPr>
      <t>m</t>
    </r>
    <r>
      <rPr>
        <sz val="10"/>
        <rFont val="Arial"/>
      </rPr>
      <t>" will allow centimetres "</t>
    </r>
    <r>
      <rPr>
        <b/>
        <sz val="10"/>
        <rFont val="Arial"/>
      </rPr>
      <t>cm</t>
    </r>
    <r>
      <rPr>
        <sz val="10"/>
        <rFont val="Arial"/>
      </rPr>
      <t>" to be calculated.</t>
    </r>
  </si>
  <si>
    <t>Month</t>
  </si>
  <si>
    <t>Avg Temp</t>
  </si>
  <si>
    <t>Air Cond
Sales</t>
  </si>
  <si>
    <t>Advertising
Costs</t>
  </si>
  <si>
    <t>Sales</t>
  </si>
  <si>
    <t>Apr</t>
  </si>
  <si>
    <t>May</t>
  </si>
  <si>
    <t>Jun</t>
  </si>
  <si>
    <t>Correlation</t>
  </si>
  <si>
    <t xml:space="preserve"> =CORREL(D5:D10,E5:E10)</t>
  </si>
  <si>
    <t xml:space="preserve"> =CORREL(G5:G10,H5:H10)</t>
  </si>
  <si>
    <t>This function examines two sets of data to determine the degree of relationship</t>
  </si>
  <si>
    <t>between the two sets.</t>
  </si>
  <si>
    <t>The result will be a decimal between 0 and 1.</t>
  </si>
  <si>
    <t>The larger the result, the greater the correlation.</t>
  </si>
  <si>
    <t>In Table 1 the Monthly temperature is compared against the Sales of air conditioning units.</t>
  </si>
  <si>
    <t>In Table 2 the Cost of advertising has been compared to Sales.</t>
  </si>
  <si>
    <t>It can be formatted as percentage % to show a more meaning full result.</t>
  </si>
  <si>
    <t>=CORREL(Range1,Range2)</t>
  </si>
  <si>
    <t>The result will normally be shown in decimal format.</t>
  </si>
  <si>
    <t>Entries To Be Counted</t>
  </si>
  <si>
    <t>Count</t>
  </si>
  <si>
    <t xml:space="preserve"> =COUNT(C4:E4)</t>
  </si>
  <si>
    <t xml:space="preserve"> =COUNT(C5:E5)</t>
  </si>
  <si>
    <t xml:space="preserve"> =COUNT(C6:E6)</t>
  </si>
  <si>
    <t xml:space="preserve"> =COUNT(C7:E7)</t>
  </si>
  <si>
    <t xml:space="preserve"> =COUNT(C8:E8)</t>
  </si>
  <si>
    <t xml:space="preserve"> =COUNT(C9:E9)</t>
  </si>
  <si>
    <t xml:space="preserve"> =COUNT(C10:E10)</t>
  </si>
  <si>
    <t xml:space="preserve"> =COUNT(C11:E11)</t>
  </si>
  <si>
    <t xml:space="preserve"> =COUNT(C12:E12)</t>
  </si>
  <si>
    <t>This function counts the number of numeric entries in a list.</t>
  </si>
  <si>
    <t>It will ignore blanks, text and errors.</t>
  </si>
  <si>
    <t>Using the 0 option suitable for an exact match.</t>
  </si>
  <si>
    <t>Ascending</t>
  </si>
  <si>
    <t>Descending</t>
  </si>
  <si>
    <t>Wrong Value</t>
  </si>
  <si>
    <t xml:space="preserve"> =MATCH(G45,G40:G43,0)</t>
  </si>
  <si>
    <t>Using the 1 option suitable for a ascending list to find an exact or next lowest match.</t>
  </si>
  <si>
    <t xml:space="preserve"> =MATCH(G62,G57:G60,1)</t>
  </si>
  <si>
    <t>second name from a text entry containing both first and second names.</t>
  </si>
  <si>
    <t>Original Text</t>
  </si>
  <si>
    <t xml:space="preserve"> =FIND(" ",C24)</t>
  </si>
  <si>
    <t>This is the position of the space.</t>
  </si>
  <si>
    <t xml:space="preserve"> =LEN(C24)-FIND(" ",C24)</t>
  </si>
  <si>
    <t>This is the length of the second name.</t>
  </si>
  <si>
    <t>Calculated by taking the overall length of the complete</t>
  </si>
  <si>
    <t>name and subtracting the position of the space.</t>
  </si>
  <si>
    <t>This is just the second name.</t>
  </si>
  <si>
    <t>Calculated by using the =RIGHT() function to extract</t>
  </si>
  <si>
    <t>the rightmost characters up to the length of</t>
  </si>
  <si>
    <t>the second name.</t>
  </si>
  <si>
    <t>Francis</t>
  </si>
  <si>
    <t>Type a Name in this cell :</t>
  </si>
  <si>
    <t xml:space="preserve"> =LOOKUP(F12,D4:G10)</t>
  </si>
  <si>
    <t>This function looks for a piece of information in a list, and then picks an item from the</t>
  </si>
  <si>
    <t>last cell in the adjacent row or column.</t>
  </si>
  <si>
    <t>It always picks the data from the end of the row or column, so it is no good if you need</t>
  </si>
  <si>
    <t>to pick data from part way across a list, (use VLOOKUP or HLOOKUP).</t>
  </si>
  <si>
    <t>The way in which the function decides whether to pick from the row or column is based</t>
  </si>
  <si>
    <t>on the size of the table.</t>
  </si>
  <si>
    <t>trying to find a match for the piece of information</t>
  </si>
  <si>
    <t>you asked it to look for.</t>
  </si>
  <si>
    <t>When a match is found, the function will look</t>
  </si>
  <si>
    <t xml:space="preserve">across to the right most column to pick the </t>
  </si>
  <si>
    <t>last entry on the row.</t>
  </si>
  <si>
    <t>work in just the same way as if the table had more</t>
  </si>
  <si>
    <t>rows than columns, as in the description above.</t>
  </si>
  <si>
    <t>to find a match for the piece of information you</t>
  </si>
  <si>
    <t>have asked it to look for.</t>
  </si>
  <si>
    <t>When a match is found, the function will then look</t>
  </si>
  <si>
    <t>down to the bottom cell of the column to pick</t>
  </si>
  <si>
    <t>the last entry of the column.</t>
  </si>
  <si>
    <t>=LOOKUP(WhatToLookFor,RangeToLookIn)</t>
  </si>
  <si>
    <t>The WhatToLookFor should be a single item.</t>
  </si>
  <si>
    <t>The RangeToLook in can be either horizontal or vertical.</t>
  </si>
  <si>
    <t>Be careful not to include unnecessary heading in the range as these will cause errors.</t>
  </si>
  <si>
    <t>In this table there are more</t>
  </si>
  <si>
    <t>In this table there are more columns than rows, so</t>
  </si>
  <si>
    <t>rows than columns, so the</t>
  </si>
  <si>
    <t xml:space="preserve"> =IF(ISBLANK(F36),0,E36)</t>
  </si>
  <si>
    <t xml:space="preserve"> =IF(ISBLANK(F36),E36,0)</t>
  </si>
  <si>
    <t>Totals</t>
  </si>
  <si>
    <t>Cell to test</t>
  </si>
  <si>
    <t xml:space="preserve"> =ISERR(D4)</t>
  </si>
  <si>
    <t xml:space="preserve"> =ISERR(D5)</t>
  </si>
  <si>
    <t xml:space="preserve"> =ISERR(D6)</t>
  </si>
  <si>
    <t xml:space="preserve"> =ISERR(D7)</t>
  </si>
  <si>
    <t xml:space="preserve"> =ISERR(D8)</t>
  </si>
  <si>
    <t xml:space="preserve"> =ISERR(D9)</t>
  </si>
  <si>
    <t xml:space="preserve"> =ISERR(D10)</t>
  </si>
  <si>
    <t>This function tests a cell and shows TRUE if there is an error value in the cell.</t>
  </si>
  <si>
    <t>It will show FALSE if the contents of the cell calculate without an error, or if the error</t>
  </si>
  <si>
    <t>is the #NA message.</t>
  </si>
  <si>
    <t>=ISERR(CellToTest)</t>
  </si>
  <si>
    <t>The CellToTest can be a cell reference or a calculation.</t>
  </si>
  <si>
    <t>The following tables were used by a publican to calculate the cost of a single bottle</t>
  </si>
  <si>
    <t>of champagne, by dividing the cost of the crate by the quantity of bottles in the crate.</t>
  </si>
  <si>
    <t>Table 1 shows what happens when the value zero 0 is entered as the number of bottles.</t>
  </si>
  <si>
    <t>The #DIV/0 indicates that an attempt was made to divide by zero 0, which Excel does not do.</t>
  </si>
  <si>
    <t xml:space="preserve">Cost Of Crate : </t>
  </si>
  <si>
    <t xml:space="preserve">Bottles In Crate : </t>
  </si>
  <si>
    <t xml:space="preserve">Cost of single bottle : </t>
  </si>
  <si>
    <t xml:space="preserve"> =E32/E33</t>
  </si>
  <si>
    <t>Table 2 shows how this error can be trapped by using the =ISERR() function.</t>
  </si>
  <si>
    <t xml:space="preserve"> =IF(ISERR(E40/E41),"Try again!",E40/E41)</t>
  </si>
  <si>
    <t xml:space="preserve"> =ISERROR(D4)</t>
  </si>
  <si>
    <t xml:space="preserve"> =ISERROR(D5)</t>
  </si>
  <si>
    <t xml:space="preserve"> =ISERROR(D6)</t>
  </si>
  <si>
    <t xml:space="preserve"> =ISERROR(D7)</t>
  </si>
  <si>
    <t xml:space="preserve"> =ISERROR(D8)</t>
  </si>
  <si>
    <t xml:space="preserve"> =ISERROR(D9)</t>
  </si>
  <si>
    <t xml:space="preserve"> =ISERROR(D10)</t>
  </si>
  <si>
    <t>This function tests a cell or calculation to determine whether an error has been generated.</t>
  </si>
  <si>
    <t>It will show TRUE for any type of error and FALSE if no error is found.</t>
  </si>
  <si>
    <t>=ISERROR(CellToTest)</t>
  </si>
  <si>
    <t>The CellToTest can be a cell reference or a formula.</t>
  </si>
  <si>
    <t>The following tables was used to calculate the difference between two dates.</t>
  </si>
  <si>
    <t>Table 1 shows an error due to the fact that the first entry was entered using an inappropriate</t>
  </si>
  <si>
    <t>date format.</t>
  </si>
  <si>
    <t xml:space="preserve">Start date : </t>
  </si>
  <si>
    <t>Jan 01 98</t>
  </si>
  <si>
    <t>End date :</t>
  </si>
  <si>
    <t xml:space="preserve">Difference : </t>
  </si>
  <si>
    <t xml:space="preserve"> =D31-D30</t>
  </si>
  <si>
    <t>Table 2 shows how the =ISERROR() function has been used to trap the error and inform the</t>
  </si>
  <si>
    <t>user that there has been an error in the data entry.</t>
  </si>
  <si>
    <t xml:space="preserve"> =IF(ISERROR(D40-D39),"Error in data entry",D40-D39)</t>
  </si>
  <si>
    <t>Is it Even</t>
  </si>
  <si>
    <t xml:space="preserve"> =ISEVEN(C4)</t>
  </si>
  <si>
    <t xml:space="preserve"> =ISEVEN(C5)</t>
  </si>
  <si>
    <t xml:space="preserve"> =ISEVEN(C6)</t>
  </si>
  <si>
    <t xml:space="preserve"> =ISEVEN(C7)</t>
  </si>
  <si>
    <t xml:space="preserve"> =ISEVEN(C8)</t>
  </si>
  <si>
    <t>BOB SMITH</t>
  </si>
  <si>
    <t xml:space="preserve"> =LOWER(C5)</t>
  </si>
  <si>
    <t>CAROL WILLIAMS</t>
  </si>
  <si>
    <t xml:space="preserve"> =LOWER(C6)</t>
  </si>
  <si>
    <t>CARDIFF</t>
  </si>
  <si>
    <t xml:space="preserve"> =LOWER(C7)</t>
  </si>
  <si>
    <t xml:space="preserve"> =LOWER(C8)</t>
  </si>
  <si>
    <t>This function converts all characters in a piece of text to lower case.</t>
  </si>
  <si>
    <t>=LOWER(TextToConvert)</t>
  </si>
  <si>
    <t>Names</t>
  </si>
  <si>
    <t xml:space="preserve">Type a value : </t>
  </si>
  <si>
    <t xml:space="preserve">Value position : </t>
  </si>
  <si>
    <t xml:space="preserve"> =MATCH(E9,E4:E7,0)</t>
  </si>
  <si>
    <t xml:space="preserve"> =MATCH(I9,I4:I7,1)</t>
  </si>
  <si>
    <t>This function looks for an item in a list and shows its position.</t>
  </si>
  <si>
    <t>It can be used with text and numbers.</t>
  </si>
  <si>
    <t>It can look for an exact match or an approximate match.</t>
  </si>
  <si>
    <t>=MATCH(WhatToLookFor,WhereToLook,TypeOfMatch)</t>
  </si>
  <si>
    <t>The TypeOfMatch either 0, 1 or -1.</t>
  </si>
  <si>
    <t>Using 0 will look for an exact match. If no match is found the #NA error will be shown.</t>
  </si>
  <si>
    <t>Using 1 will look for an exact match, or the next lowest number if no exact match exists.</t>
  </si>
  <si>
    <t xml:space="preserve">   If there is no match or next lowest number the error #NA is shown.</t>
  </si>
  <si>
    <t xml:space="preserve">   The list of values being examined must be sorted for this to work correctly.</t>
  </si>
  <si>
    <t>Using -1 will look for an exact match, or the next highest number if no exact match exists.</t>
  </si>
  <si>
    <t xml:space="preserve">   If there is no exact match or next highest number the error #NA is shown.</t>
  </si>
  <si>
    <t xml:space="preserve">   The list must be sorted for this to work properly.</t>
  </si>
  <si>
    <t>Examples 1</t>
  </si>
  <si>
    <t xml:space="preserve"> =STDEV(G4:G7)</t>
  </si>
  <si>
    <t>This function calculates the sample population standard deviation of a list of values.</t>
  </si>
  <si>
    <t>A sample population is used when the list of values represents a sample of a population.</t>
  </si>
  <si>
    <t>=STDEV(Range1,Range2,Range3 through to Range30)</t>
  </si>
  <si>
    <t>The table below was used by a company interested in buying a new machine</t>
  </si>
  <si>
    <t>to pack washing powder.</t>
  </si>
  <si>
    <t>Three machines were short listed and allow to run for a day.</t>
  </si>
  <si>
    <t>At the end of the day four boxes of soap powder were picked at random from the production</t>
  </si>
  <si>
    <t>of each machine.</t>
  </si>
  <si>
    <t>The boxes were weighed and the =STDEV() function used as these boxes only represented</t>
  </si>
  <si>
    <t>a sample of the complete days production.</t>
  </si>
  <si>
    <t>The machine with the smallest deviation was the most consistent.</t>
  </si>
  <si>
    <t>Soap Powder Box Filling Machine Test Results</t>
  </si>
  <si>
    <t>Test 4</t>
  </si>
  <si>
    <t>Variance</t>
  </si>
  <si>
    <t>Machine 1</t>
  </si>
  <si>
    <t xml:space="preserve"> =STDEV(D34:G34)</t>
  </si>
  <si>
    <t>Machine 2</t>
  </si>
  <si>
    <t>One of the most common examples of this is when a persons Forename and Surname</t>
  </si>
  <si>
    <t>are entered in full into a cell.</t>
  </si>
  <si>
    <t>The formula use various text functions to accomplish the task.</t>
  </si>
  <si>
    <t>Each of the techniques uses the space between the names to identify where to split.</t>
  </si>
  <si>
    <t>Finding the First Name</t>
  </si>
  <si>
    <t>Full Name</t>
  </si>
  <si>
    <t>First Name</t>
  </si>
  <si>
    <t>Alan Jones</t>
  </si>
  <si>
    <t xml:space="preserve"> =LEFT(C14,FIND(" ",C14,1))</t>
  </si>
  <si>
    <t>Bob Smith</t>
  </si>
  <si>
    <t xml:space="preserve"> =LEFT(C15,FIND(" ",C15,1))</t>
  </si>
  <si>
    <t>Carol Williams</t>
  </si>
  <si>
    <t xml:space="preserve"> =LEFT(C16,FIND(" ",C16,1))</t>
  </si>
  <si>
    <t>Finding the Last Name</t>
  </si>
  <si>
    <t>Last Name</t>
  </si>
  <si>
    <t xml:space="preserve"> =RIGHT(C22,LEN(C22)-FIND(" ",C22))</t>
  </si>
  <si>
    <t xml:space="preserve"> =RIGHT(C23,LEN(C23)-FIND(" ",C23))</t>
  </si>
  <si>
    <t xml:space="preserve"> =RIGHT(C24,LEN(C24)-FIND(" ",C24))</t>
  </si>
  <si>
    <t>Finding the Last name when a Middle name is present</t>
  </si>
  <si>
    <t>The formula above cannot handle any more than two names.</t>
  </si>
  <si>
    <t>If there is also a middle name, the last name formula will be incorrect.</t>
  </si>
  <si>
    <t>To solve the problem you have to use a much longer calculation.</t>
  </si>
  <si>
    <t>Alan David Jones</t>
  </si>
  <si>
    <t>Bob John Smith</t>
  </si>
  <si>
    <t>Carol Susan Williams</t>
  </si>
  <si>
    <t xml:space="preserve"> =RIGHT(C37,LEN(C37)-FIND("#",SUBSTITUTE(C37," ","#",LEN(C37)-LEN(SUBSTITUTE(C37," ","")))))</t>
  </si>
  <si>
    <t>Finding the Middle name</t>
  </si>
  <si>
    <t>Middle Name</t>
  </si>
  <si>
    <t xml:space="preserve"> =LEFT(RIGHT(C45,LEN(C45)-FIND(" ",C45,1)),FIND(" ",RIGHT(C45,LEN(C45)-FIND(" ",C45,1)),1))</t>
  </si>
  <si>
    <t>There are no specific functions for calculating percentages.</t>
  </si>
  <si>
    <t>You have to use the skills you were taught in your maths class at school!</t>
  </si>
  <si>
    <t>Finding a percentage of a value</t>
  </si>
  <si>
    <t>Initial value</t>
  </si>
  <si>
    <t>% to find</t>
  </si>
  <si>
    <t>Percentage value</t>
  </si>
  <si>
    <t xml:space="preserve"> =D8*D9</t>
  </si>
  <si>
    <t>Example 1</t>
  </si>
  <si>
    <t>A company is about to give its staff a pay rise.</t>
  </si>
  <si>
    <t>The wages department need to calculate the increases.</t>
  </si>
  <si>
    <t>Staff on different grades get different pay rises.</t>
  </si>
  <si>
    <t>Grade</t>
  </si>
  <si>
    <t>% Rise</t>
  </si>
  <si>
    <t>A</t>
  </si>
  <si>
    <t>B</t>
  </si>
  <si>
    <t>C</t>
  </si>
  <si>
    <t>Name</t>
  </si>
  <si>
    <t>Old Salary</t>
  </si>
  <si>
    <t>Increase</t>
  </si>
  <si>
    <t xml:space="preserve"> =E23*LOOKUP(D23,$C$18:$C$20,$D$18:$D$20)</t>
  </si>
  <si>
    <t xml:space="preserve"> =E24*LOOKUP(D24,$C$18:$C$20,$D$18:$D$20)</t>
  </si>
  <si>
    <t xml:space="preserve"> =E25*LOOKUP(D25,$C$18:$C$20,$D$18:$D$20)</t>
  </si>
  <si>
    <t>David</t>
  </si>
  <si>
    <t xml:space="preserve"> =E26*LOOKUP(D26,$C$18:$C$20,$D$18:$D$20)</t>
  </si>
  <si>
    <t>Elaine</t>
  </si>
  <si>
    <t xml:space="preserve"> =E27*LOOKUP(D27,$C$18:$C$20,$D$18:$D$20)</t>
  </si>
  <si>
    <t>Frank</t>
  </si>
  <si>
    <t xml:space="preserve"> =E28*LOOKUP(D28,$C$18:$C$20,$D$18:$D$20)</t>
  </si>
  <si>
    <t xml:space="preserve">Finding a percentage increase </t>
  </si>
  <si>
    <t>% increase</t>
  </si>
  <si>
    <t>Increased value</t>
  </si>
  <si>
    <t xml:space="preserve"> =D33*D34+D33</t>
  </si>
  <si>
    <t>Example 2</t>
  </si>
  <si>
    <t>The wages department need to calculate the new salary including the % increase.</t>
  </si>
  <si>
    <t xml:space="preserve"> =E48*LOOKUP(D48,$C$18:$C$20,$D$18:$D$20)+E48</t>
  </si>
  <si>
    <t xml:space="preserve"> =E49*LOOKUP(D49,$C$18:$C$20,$D$18:$D$20)+E49</t>
  </si>
  <si>
    <t xml:space="preserve"> =E50*LOOKUP(D50,$C$18:$C$20,$D$18:$D$20)+E50</t>
  </si>
  <si>
    <t xml:space="preserve"> =E51*LOOKUP(D51,$C$18:$C$20,$D$18:$D$20)+E51</t>
  </si>
  <si>
    <t xml:space="preserve"> =E52*LOOKUP(D52,$C$18:$C$20,$D$18:$D$20)+E52</t>
  </si>
  <si>
    <t xml:space="preserve"> =E53*LOOKUP(D53,$C$18:$C$20,$D$18:$D$20)+E53</t>
  </si>
  <si>
    <t>Finding one value as percentage of another</t>
  </si>
  <si>
    <t>Value A</t>
  </si>
  <si>
    <t>Value B</t>
  </si>
  <si>
    <t>A as % of B</t>
  </si>
  <si>
    <t xml:space="preserve"> =D59/D58</t>
  </si>
  <si>
    <t>You will need to format the result as % by using the % button</t>
  </si>
  <si>
    <t>on the toolbar.</t>
  </si>
  <si>
    <t>Example 3</t>
  </si>
  <si>
    <t>An manager has been asked to submit budget requirements for next year.</t>
  </si>
  <si>
    <t>The manger needs to specify what will be required each quarter.</t>
  </si>
  <si>
    <t>The manager knows what has been spent by each region in the previous year.</t>
  </si>
  <si>
    <t>By analysing the past years spending, the manager hopes to predict</t>
  </si>
  <si>
    <t>what will need to be spent in the next year.</t>
  </si>
  <si>
    <t>Last years figures</t>
  </si>
  <si>
    <t>Region</t>
  </si>
  <si>
    <t>Q1</t>
  </si>
  <si>
    <t>Q2</t>
  </si>
  <si>
    <t>Q3</t>
  </si>
  <si>
    <t>Q4</t>
  </si>
  <si>
    <t>Last years Quarters as % of last years Total</t>
  </si>
  <si>
    <t xml:space="preserve"> =G74/$H$78</t>
  </si>
  <si>
    <t xml:space="preserve"> =G75/$H$78</t>
  </si>
  <si>
    <t xml:space="preserve"> =G76/$H$78</t>
  </si>
  <si>
    <t xml:space="preserve"> =G77/$H$78</t>
  </si>
  <si>
    <t xml:space="preserve"> =G78/$H$78</t>
  </si>
  <si>
    <t>Next years budget</t>
  </si>
  <si>
    <t>Next years estimated budget requirements</t>
  </si>
  <si>
    <t xml:space="preserve"> =G82*$E$88</t>
  </si>
  <si>
    <t xml:space="preserve"> =G83*$E$88</t>
  </si>
  <si>
    <t xml:space="preserve"> =G84*$E$88</t>
  </si>
  <si>
    <t>Finding an original value after an increase has been applied</t>
  </si>
  <si>
    <t>Original value</t>
  </si>
  <si>
    <t xml:space="preserve"> =D100/(100%+D101)</t>
  </si>
  <si>
    <t>Example 4</t>
  </si>
  <si>
    <t>An employ has to submit an expenses claim for travelling and accommodation.</t>
  </si>
  <si>
    <t>The claim needs to show the VAT tax portion of each receipt.</t>
  </si>
  <si>
    <t>Unfortunately the receipts held by the employee only show the total amount.</t>
  </si>
  <si>
    <t>The employee needs to split this total to show the original value and the VAT amount.</t>
  </si>
  <si>
    <t>VAT rate</t>
  </si>
  <si>
    <t>Receipt</t>
  </si>
  <si>
    <t>Actual Value</t>
  </si>
  <si>
    <t>Today:</t>
  </si>
  <si>
    <t>=COUNT(Range1,Range2,Range3... through to Range30)</t>
  </si>
  <si>
    <t>The following table was used by a builders merchant to calculate the number of sales</t>
  </si>
  <si>
    <t>for various products in each month.</t>
  </si>
  <si>
    <t>Glass</t>
  </si>
  <si>
    <t>Metal</t>
  </si>
  <si>
    <t xml:space="preserve"> =COUNT(D29:D32)</t>
  </si>
  <si>
    <t xml:space="preserve"> =COUNTA(C4:E4)</t>
  </si>
  <si>
    <t xml:space="preserve"> =COUNTA(C5:E5)</t>
  </si>
  <si>
    <t xml:space="preserve"> =COUNTA(C6:E6)</t>
  </si>
  <si>
    <t xml:space="preserve"> =COUNTA(C7:E7)</t>
  </si>
  <si>
    <t xml:space="preserve"> =COUNTA(C8:E8)</t>
  </si>
  <si>
    <t xml:space="preserve"> =COUNTA(C9:E9)</t>
  </si>
  <si>
    <t xml:space="preserve"> =COUNTA(C10:E10)</t>
  </si>
  <si>
    <t xml:space="preserve"> =COUNTA(C11:E11)</t>
  </si>
  <si>
    <t xml:space="preserve"> =COUNTA(C12:E12)</t>
  </si>
  <si>
    <t>This function counts the number of numeric or text entries in a list.</t>
  </si>
  <si>
    <t>It will ignore blanks.</t>
  </si>
  <si>
    <t>=COUNTA(Range1,Range2,Range3... through to Range30)</t>
  </si>
  <si>
    <t>The following table was used by a school to keep track of the examinations taken by each pupil.</t>
  </si>
  <si>
    <t>Each exam passed was graded as 1, 2 or 3.</t>
  </si>
  <si>
    <t>A failure was entered as Fail.</t>
  </si>
  <si>
    <t>The school needed to known how many pupils sat each exam.</t>
  </si>
  <si>
    <t>The school also needed to know how many exams were taken by each pupil.</t>
  </si>
  <si>
    <t>The =COUNTA() function has been used because of its ability to count text and numeric entries.</t>
  </si>
  <si>
    <t>Art</t>
  </si>
  <si>
    <t>History</t>
  </si>
  <si>
    <t>Exams Taken
By Each Pupil</t>
  </si>
  <si>
    <t>Fail</t>
  </si>
  <si>
    <t xml:space="preserve"> =COUNTA(D39:G39)</t>
  </si>
  <si>
    <t>How many pupils sat each Exam.</t>
  </si>
  <si>
    <t xml:space="preserve"> =COUNTA(D35:D39)</t>
  </si>
  <si>
    <t>Range To Test</t>
  </si>
  <si>
    <t>Blanks</t>
  </si>
  <si>
    <t xml:space="preserve"> =COUNTBLANK(C4:C11)</t>
  </si>
  <si>
    <t>This function counts the number of blank cells in a range.</t>
  </si>
  <si>
    <t>=COUNTBLANK(RangeToTest)</t>
  </si>
  <si>
    <t>The following table was used by a company which was balloting its workers on whether</t>
  </si>
  <si>
    <t>the company should have a no smoking policy.</t>
  </si>
  <si>
    <t>Each of the departments in the various factories were questioned.</t>
  </si>
  <si>
    <t>The response to the question could be Y or N.</t>
  </si>
  <si>
    <t>As the results of the vote were collated they were entered in to the table.</t>
  </si>
  <si>
    <t>Table 2 shows how the =NA() has been inserted in the unknown Tax to act as a</t>
  </si>
  <si>
    <t>reminder that the Tax still needs to be entered.</t>
  </si>
  <si>
    <t xml:space="preserve"> =C49-C49*D49</t>
  </si>
  <si>
    <t xml:space="preserve"> =C50-C50*D50</t>
  </si>
  <si>
    <t xml:space="preserve"> =C51-C51*D51</t>
  </si>
  <si>
    <t>Work Days</t>
  </si>
  <si>
    <t xml:space="preserve"> =NETWORKDAYS(C4,D4)</t>
  </si>
  <si>
    <t xml:space="preserve"> =NETWORKDAYS(C5,D5)</t>
  </si>
  <si>
    <t xml:space="preserve"> =NETWORKDAYS(C6,D6)</t>
  </si>
  <si>
    <t>This function will calculate the number of working days between two dates.</t>
  </si>
  <si>
    <t>It will exclude weekends and any holidays.</t>
  </si>
  <si>
    <t xml:space="preserve"> =NETWORKDAYS(StartDate,EndDate,Holidays)</t>
  </si>
  <si>
    <t xml:space="preserve">   Holidays : This is a list of dates which will be excluded from the calculation, such as Xmas</t>
  </si>
  <si>
    <t xml:space="preserve">   and Bank holidays.</t>
  </si>
  <si>
    <t>would not follow on sequentially, but would take into account the fact that there were duplicates.</t>
  </si>
  <si>
    <t>If the numbers 30, 20, 20 and 10 were ranked, 30 is ranked as 1, both 20's are ranked as 2, and</t>
  </si>
  <si>
    <t>the 10 would be ranked as 4.</t>
  </si>
  <si>
    <t>Rank</t>
  </si>
  <si>
    <t xml:space="preserve"> =RANK(B34,B34:B37)</t>
  </si>
  <si>
    <t xml:space="preserve"> =RANK(B35,B34:B37)</t>
  </si>
  <si>
    <t xml:space="preserve"> =RANK(B36,B34:B37)</t>
  </si>
  <si>
    <t xml:space="preserve"> =RANK(B37,B34:B37)</t>
  </si>
  <si>
    <t>=RANK(NumberToRank,ListOfNumbers,RankOrder)</t>
  </si>
  <si>
    <t>The RankOrder can be 0 zero or 1.</t>
  </si>
  <si>
    <t>Using 0 will rank larger numbers at the top. (This is optional, leaving it out has the same effect).</t>
  </si>
  <si>
    <t>Using 1 will rank small numbers at the top.</t>
  </si>
  <si>
    <t>The following table was used to record the times for athletes competing in a race.</t>
  </si>
  <si>
    <t>The =RANK() function was then used to find their race positions based upon the finishing times.</t>
  </si>
  <si>
    <t>Athlete</t>
  </si>
  <si>
    <t>Race Position</t>
  </si>
  <si>
    <t>John</t>
  </si>
  <si>
    <t xml:space="preserve"> =RANK(C53,C53:C58,1)</t>
  </si>
  <si>
    <t xml:space="preserve"> =RANK(C54,C53:C58,1)</t>
  </si>
  <si>
    <t xml:space="preserve"> =RANK(C55,C53:C58,1)</t>
  </si>
  <si>
    <t>Brian</t>
  </si>
  <si>
    <t xml:space="preserve"> =RANK(C56,C53:C58,1)</t>
  </si>
  <si>
    <t>Sue</t>
  </si>
  <si>
    <t xml:space="preserve"> =RANK(C57,C53:C58,1)</t>
  </si>
  <si>
    <t>Alex</t>
  </si>
  <si>
    <t xml:space="preserve"> =RANK(C58,C53:C58,1)</t>
  </si>
  <si>
    <t>Characters
To Replace</t>
  </si>
  <si>
    <t>New
Character</t>
  </si>
  <si>
    <t>Modified
Text</t>
  </si>
  <si>
    <t>ABCDEFGH</t>
  </si>
  <si>
    <t>x</t>
  </si>
  <si>
    <t xml:space="preserve"> =REPLACE(C4,D4,E4,F4)</t>
  </si>
  <si>
    <t xml:space="preserve"> =REPLACE(C5,D5,E5,F5)</t>
  </si>
  <si>
    <t xml:space="preserve"> =REPLACE(C6,D6,E6,F6)</t>
  </si>
  <si>
    <t xml:space="preserve"> =REPLACE(C7,D7,E7,F7)</t>
  </si>
  <si>
    <t>This function replaces a portion of text with a new piece of text.</t>
  </si>
  <si>
    <t>You need to specify where the replacement should start, how many characters to</t>
  </si>
  <si>
    <t>remove and what the new replacement text should be.</t>
  </si>
  <si>
    <t>=REPLACE(OriginalText,StartPosition,NumberOfCharactersToReplace,NewText)</t>
  </si>
  <si>
    <t>Text To
Repeat</t>
  </si>
  <si>
    <t>Number Of
Repeats</t>
  </si>
  <si>
    <t>Repeated
Text</t>
  </si>
  <si>
    <t xml:space="preserve"> =REPT(C4,D4)</t>
  </si>
  <si>
    <t xml:space="preserve"> =REPT(C5,D5)</t>
  </si>
  <si>
    <t>-</t>
  </si>
  <si>
    <t xml:space="preserve"> =REPT(C6,D6)</t>
  </si>
  <si>
    <t>|</t>
  </si>
  <si>
    <t xml:space="preserve"> =REPT(C7,D7)</t>
  </si>
  <si>
    <t>This function repeats a piece of text a specified number of times.</t>
  </si>
  <si>
    <t>You need to specify the text to be repeated and how many times to repeat it.</t>
  </si>
  <si>
    <t>=REPT(TextToRepeat,Repetitions)</t>
  </si>
  <si>
    <t>The maximum number of repetitions is 200.</t>
  </si>
  <si>
    <t>The following table was used to display a simple histogram of sales figures.</t>
  </si>
  <si>
    <t>The =REPT() function uses the value of Sales, but this is divided by 100 to scale down the</t>
  </si>
  <si>
    <t xml:space="preserve"> =IF(OR(E4="Visa",E4="Delta"),5,0)</t>
  </si>
  <si>
    <t>AB002</t>
  </si>
  <si>
    <t>Visa</t>
  </si>
  <si>
    <t xml:space="preserve"> =IF(OR(E5="Visa",E5="Delta"),5,0)</t>
  </si>
  <si>
    <t>AB003</t>
  </si>
  <si>
    <t>Cheque</t>
  </si>
  <si>
    <t xml:space="preserve"> =IF(OR(E6="Visa",E6="Delta"),5,0)</t>
  </si>
  <si>
    <t>AB004</t>
  </si>
  <si>
    <t xml:space="preserve"> =IF(OR(E7="Visa",E7="Delta"),5,0)</t>
  </si>
  <si>
    <t>This function tests two or more conditions to see if any of them are true.</t>
  </si>
  <si>
    <t>It can be used to test that at least one of a series of numbers meets certain conditions.</t>
  </si>
  <si>
    <t>Normally the OR() function would be used in conjunction with a function such as =IF().</t>
  </si>
  <si>
    <t xml:space="preserve"> =OR(Test1,Test2)</t>
  </si>
  <si>
    <t>The following table shows a list of orders taken by a company.</t>
  </si>
  <si>
    <t>A handling charge of £5 is made on all orders paid by Visa or Delta cards.</t>
  </si>
  <si>
    <t>The =OR() function has been used to determine whether the charge needs to be applied.</t>
  </si>
  <si>
    <t xml:space="preserve"> =IF(OR(E27="Visa",E27="Delta"),5,0)</t>
  </si>
  <si>
    <t>This is an example of a spreadsheet to calculate the best time interval to order stock.</t>
  </si>
  <si>
    <t>Scenario</t>
  </si>
  <si>
    <t>A garage fits exhaust systems.</t>
  </si>
  <si>
    <t>The manager orders the exhausts on a regular basis.</t>
  </si>
  <si>
    <t>Each time an order is made for new stock, there is a fixed administrative cost.</t>
  </si>
  <si>
    <t>The exhausts are kept in stock until needed.</t>
  </si>
  <si>
    <t>Keeping the exhausts in stock incurs a cost due to capital tied up and warehouse costs.</t>
  </si>
  <si>
    <t>The supplier of the Exhausts gives a discount on large orders.</t>
  </si>
  <si>
    <t>Objective</t>
  </si>
  <si>
    <t>Find the time interval to order stock which will result in the lowest Admin and Warehouse costs.</t>
  </si>
  <si>
    <t>Input Data</t>
  </si>
  <si>
    <t xml:space="preserve">Cost of a single Exhaust system : </t>
  </si>
  <si>
    <t xml:space="preserve">Cost of keeping Exhaust in stock. (As a % of the stock value) : </t>
  </si>
  <si>
    <t xml:space="preserve">Quantity of Exhausts used per day : </t>
  </si>
  <si>
    <t xml:space="preserve">Admin cost each time new Exhausts are ordered : </t>
  </si>
  <si>
    <t xml:space="preserve">Average quantity of Exhausts in stock (As % of ordered quantity) : </t>
  </si>
  <si>
    <t xml:space="preserve">Ordering Intervals to evaluate. (Expressed in Days) : </t>
  </si>
  <si>
    <t xml:space="preserve">Suppliers first Price Break and Discount% offered : </t>
  </si>
  <si>
    <t xml:space="preserve">Suppliers second Price Break and Discount% offered : </t>
  </si>
  <si>
    <t>Output</t>
  </si>
  <si>
    <t>Ordering Interval
In Days</t>
  </si>
  <si>
    <t>Quantity
Per Order</t>
  </si>
  <si>
    <t>Order
Value</t>
  </si>
  <si>
    <t>Order
Discount</t>
  </si>
  <si>
    <t>Orders
Per Year</t>
  </si>
  <si>
    <t>Annual Admin Cost</t>
  </si>
  <si>
    <t>Annual
Ware
house
Costs</t>
  </si>
  <si>
    <t>Annual
Total</t>
  </si>
  <si>
    <t>as the formula is copied down. Each occurrence of the =SUM() then adds all</t>
  </si>
  <si>
    <t>the numbers from the first cell down.</t>
  </si>
  <si>
    <t>The function can be tidied up to show 0 zero when there is no adjacent value</t>
  </si>
  <si>
    <t>by using the =IF() function.</t>
  </si>
  <si>
    <t xml:space="preserve"> =SUM(IF(D7,$D$7:D7,0))</t>
  </si>
  <si>
    <t xml:space="preserve"> =SUM(IF(D8,$D$7:D8,0))</t>
  </si>
  <si>
    <t xml:space="preserve"> =SUM(IF(D9,$D$7:D9,0))</t>
  </si>
  <si>
    <t xml:space="preserve"> =SUM(IF(D10,$D$7:D10,0))</t>
  </si>
  <si>
    <t xml:space="preserve"> =SUM(IF(D11,$D$7:D11,0))</t>
  </si>
  <si>
    <t xml:space="preserve"> =SUM(IF(D12,$D$7:D12,0))</t>
  </si>
  <si>
    <t xml:space="preserve"> The =SUM() only takes place when</t>
  </si>
  <si>
    <t xml:space="preserve"> there is data in column D.</t>
  </si>
  <si>
    <t xml:space="preserve"> Otherwise the value 0 zero is entered.</t>
  </si>
  <si>
    <t>Sometimes it is necessary to base a calculation on a set of cells in different locations.</t>
  </si>
  <si>
    <t>An example would be when a total is required from certain months of the year, such as</t>
  </si>
  <si>
    <t>the last 3 months in relation to the current date.</t>
  </si>
  <si>
    <t>Only the fraction part of the number is used as it is this which relates to time of day.</t>
  </si>
  <si>
    <t xml:space="preserve"> =MINUTE(Number)</t>
  </si>
  <si>
    <t>The result will be shown as a normal number between 0 and 59.</t>
  </si>
  <si>
    <t>The =REPT() function has been used to make a digital display for the current time.</t>
  </si>
  <si>
    <t>The time functions of =HOUR(), =MINUTE() and =SECOND() have been used in conjunction</t>
  </si>
  <si>
    <t>with the =NOW() as the basis for the number of repeats.</t>
  </si>
  <si>
    <t>To update the clock press the function key F9.</t>
  </si>
  <si>
    <t>Clock</t>
  </si>
  <si>
    <t xml:space="preserve">Hour  </t>
  </si>
  <si>
    <t xml:space="preserve">Minute  </t>
  </si>
  <si>
    <t xml:space="preserve">Second  </t>
  </si>
  <si>
    <t xml:space="preserve"> =REPT("|",HOUR(NOW()))&amp;" "&amp;TEXT(HOUR(NOW()),"00")</t>
  </si>
  <si>
    <t xml:space="preserve"> =REPT("|",MINUTE(NOW()))&amp;" "&amp;TEXT(MINUTE(NOW()),"00")</t>
  </si>
  <si>
    <t xml:space="preserve"> =REPT("|",SECOND(NOW()))&amp;" "&amp;TEXT(SECOND(NOW()),"00")</t>
  </si>
  <si>
    <t>Related Information</t>
  </si>
  <si>
    <t>To convert a time in hh:mm format to decimal format.</t>
  </si>
  <si>
    <t xml:space="preserve">Enter a time in hh:mm format : </t>
  </si>
  <si>
    <t xml:space="preserve">The same time converted to a decimal : </t>
  </si>
  <si>
    <t xml:space="preserve"> =F38*24</t>
  </si>
  <si>
    <t xml:space="preserve">To extract the hours as a decimal : </t>
  </si>
  <si>
    <t xml:space="preserve"> =INT(F38*24)</t>
  </si>
  <si>
    <t xml:space="preserve">To extract the minutes as a decimal : </t>
  </si>
  <si>
    <t xml:space="preserve"> =MOD(F38*24,1)</t>
  </si>
  <si>
    <t>To convert a time in decimal format to hh:mm format.</t>
  </si>
  <si>
    <t xml:space="preserve">Enter a time in decimal format : </t>
  </si>
  <si>
    <t xml:space="preserve">The same time converted to hh:mm format is : </t>
  </si>
  <si>
    <t xml:space="preserve"> =F49/24</t>
  </si>
  <si>
    <t>To extract the hours in hh:mm format :</t>
  </si>
  <si>
    <t xml:space="preserve"> =INT(F49)/24</t>
  </si>
  <si>
    <t xml:space="preserve">To extract the minutes in hh:mm format : </t>
  </si>
  <si>
    <t xml:space="preserve"> =MOD(F49,1)/24</t>
  </si>
  <si>
    <r>
      <t xml:space="preserve">The three formula above have also been formatted as </t>
    </r>
    <r>
      <rPr>
        <b/>
        <sz val="10"/>
        <rFont val="Arial"/>
      </rPr>
      <t>hh:mm</t>
    </r>
    <r>
      <rPr>
        <sz val="10"/>
        <rFont val="Arial"/>
      </rPr>
      <t xml:space="preserve"> using</t>
    </r>
  </si>
  <si>
    <r>
      <t xml:space="preserve">the </t>
    </r>
    <r>
      <rPr>
        <b/>
        <sz val="10"/>
        <rFont val="Arial"/>
      </rPr>
      <t>Format</t>
    </r>
    <r>
      <rPr>
        <sz val="10"/>
        <rFont val="Arial"/>
      </rPr>
      <t xml:space="preserve">, </t>
    </r>
    <r>
      <rPr>
        <b/>
        <sz val="10"/>
        <rFont val="Arial"/>
      </rPr>
      <t>Cells</t>
    </r>
    <r>
      <rPr>
        <sz val="10"/>
        <rFont val="Arial"/>
      </rPr>
      <t xml:space="preserve">, </t>
    </r>
    <r>
      <rPr>
        <b/>
        <sz val="10"/>
        <rFont val="Arial"/>
      </rPr>
      <t>Number</t>
    </r>
    <r>
      <rPr>
        <sz val="10"/>
        <rFont val="Arial"/>
      </rPr>
      <t xml:space="preserve">, </t>
    </r>
    <r>
      <rPr>
        <b/>
        <sz val="10"/>
        <rFont val="Arial"/>
      </rPr>
      <t>Time</t>
    </r>
    <r>
      <rPr>
        <sz val="10"/>
        <rFont val="Arial"/>
      </rPr>
      <t xml:space="preserve"> command.</t>
    </r>
  </si>
  <si>
    <t>This function multiplies one range of values with another range of values.</t>
  </si>
  <si>
    <t>The ranges do not have to be of equal size.</t>
  </si>
  <si>
    <t>The dimensions of the result range is in direct proportion to dimensions of the two input ranges.</t>
  </si>
  <si>
    <t>It is an Array function and must be entered using the Ctrl+Shift+Enter combination.</t>
  </si>
  <si>
    <t>=MMULT(Range1,Range2)</t>
  </si>
  <si>
    <t>The following tables were used by a company producing boxes of chocolates.</t>
  </si>
  <si>
    <t>The types of chocolate produced were Milk, Dark and White.</t>
  </si>
  <si>
    <t>The company boxed the chocolates in three differing mixtures of Milk, Dark and White.</t>
  </si>
  <si>
    <t>In the run up to Christmas customers ordered various quantities of each box.</t>
  </si>
  <si>
    <t>The chocolate company now needed to know what quantity of each type of chocolate to produce.</t>
  </si>
  <si>
    <t>The =MMULT() function was used to multiply the contents of boxes by the customer orders.</t>
  </si>
  <si>
    <t>The result of the =MMULT() is the total number of each type of chocolate to produce.</t>
  </si>
  <si>
    <t>Chocolates in the box</t>
  </si>
  <si>
    <t>Milk</t>
  </si>
  <si>
    <t>Dark</t>
  </si>
  <si>
    <t>White</t>
  </si>
  <si>
    <t>Giant</t>
  </si>
  <si>
    <t>Standard</t>
  </si>
  <si>
    <t>Economy</t>
  </si>
  <si>
    <t>Customers Orders</t>
  </si>
  <si>
    <t>Quantity To Produce</t>
  </si>
  <si>
    <t>{=MMULT(C32:E32,C26:E28)}</t>
  </si>
  <si>
    <t>In all three cells</t>
  </si>
  <si>
    <t>How It Was Done</t>
  </si>
  <si>
    <t>Cells C36 to E36 were selected.</t>
  </si>
  <si>
    <t>The formula =MMULT(C32:E32,C26:E28) was typed, (but not yet entered).</t>
  </si>
  <si>
    <t>The keys Ctrl+Shift+Enter were pressed to confirm the entry as an array.</t>
  </si>
  <si>
    <t>The formula then showed the correct result.</t>
  </si>
  <si>
    <t>Getting The Dimensions Correct</t>
  </si>
  <si>
    <t>The dimensions of the Result range are directly related to the two input ranges.</t>
  </si>
  <si>
    <t>The number of rows in the Result should be equal to the rows in Range1.</t>
  </si>
  <si>
    <t>The number of columns in the Result should be equal to the columns in Range2.</t>
  </si>
  <si>
    <t>The following tables were used by the chocolate company to calculate the amount of</t>
  </si>
  <si>
    <t>ingredients needed to produce batches of chocolate.</t>
  </si>
  <si>
    <t>The company has four factories, each of which has to order enough Butter, Eggs and Sugar</t>
  </si>
  <si>
    <t>to ensure they can meet production targets.</t>
  </si>
  <si>
    <t>Range 1 contains the planned production of Milk and Dark chocolate for each factory.</t>
  </si>
  <si>
    <t>Range 2 contains the amount Butter, Eggs and Sugar needed to make 1 unit of Milk or Plain.</t>
  </si>
  <si>
    <t>This shows the Best ordering interval, giving the lowest annual overheads.</t>
  </si>
  <si>
    <r>
      <t xml:space="preserve">The </t>
    </r>
    <r>
      <rPr>
        <b/>
        <sz val="10"/>
        <rFont val="Arial"/>
      </rPr>
      <t>FieldName</t>
    </r>
    <r>
      <rPr>
        <sz val="10"/>
        <rFont val="Arial"/>
      </rPr>
      <t xml:space="preserve"> is the name, or cell, of the values to pick the Min from, such as "Value Of Stock" or I3.</t>
    </r>
  </si>
  <si>
    <t>Original Number</t>
  </si>
  <si>
    <t>Converted To Text</t>
  </si>
  <si>
    <t xml:space="preserve"> =DOLLAR(C4)</t>
  </si>
  <si>
    <t xml:space="preserve"> =DOLLAR(C5,0)</t>
  </si>
  <si>
    <t xml:space="preserve"> =DOLLAR(C6,1)</t>
  </si>
  <si>
    <t xml:space="preserve"> =DOLLAR(C7,2)</t>
  </si>
  <si>
    <t xml:space="preserve"> =DOLLAR(C8)</t>
  </si>
  <si>
    <t xml:space="preserve"> =DOLLAR(C9,0)</t>
  </si>
  <si>
    <t xml:space="preserve"> =DOLLAR(C10,1)</t>
  </si>
  <si>
    <t xml:space="preserve"> =DOLLAR(C11,2)</t>
  </si>
  <si>
    <t>This function converts a number into a piece of text formatted as currency.</t>
  </si>
  <si>
    <t xml:space="preserve"> =DOLLAR(Number,DecimalPlaces)</t>
  </si>
  <si>
    <t xml:space="preserve"> Number : This is the number which needs to be converted.</t>
  </si>
  <si>
    <t xml:space="preserve">              3 : 29 or 30 0r 31 days per month divided by 365.</t>
  </si>
  <si>
    <t xml:space="preserve">              4 : European 29 or 30 or 31 days divided by 360.</t>
  </si>
  <si>
    <t>The result will be shown as a decimal fraction, but can be formatted as a percent.</t>
  </si>
  <si>
    <t>The following table was used by a company which hired people on short term contracts</t>
  </si>
  <si>
    <t>for a part of the year.</t>
  </si>
  <si>
    <t>The Pro Rata Salary which represents the annual salary is entered.</t>
  </si>
  <si>
    <t>The Start and End dates of the contract are entered.</t>
  </si>
  <si>
    <t>The =YEARFRAC() function is used to calculate Actual Salary for the portion of the year.</t>
  </si>
  <si>
    <t>Pro Rata Salary</t>
  </si>
  <si>
    <t>Actual Salary</t>
  </si>
  <si>
    <t xml:space="preserve"> =YEARFRAC(B32,C32+1,4)*D32</t>
  </si>
  <si>
    <t xml:space="preserve"> =YEARFRAC(B33,C33+1,4)*D33</t>
  </si>
  <si>
    <t xml:space="preserve"> =YEARFRAC(B34,C34+1,4)*D34</t>
  </si>
  <si>
    <t>The extra 1 has been added to the End date to compensate for the fact that the =YEARFRAC()</t>
  </si>
  <si>
    <t>function calculates from the Start date up to, but not including, the End date.</t>
  </si>
  <si>
    <t>It compares the value in column H against the minimum value for all of column H.</t>
  </si>
  <si>
    <t>If the two values match the word Best is shown, otherwise a dash is shown.</t>
  </si>
  <si>
    <t>=IF(H29=MIN($H$29:$H$59),"Best","-")</t>
  </si>
  <si>
    <r>
      <t>=C29*</t>
    </r>
    <r>
      <rPr>
        <b/>
        <sz val="10"/>
        <color indexed="12"/>
        <rFont val="Arial"/>
        <family val="2"/>
      </rPr>
      <t>IF(AND(B29&gt;=$G$24,B29&lt;$G$25),$H$24</t>
    </r>
    <r>
      <rPr>
        <sz val="10"/>
        <color indexed="12"/>
        <rFont val="Arial"/>
        <family val="2"/>
      </rPr>
      <t>,</t>
    </r>
    <r>
      <rPr>
        <sz val="10"/>
        <rFont val="Arial"/>
      </rPr>
      <t>IF(B29&gt;=$G$25,$H$25,0))</t>
    </r>
  </si>
  <si>
    <r>
      <t>=C29*IF(AND(B29&gt;=$G$24,B29&lt;$G$25),$H$24,</t>
    </r>
    <r>
      <rPr>
        <b/>
        <sz val="10"/>
        <color indexed="12"/>
        <rFont val="Arial"/>
      </rPr>
      <t>IF(B29&gt;=$G$25,$H$25</t>
    </r>
    <r>
      <rPr>
        <sz val="10"/>
        <rFont val="Arial"/>
      </rPr>
      <t>,0))</t>
    </r>
  </si>
  <si>
    <t>This function finds the median value of a group of values.</t>
  </si>
  <si>
    <t>The median is not the average, it is the half way point where half the numbers in the group are</t>
  </si>
  <si>
    <t>larger than it and half the numbers are less than it.</t>
  </si>
  <si>
    <t>If there is no exact median number in the group, the two nearest the half way point are</t>
  </si>
  <si>
    <t>added and their average is used as the median.</t>
  </si>
  <si>
    <t>=MEDIAN(Range1,Range2,Range3... through to Range30)</t>
  </si>
  <si>
    <t>Start
Position</t>
  </si>
  <si>
    <t>How Many
Characters</t>
  </si>
  <si>
    <t>Mid String</t>
  </si>
  <si>
    <t>ABCDEDF</t>
  </si>
  <si>
    <t xml:space="preserve"> =MID(C4,D4,E4)</t>
  </si>
  <si>
    <t xml:space="preserve"> =MID(C5,D5,E5)</t>
  </si>
  <si>
    <t xml:space="preserve"> =MID(C6,D6,E6)</t>
  </si>
  <si>
    <t>ABC-100-DEF</t>
  </si>
  <si>
    <t xml:space="preserve"> =MID(C8,5,3)</t>
  </si>
  <si>
    <t>ABC-200-DEF</t>
  </si>
  <si>
    <t xml:space="preserve"> =MID(C9,5,3)</t>
  </si>
  <si>
    <t>ABC-300-DEF</t>
  </si>
  <si>
    <t xml:space="preserve"> =MID(C10,5,3)</t>
  </si>
  <si>
    <t>Item Size: Large</t>
  </si>
  <si>
    <t xml:space="preserve"> =MID(C12,12,99)</t>
  </si>
  <si>
    <t>Item Size: Medium</t>
  </si>
  <si>
    <t xml:space="preserve"> =MID(C13,12,99)</t>
  </si>
  <si>
    <t>Item Size: Small</t>
  </si>
  <si>
    <t xml:space="preserve"> =MID(C14,12,99)</t>
  </si>
  <si>
    <t>This function picks out a piece of text from the middle of a text entry.</t>
  </si>
  <si>
    <t>The function needs to know at what point it should start, and how many characters to pick.</t>
  </si>
  <si>
    <t>If the number of characters to pick exceeds what is available, only the available characters</t>
  </si>
  <si>
    <t>will be picked.</t>
  </si>
  <si>
    <t>=MID(OriginalText,PositionToStartPicking,NumberOfCharactersToPick)</t>
  </si>
  <si>
    <t>The following table uses the =MID() function to extract a post code from a branch ID used</t>
  </si>
  <si>
    <t>by a company.</t>
  </si>
  <si>
    <t>It is assumed that all branch ID's follow the same format with the letters identifying the</t>
  </si>
  <si>
    <t>postal region being in the 5th and 6th positions.</t>
  </si>
  <si>
    <t>Branch ID</t>
  </si>
  <si>
    <t>Postal Region</t>
  </si>
  <si>
    <t>DRS-CF-476</t>
  </si>
  <si>
    <t xml:space="preserve"> =MID(C35,5,2)</t>
  </si>
  <si>
    <t>DRS-WA-842</t>
  </si>
  <si>
    <t xml:space="preserve"> =MID(C36,5,2)</t>
  </si>
  <si>
    <t>HLT-NP-190</t>
  </si>
  <si>
    <t xml:space="preserve"> =MID(C37,5,2)</t>
  </si>
  <si>
    <t>This example shows how to extract an item which is of variable length, which is inside</t>
  </si>
  <si>
    <t>a piece of text which has no standard format, other than the required text is always</t>
  </si>
  <si>
    <t>between two slash / symbols.</t>
  </si>
  <si>
    <t>Full Branch Code</t>
  </si>
  <si>
    <t>DRS/STC/872</t>
  </si>
  <si>
    <t>HDRS/FC/111</t>
  </si>
  <si>
    <t>S/NORTH/874</t>
  </si>
  <si>
    <t>HQ/K/875</t>
  </si>
  <si>
    <t>SPECIAL/UK &amp; FR/876</t>
  </si>
  <si>
    <t>Find the first /, plus 1 for the Start of the code.</t>
  </si>
  <si>
    <t>Find the second /, occurring after the first /</t>
  </si>
  <si>
    <t>bob smith</t>
  </si>
  <si>
    <t xml:space="preserve"> =PROPER(C5)</t>
  </si>
  <si>
    <t>caRol wILLIAMS</t>
  </si>
  <si>
    <t xml:space="preserve"> =PROPER(C6)</t>
  </si>
  <si>
    <t>cardiff</t>
  </si>
  <si>
    <t xml:space="preserve"> =PROPER(C7)</t>
  </si>
  <si>
    <t xml:space="preserve"> =PROPER(C8)</t>
  </si>
  <si>
    <t>This function converts the first letter of each word to uppercase, and all subsequent letters</t>
  </si>
  <si>
    <t>are converted to lower case.</t>
  </si>
  <si>
    <t>=PROPER(TextToConvert)</t>
  </si>
  <si>
    <t>Quarter No.</t>
  </si>
  <si>
    <t>Quartile</t>
  </si>
  <si>
    <t xml:space="preserve"> =QUARTILE(C4:C8,E4)</t>
  </si>
  <si>
    <t xml:space="preserve"> =QUARTILE(C4:C8,E5)</t>
  </si>
  <si>
    <t xml:space="preserve"> =QUARTILE(C4:C8,E6)</t>
  </si>
  <si>
    <t xml:space="preserve"> =QUARTILE(C4:C8,E7)</t>
  </si>
  <si>
    <t xml:space="preserve"> =QUARTILE(C4:C8,E8)</t>
  </si>
  <si>
    <t xml:space="preserve"> =QUARTILE(C12:F16,H12)</t>
  </si>
  <si>
    <t xml:space="preserve"> =QUARTILE(C12:F16,H13)</t>
  </si>
  <si>
    <t xml:space="preserve"> =QUARTILE(C12:F16,H14)</t>
  </si>
  <si>
    <t xml:space="preserve"> =QUARTILE(C12:F16,H15)</t>
  </si>
  <si>
    <t xml:space="preserve"> =QUARTILE(C12:F16,H16)</t>
  </si>
  <si>
    <t>This function examines a group of values and then shows the values which are of the</t>
  </si>
  <si>
    <t>upper limits of the 1st, 2nd, 3rd and 4th quarters of the data.</t>
  </si>
  <si>
    <t>The Quartile of 0 (zero) is actually lowest value, which can be obtained using the =MIN() function.</t>
  </si>
  <si>
    <t>The Quartile of 4 is actually highest value, which can be obtained using the =MAX() function.</t>
  </si>
  <si>
    <t>=QUARTILE(RangeToBeExamined,QuartileValue)</t>
  </si>
  <si>
    <t>The QuartileValue can only be 0,1,2,3 or 4.</t>
  </si>
  <si>
    <t xml:space="preserve"> =QUOTIENT(C4,D4)</t>
  </si>
  <si>
    <t xml:space="preserve"> =QUOTIENT(C5,D5)</t>
  </si>
  <si>
    <t xml:space="preserve"> =QUOTIENT(C6,D6)</t>
  </si>
  <si>
    <t>This function calculates the number of times a number can be divided by another number.</t>
  </si>
  <si>
    <t>It ignores any remainder, only showing the whole number.</t>
  </si>
  <si>
    <t>=QUOTIENT(NumberToBeDivided,Divisor)</t>
  </si>
  <si>
    <t>The following example was used by a drinks merchant to calculate the number of</t>
  </si>
  <si>
    <t>crates which could be packed using bottles in stock.</t>
  </si>
  <si>
    <t>The merchant can only sell full crates.</t>
  </si>
  <si>
    <t>Table 1 calculates the crates by simple division. This however shows</t>
  </si>
  <si>
    <t>decimal fractions which are not needed.</t>
  </si>
  <si>
    <t>Bottles
To Pack</t>
  </si>
  <si>
    <t>Bottles
Per Crate</t>
  </si>
  <si>
    <t>Crates Needed</t>
  </si>
  <si>
    <t>Wine</t>
  </si>
  <si>
    <t xml:space="preserve"> =D28/E28</t>
  </si>
  <si>
    <t>Champagne</t>
  </si>
  <si>
    <t>Rum</t>
  </si>
  <si>
    <t>Beer</t>
  </si>
  <si>
    <t>Table 2 uses the =QUOTIENT() function to remove the decimal fraction to</t>
  </si>
  <si>
    <t>give the correct result.</t>
  </si>
  <si>
    <t xml:space="preserve"> =ERROR.TYPE(E6)</t>
  </si>
  <si>
    <t xml:space="preserve"> =ERROR.TYPE(E7)</t>
  </si>
  <si>
    <t>This function will show a number which corresponds to an error produced by a formula.</t>
  </si>
  <si>
    <t xml:space="preserve"> =ERROR.TYPE(Error)</t>
  </si>
  <si>
    <t xml:space="preserve">   Error is the cell reference where the error occurred.</t>
  </si>
  <si>
    <t>These ranges have been given the name PeopleLists.</t>
  </si>
  <si>
    <t>The =AREAS(PeopleLists) gives a result of 2 indicating that there are two separate</t>
  </si>
  <si>
    <t>selections which form the PeopleLists range.</t>
  </si>
  <si>
    <t>To name multiple ranges the CTRL key must be used.</t>
  </si>
  <si>
    <t>In the above example the pink range was selected as normal, then the Ctrl key</t>
  </si>
  <si>
    <t>was held down before selecting the green range.</t>
  </si>
  <si>
    <t>When a Range Name is created it will consider both Pink and Green as being one range.</t>
  </si>
  <si>
    <t>Mon</t>
  </si>
  <si>
    <t>Tue</t>
  </si>
  <si>
    <t>Wed</t>
  </si>
  <si>
    <t>Thu</t>
  </si>
  <si>
    <t>Fri</t>
  </si>
  <si>
    <t>Sat</t>
  </si>
  <si>
    <t>Sun</t>
  </si>
  <si>
    <t>Average</t>
  </si>
  <si>
    <t>Temp</t>
  </si>
  <si>
    <t xml:space="preserve"> =AVERAGE(D4:J4)</t>
  </si>
  <si>
    <t>Rain</t>
  </si>
  <si>
    <t xml:space="preserve"> =AVERAGE(D5:J5)</t>
  </si>
  <si>
    <t xml:space="preserve"> =AVERAGE(D8:J8)</t>
  </si>
  <si>
    <t xml:space="preserve"> =AVERAGE(D9:J9)</t>
  </si>
  <si>
    <t>No</t>
  </si>
  <si>
    <t xml:space="preserve"> =AVERAGE(D12:J12)</t>
  </si>
  <si>
    <t>Reading</t>
  </si>
  <si>
    <t xml:space="preserve"> =AVERAGE(D13:J13)</t>
  </si>
  <si>
    <t>This function calculates the average from a list of numbers.</t>
  </si>
  <si>
    <t>If the cell is blank or contains text, the cell will not be used in the average calculation.</t>
  </si>
  <si>
    <t>If the cell contains zero 0, the cell will be included in the average calculation.</t>
  </si>
  <si>
    <t>=AVERAGE(Range1,Range2,Range3... through to Range30)</t>
  </si>
  <si>
    <t>No special formatting is needed.</t>
  </si>
  <si>
    <t>To calculate the average of cells which contain text or blanks use =SUM() to get the total and</t>
  </si>
  <si>
    <t>then divide by the count of the entries using =COUNTA().</t>
  </si>
  <si>
    <t xml:space="preserve"> =SUM(D31:J31)/COUNTA(D31:J31)</t>
  </si>
  <si>
    <t xml:space="preserve"> =SUM(D32:J32)/COUNTA(D32:J32)</t>
  </si>
  <si>
    <t xml:space="preserve"> =SUM(D35:J35)/COUNTA(D35:J35)</t>
  </si>
  <si>
    <t xml:space="preserve"> =SUM(D36:J36)/COUNTA(D36:J36)</t>
  </si>
  <si>
    <t>Further Usage</t>
  </si>
  <si>
    <t>Binary Number</t>
  </si>
  <si>
    <t>Decimal Equivalent</t>
  </si>
  <si>
    <t xml:space="preserve"> =BIN2DEC(C4)</t>
  </si>
  <si>
    <t xml:space="preserve"> =BIN2DEC(C5)</t>
  </si>
  <si>
    <t xml:space="preserve"> =BIN2DEC(C6)</t>
  </si>
  <si>
    <t xml:space="preserve"> =BIN2DEC(C7)</t>
  </si>
  <si>
    <t xml:space="preserve"> =BIN2DEC(C8)</t>
  </si>
  <si>
    <t xml:space="preserve"> =BIN2DEC(C9)</t>
  </si>
  <si>
    <t xml:space="preserve"> =BIN2DEC(C10)</t>
  </si>
  <si>
    <t xml:space="preserve"> =BIN2DEC(C11)</t>
  </si>
  <si>
    <t xml:space="preserve"> =BIN2DEC(C12)</t>
  </si>
  <si>
    <t xml:space="preserve"> =BIN2DEC(C13)</t>
  </si>
  <si>
    <t>This function converts a binary number to decimal.</t>
  </si>
  <si>
    <t>Negative numbers are represented using two's-complement notation.</t>
  </si>
  <si>
    <t>=BIN2DEC(BinaryNumber)</t>
  </si>
  <si>
    <t>The binary number has a limit of ten characters.</t>
  </si>
  <si>
    <t>Raised Up</t>
  </si>
  <si>
    <t xml:space="preserve"> =CEILING(C4,1)</t>
  </si>
  <si>
    <t xml:space="preserve"> =CEILING(C5,1)</t>
  </si>
  <si>
    <t xml:space="preserve"> =CEILING(C6,1)</t>
  </si>
  <si>
    <t xml:space="preserve"> =CEILING(C7,30)</t>
  </si>
  <si>
    <t xml:space="preserve"> =CEILING(C8,30)</t>
  </si>
  <si>
    <t xml:space="preserve"> =CEILING(C9,30)</t>
  </si>
  <si>
    <t>This function rounds a number up to the nearest multiple specified by the user.</t>
  </si>
  <si>
    <t>=CEILING(ValueToRound,MultipleToRoundUpTo)</t>
  </si>
  <si>
    <t>The ValueToRound can be a cell address or a calculation.</t>
  </si>
  <si>
    <t>The following table was used by a estate agent renting holiday apartments.</t>
  </si>
  <si>
    <t>The properties being rented are only available on a weekly basis.</t>
  </si>
  <si>
    <t>When the customer supplies the number of days required in the property the =CEILING()</t>
  </si>
  <si>
    <t>The factorial of 5 is calculated as 1*2*3*4*5, which results in 120.</t>
  </si>
  <si>
    <t>Decimal fractions of the number are ignored.</t>
  </si>
  <si>
    <t>=FACT(Number)</t>
  </si>
  <si>
    <t>Formatting.</t>
  </si>
  <si>
    <t>Letter To Find</t>
  </si>
  <si>
    <t>Position Of Letter</t>
  </si>
  <si>
    <t xml:space="preserve"> =FIND(D4,C4)</t>
  </si>
  <si>
    <t>H</t>
  </si>
  <si>
    <t xml:space="preserve"> =FIND(D5,C5)</t>
  </si>
  <si>
    <t>o</t>
  </si>
  <si>
    <t xml:space="preserve"> =FIND(D6,C6)</t>
  </si>
  <si>
    <t>Alan Williams</t>
  </si>
  <si>
    <t xml:space="preserve"> =FIND(D7,C7)</t>
  </si>
  <si>
    <t xml:space="preserve"> =FIND(D8,C8,6)</t>
  </si>
  <si>
    <t xml:space="preserve"> =FIND(D9,C9)</t>
  </si>
  <si>
    <t>This function looks for a specified letter inside another piece of text.</t>
  </si>
  <si>
    <t>When the letter is found the position is shown as a number.</t>
  </si>
  <si>
    <t>If the text contains more than one reference to the letter, the first occurrence is used.</t>
  </si>
  <si>
    <t>N</t>
  </si>
  <si>
    <t>T</t>
  </si>
  <si>
    <t>Excel can work with time very easily.</t>
  </si>
  <si>
    <t>Time can be entered in various different formats and calculations performed.</t>
  </si>
  <si>
    <t>There are one or two oddities, but nothing which should put you off working with it.</t>
  </si>
  <si>
    <t>Typing time</t>
  </si>
  <si>
    <t>When time is entered into worksheet it should be entered with a colon between</t>
  </si>
  <si>
    <t>Excel can cope with either the 24hour system or the am/pm system.</t>
  </si>
  <si>
    <t>You must leave a space between the number and the text.</t>
  </si>
  <si>
    <t>Finding the difference between two times</t>
  </si>
  <si>
    <t>You can subtract two time values to find the length of time between.</t>
  </si>
  <si>
    <t>Start</t>
  </si>
  <si>
    <t>End</t>
  </si>
  <si>
    <t>Duration</t>
  </si>
  <si>
    <t xml:space="preserve"> =D24-C24</t>
  </si>
  <si>
    <t xml:space="preserve"> =D25-C25</t>
  </si>
  <si>
    <t>If the result is not shown correctly,</t>
  </si>
  <si>
    <t>You may need to reformat the answer.</t>
  </si>
  <si>
    <t>Look at the section about formatting</t>
  </si>
  <si>
    <t>further in this worksheet.</t>
  </si>
  <si>
    <t>Adding time</t>
  </si>
  <si>
    <t>You can add time to find a total time.</t>
  </si>
  <si>
    <t>This works well until the total time goes above 24 hours.</t>
  </si>
  <si>
    <t>For totals greater than 24 hours you may need to apply some special formatting.</t>
  </si>
  <si>
    <t>Formatting time</t>
  </si>
  <si>
    <t>When time is added together the result may go beyond 24 hours.</t>
  </si>
  <si>
    <t>Usually this gives an incorrect result, as in the example below.</t>
  </si>
  <si>
    <t>To correct this error, the result needs to be formatted with a Custom format.</t>
  </si>
  <si>
    <t>Example 1 : Incorrect formatting</t>
  </si>
  <si>
    <t xml:space="preserve"> =SUM(E49:E51)</t>
  </si>
  <si>
    <t>Example 2 : Correct formatting</t>
  </si>
  <si>
    <t xml:space="preserve"> =SUM(E56:E58)</t>
  </si>
  <si>
    <t>How To Apply Custom Formatting</t>
  </si>
  <si>
    <t>The custom format for time use a pair of square brackets [hh] on either side</t>
  </si>
  <si>
    <t>of the hours indicators.</t>
  </si>
  <si>
    <t>1. Click on the cell which needs the format.</t>
  </si>
  <si>
    <r>
      <t xml:space="preserve">See the </t>
    </r>
    <r>
      <rPr>
        <b/>
        <sz val="10"/>
        <color indexed="12"/>
        <rFont val="Arial"/>
        <family val="2"/>
      </rPr>
      <t>TimeSheet</t>
    </r>
    <r>
      <rPr>
        <sz val="10"/>
        <rFont val="Arial"/>
      </rPr>
      <t xml:space="preserve"> example for an example.</t>
    </r>
  </si>
  <si>
    <r>
      <t xml:space="preserve">the hour and the minutes, such as </t>
    </r>
    <r>
      <rPr>
        <b/>
        <sz val="10"/>
        <color indexed="12"/>
        <rFont val="Arial"/>
        <family val="2"/>
      </rPr>
      <t>12:30</t>
    </r>
    <r>
      <rPr>
        <sz val="10"/>
        <rFont val="Arial"/>
      </rPr>
      <t xml:space="preserve">, rather than </t>
    </r>
    <r>
      <rPr>
        <b/>
        <sz val="10"/>
        <color indexed="17"/>
        <rFont val="Arial"/>
        <family val="2"/>
      </rPr>
      <t>12.30</t>
    </r>
  </si>
  <si>
    <t>Numbers</t>
  </si>
  <si>
    <t>Greatest
Divisor</t>
  </si>
  <si>
    <t xml:space="preserve"> =GCD(C4,D4)</t>
  </si>
  <si>
    <t xml:space="preserve"> =GCD(C5,D5)</t>
  </si>
  <si>
    <t xml:space="preserve"> =GCD(C6,D6)</t>
  </si>
  <si>
    <t xml:space="preserve"> =RIGHT(C6,D6)</t>
  </si>
  <si>
    <t xml:space="preserve"> =RIGHT(C7,D7)</t>
  </si>
  <si>
    <t xml:space="preserve"> =RIGHT(C8,D8)</t>
  </si>
  <si>
    <t>This function displays a specified number of characters from the right hand side of a</t>
  </si>
  <si>
    <t>=RIGHT(OriginalText,NumberOfCharactersRequired)</t>
  </si>
  <si>
    <t>The following table was used to extract the second name of a person from their full name.</t>
  </si>
  <si>
    <t>The =FIND() function locates the position of the space between the first and second name.</t>
  </si>
  <si>
    <t>The length of the second name is calculated by subtracting the position of the space from</t>
  </si>
  <si>
    <t>the overall length of the full name.</t>
  </si>
  <si>
    <t>The =RIGHT() function can then extract the second name.</t>
  </si>
  <si>
    <t>Second Name</t>
  </si>
  <si>
    <t xml:space="preserve"> =RIGHT(C28,LEN(C28)-FIND(" ",C28))</t>
  </si>
  <si>
    <t xml:space="preserve"> =RIGHT(C29,LEN(C29)-FIND(" ",C29))</t>
  </si>
  <si>
    <t xml:space="preserve"> =RIGHT(C30,LEN(C30)-FIND(" ",C30))</t>
  </si>
  <si>
    <t>Roman</t>
  </si>
  <si>
    <t xml:space="preserve"> =ROMAN(C4)</t>
  </si>
  <si>
    <t xml:space="preserve"> =ROMAN(C5)</t>
  </si>
  <si>
    <t xml:space="preserve"> =ROMAN(C6)</t>
  </si>
  <si>
    <t xml:space="preserve"> =ROMAN(C7)</t>
  </si>
  <si>
    <t xml:space="preserve"> =ROMAN(C8)</t>
  </si>
  <si>
    <t xml:space="preserve"> =ROMAN(C9)</t>
  </si>
  <si>
    <t xml:space="preserve"> =ROMAN(C10,0)</t>
  </si>
  <si>
    <t xml:space="preserve"> =ROMAN(C11,1)</t>
  </si>
  <si>
    <t xml:space="preserve"> =ROMAN(C12,2)</t>
  </si>
  <si>
    <t xml:space="preserve"> =ROMAN(C13,3)</t>
  </si>
  <si>
    <t xml:space="preserve"> =ROMAN(C14,4)</t>
  </si>
  <si>
    <t xml:space="preserve"> =ROMAN(C15,TRUE)</t>
  </si>
  <si>
    <t xml:space="preserve"> =ROMAN(C16,FALSE)</t>
  </si>
  <si>
    <t>This function produces a number shown as Roman numerals in various formats.</t>
  </si>
  <si>
    <t>=ROMAN(NormalNumber,RomanNumberFormat)</t>
  </si>
  <si>
    <t>The RomanNumberFormat can be any of the following.</t>
  </si>
  <si>
    <t>0 is Classic. This is used if no format is specified.</t>
  </si>
  <si>
    <t>1 is more Concise.</t>
  </si>
  <si>
    <t>2 is even more Concise.</t>
  </si>
  <si>
    <t>3 is even more Concise still.</t>
  </si>
  <si>
    <t>4 is Simplified.</t>
  </si>
  <si>
    <t>TRUE is Classic</t>
  </si>
  <si>
    <t>FALSE is Simplified</t>
  </si>
  <si>
    <t>There is no function to do the opposite calculation of Roman to normal.</t>
  </si>
  <si>
    <t>Places To
Round</t>
  </si>
  <si>
    <t>Rounded
Number</t>
  </si>
  <si>
    <t xml:space="preserve"> =ROUND(C4,D4)</t>
  </si>
  <si>
    <t xml:space="preserve"> =ROUND(C5,D5)</t>
  </si>
  <si>
    <t xml:space="preserve"> =ROUND(C6,D6)</t>
  </si>
  <si>
    <t xml:space="preserve"> =ROUND(C7,D7)</t>
  </si>
  <si>
    <t xml:space="preserve"> =ROUND(C8,D8)</t>
  </si>
  <si>
    <t xml:space="preserve"> =ROUND(C9,D9)</t>
  </si>
  <si>
    <t>This function rounds a number to a specified amount od decimal places.</t>
  </si>
  <si>
    <t>If 0 is used the number is rounded to the nearest whole number.</t>
  </si>
  <si>
    <t>If a negative amount of rounding is used the figures to the left of the decimal point are rounded.</t>
  </si>
  <si>
    <t>=ROUND(NumberToRound,DecimalPlacesToUse)</t>
  </si>
  <si>
    <t>Rounded
Down</t>
  </si>
  <si>
    <t xml:space="preserve"> =ROUNDDOWN(C4,D4)</t>
  </si>
  <si>
    <t xml:space="preserve"> =ROUNDDOWN(C5,D5)</t>
  </si>
  <si>
    <t xml:space="preserve"> =ROUNDDOWN(C6,D6)</t>
  </si>
  <si>
    <t xml:space="preserve"> =ROUNDDOWN(C7,D7)</t>
  </si>
  <si>
    <t xml:space="preserve"> =ROUNDDOWN(C8,D8)</t>
  </si>
  <si>
    <t xml:space="preserve"> =ROUNDDOWN(C9,D9)</t>
  </si>
  <si>
    <t>This function rounds a number down to a specified amount of decimal places.</t>
  </si>
  <si>
    <t>If 0 is used the number is rounded down to the nearest whole number.</t>
  </si>
  <si>
    <t>=ROUNDDOWN(NumberToRound,DecimalPlacesToUse)</t>
  </si>
  <si>
    <t>Rounded
Up</t>
  </si>
  <si>
    <t xml:space="preserve"> =ROUNDUP(C4,D4)</t>
  </si>
  <si>
    <t xml:space="preserve"> =ROUNDUP(C5,D5)</t>
  </si>
  <si>
    <t xml:space="preserve"> =ROUNDUP(C6,D6)</t>
  </si>
  <si>
    <t xml:space="preserve"> =ROUNDUP(C7,D7)</t>
  </si>
  <si>
    <t xml:space="preserve"> =ROUNDUP(C8,D8)</t>
  </si>
  <si>
    <t xml:space="preserve"> =ROUNDUP(C9,D9)</t>
  </si>
  <si>
    <t>This function rounds a number up to a specified amount of decimal places.</t>
  </si>
  <si>
    <t>If 0 is used the number is rounded up to the nearest whole number.</t>
  </si>
  <si>
    <t>=ROUNDUPNumberToRound,DecimalPlacesToUse)</t>
  </si>
  <si>
    <t xml:space="preserve"> =SECOND(C4)</t>
  </si>
  <si>
    <t xml:space="preserve"> =SECOND(C5)</t>
  </si>
  <si>
    <t xml:space="preserve"> =SECOND(C6)</t>
  </si>
  <si>
    <t xml:space="preserve"> =SECOND(C7)</t>
  </si>
  <si>
    <t xml:space="preserve"> =SECOND(C8)</t>
  </si>
  <si>
    <t>The function will show the second of the minute based upon a time or a number.</t>
  </si>
  <si>
    <t>=SECOND(Number)</t>
  </si>
  <si>
    <t>The following table was used by a telephone compnay to calculate the cost of a call.</t>
  </si>
  <si>
    <t>The telephone company only deals in seconds which are a multiple of 5.</t>
  </si>
  <si>
    <t>The seconds in a call are rounded up to the nearest multiple of 5 before the bill is calculated.</t>
  </si>
  <si>
    <t>The Duration of the call is entered.</t>
  </si>
  <si>
    <t>The =MINUTES() function calculates the total number of minutes.</t>
  </si>
  <si>
    <t>The =SECOND() function calculates the total number of seconds.</t>
  </si>
  <si>
    <t>The =CEILING() function rounds the seconds up to the nearest muliple of 5.</t>
  </si>
  <si>
    <t>The Cost of the call is then calculated.</t>
  </si>
  <si>
    <t xml:space="preserve">Cost Per Second : </t>
  </si>
  <si>
    <t>Billed Duration</t>
  </si>
  <si>
    <t>Minutes</t>
  </si>
  <si>
    <t>Seconds</t>
  </si>
  <si>
    <t xml:space="preserve"> =CEILING(SECOND(C36),5)</t>
  </si>
  <si>
    <t>Positive or
Negative</t>
  </si>
  <si>
    <t xml:space="preserve"> =SIGN(C4)</t>
  </si>
  <si>
    <t xml:space="preserve"> =SIGN(C5)</t>
  </si>
  <si>
    <t xml:space="preserve"> =SIGN(C6)</t>
  </si>
  <si>
    <t>Calculate the length of the text to extract, by subtracting the position</t>
  </si>
  <si>
    <r>
      <t xml:space="preserve"> =MID(C50,</t>
    </r>
    <r>
      <rPr>
        <sz val="10"/>
        <color indexed="12"/>
        <rFont val="Arial"/>
        <family val="2"/>
      </rPr>
      <t>FIND("/",C50)+1</t>
    </r>
    <r>
      <rPr>
        <sz val="10"/>
        <rFont val="Arial"/>
      </rPr>
      <t>,</t>
    </r>
    <r>
      <rPr>
        <sz val="10"/>
        <color indexed="10"/>
        <rFont val="Arial"/>
        <family val="2"/>
      </rPr>
      <t>FIND("/",C50,FIND("/",C50)+1)</t>
    </r>
    <r>
      <rPr>
        <sz val="10"/>
        <color indexed="17"/>
        <rFont val="Arial"/>
        <family val="2"/>
      </rPr>
      <t>-FIND("/",C50)-1</t>
    </r>
    <r>
      <rPr>
        <sz val="10"/>
        <rFont val="Arial"/>
      </rPr>
      <t>)</t>
    </r>
  </si>
  <si>
    <r>
      <t xml:space="preserve">of the </t>
    </r>
    <r>
      <rPr>
        <sz val="10"/>
        <color indexed="17"/>
        <rFont val="Arial"/>
        <family val="2"/>
      </rPr>
      <t>first /</t>
    </r>
    <r>
      <rPr>
        <sz val="10"/>
        <rFont val="Arial"/>
        <family val="2"/>
      </rPr>
      <t xml:space="preserve"> from the position of the </t>
    </r>
    <r>
      <rPr>
        <sz val="10"/>
        <color indexed="10"/>
        <rFont val="Arial"/>
        <family val="2"/>
      </rPr>
      <t>second /</t>
    </r>
  </si>
  <si>
    <t>Minimum</t>
  </si>
  <si>
    <t xml:space="preserve"> =MIN(C4:G4)</t>
  </si>
  <si>
    <t xml:space="preserve"> =MIN(C7:G7)</t>
  </si>
  <si>
    <t>This function picks the lowest value from a list of data.</t>
  </si>
  <si>
    <t>=MIN(Range1,Range2,Range3... through to Range30)</t>
  </si>
  <si>
    <t>In the following example the =MIN() function has been used to find the lowest value for</t>
  </si>
  <si>
    <t>Region Min</t>
  </si>
  <si>
    <t xml:space="preserve"> =MIN(C23:E23)</t>
  </si>
  <si>
    <t>Month MIN</t>
  </si>
  <si>
    <t xml:space="preserve"> =MIN(E23:E26)</t>
  </si>
  <si>
    <t>Overall MIN</t>
  </si>
  <si>
    <t xml:space="preserve"> =MIN(C23:E26)</t>
  </si>
  <si>
    <t xml:space="preserve"> =MINUTE(D4)</t>
  </si>
  <si>
    <t xml:space="preserve"> =MINUTE(D5)</t>
  </si>
  <si>
    <t xml:space="preserve"> =MINUTE(D6)</t>
  </si>
  <si>
    <t xml:space="preserve"> =MINUTE(D7)</t>
  </si>
  <si>
    <t xml:space="preserve"> =MINUTE(D8)</t>
  </si>
  <si>
    <t>The function will show the minute of the hour based upon a time or a number.</t>
  </si>
  <si>
    <t xml:space="preserve">Type the brand name : </t>
  </si>
  <si>
    <t>sunbeam</t>
  </si>
  <si>
    <t xml:space="preserve"> =DAVERAGE(B3:I19,F3,E23:E24)</t>
  </si>
  <si>
    <t>This function examines a list of information and produces and average.</t>
  </si>
  <si>
    <t>=DAVERAGE(DatabaseRange,FieldName,CriteriaRange)</t>
  </si>
  <si>
    <t>field names at the top of the columns.</t>
  </si>
  <si>
    <t xml:space="preserve">   The first set of information is the name, or names, of the Fields(s) to be used as the basis</t>
  </si>
  <si>
    <t xml:space="preserve">   for selecting the records, such as the category Brand or Wattage.</t>
  </si>
  <si>
    <t xml:space="preserve">   The second set of information is the actual record, or records, which are to be selected, such </t>
  </si>
  <si>
    <t xml:space="preserve">   as Horizon as a brand name, or 100 as the wattage.</t>
  </si>
  <si>
    <t>Examples</t>
  </si>
  <si>
    <t>The average Unit Cost of a particular Product of a particular Brand.</t>
  </si>
  <si>
    <t xml:space="preserve"> =DAVERAGE(B3:I19,F3,E49:F50)</t>
  </si>
  <si>
    <t>This is the same calculation but using the actual name "Unit Cost" instead of the cell address.</t>
  </si>
  <si>
    <t xml:space="preserve"> =DAVERAGE(B3:I19,"Unit Cost",E49:F50)</t>
  </si>
  <si>
    <t>The average Unit Cost of a Bulb equal to a particular Wattage.</t>
  </si>
  <si>
    <t xml:space="preserve"> =DAVERAGE(B3:I19,"Unit Cost",E60:F61)</t>
  </si>
  <si>
    <t>The average Unit Cost of a Bulb less then a particular Wattage.</t>
  </si>
  <si>
    <t>&lt;100</t>
  </si>
  <si>
    <t xml:space="preserve"> =DAVERAGE(B3:I19,"Unit Cost",E67:F68)</t>
  </si>
  <si>
    <r>
      <t xml:space="preserve">This is the </t>
    </r>
    <r>
      <rPr>
        <b/>
        <i/>
        <sz val="10"/>
        <rFont val="Arial"/>
      </rPr>
      <t>Database</t>
    </r>
    <r>
      <rPr>
        <i/>
        <sz val="10"/>
        <rFont val="Arial"/>
      </rPr>
      <t xml:space="preserve"> range.</t>
    </r>
  </si>
  <si>
    <t>Note</t>
  </si>
  <si>
    <t>The following formula are useful when you have one cell containing text which needs</t>
  </si>
  <si>
    <t>to be split up.</t>
  </si>
  <si>
    <t>The Best
Ordering
Interval</t>
  </si>
  <si>
    <t>Things To Try</t>
  </si>
  <si>
    <t>Change the Discount % to 0% and 0%.</t>
  </si>
  <si>
    <t>Change the Ordering Interval to 1 or 30.</t>
  </si>
  <si>
    <t>Change the Cost of the Exhaust making it cheaper or more expensive.</t>
  </si>
  <si>
    <t>Change the Quantity used per day to a larger or smaller number.</t>
  </si>
  <si>
    <t>Column A</t>
  </si>
  <si>
    <t>Ordering Interval In Days</t>
  </si>
  <si>
    <t>The first of these cells has the value 1 entered in it.</t>
  </si>
  <si>
    <t>This is the smallest ordering period, which would require stock to be ordered every day.</t>
  </si>
  <si>
    <t>The second cell picks the ordering interval from the Input Data table.</t>
  </si>
  <si>
    <t>The third and subsequent cells add the ordering interval to the previous cell to create</t>
  </si>
  <si>
    <t>a list of values of the same interval.</t>
  </si>
  <si>
    <t>Column B</t>
  </si>
  <si>
    <t>Quantity Per Order</t>
  </si>
  <si>
    <t>This is the number of Exhausts which will need to be ordered.</t>
  </si>
  <si>
    <t>Calculation :</t>
  </si>
  <si>
    <t>OrderingInterval * QuantityUsedPerDay</t>
  </si>
  <si>
    <t>Column C</t>
  </si>
  <si>
    <t>Order Value</t>
  </si>
  <si>
    <t>This is the value of the Order before any discount.</t>
  </si>
  <si>
    <t>QuantityOrdered * CostOfExhaust</t>
  </si>
  <si>
    <t>Column D</t>
  </si>
  <si>
    <t>Order Discount</t>
  </si>
  <si>
    <t>The discount which can be subtracted from the order value.</t>
  </si>
  <si>
    <t>The discount is only given on orders which are equal to or greater than the</t>
  </si>
  <si>
    <t>Price Break values set by the supplier.</t>
  </si>
  <si>
    <t>OrderValue * SupplierDiscount</t>
  </si>
  <si>
    <t>The supplier discount is calculated using the =IF() and the =AND() functions.</t>
  </si>
  <si>
    <t>If the OrderQuantity is equal to or above the first Price Break, but below</t>
  </si>
  <si>
    <t>the second Price Break, then the first Price Break discount is used.</t>
  </si>
  <si>
    <t>If the OrderQuantity is equal to or above the second Price Break,</t>
  </si>
  <si>
    <t>the second Price Break discount is used.</t>
  </si>
  <si>
    <t>If the OrderQuantity does not qualify for a discount, zero discount is used.</t>
  </si>
  <si>
    <t>Column E</t>
  </si>
  <si>
    <t>Orders Per Year</t>
  </si>
  <si>
    <t>This is how many orders will need to be made based upon the ordering interval.</t>
  </si>
  <si>
    <t>With an interval of 1, there will have to be 365 orders.</t>
  </si>
  <si>
    <t>365/OrderingInterval</t>
  </si>
  <si>
    <t>This calculation may give results which are decimal, such as 2.3</t>
  </si>
  <si>
    <t>This decimal will cause problems, due to the fact that the number of</t>
  </si>
  <si>
    <t>orders must always be a whole number.</t>
  </si>
  <si>
    <t>The =CEILING() function has been used to 'round up' any decimals to</t>
  </si>
  <si>
    <t>the next highest whole number.</t>
  </si>
  <si>
    <t>=CEILING(365/A29,1)</t>
  </si>
  <si>
    <t>Column F</t>
  </si>
  <si>
    <t>Annual Admin Costs</t>
  </si>
  <si>
    <t>This is the administration costs involved in making the orders.</t>
  </si>
  <si>
    <t>OrdersPerYear * AdminCost</t>
  </si>
  <si>
    <t>=E29*$G$20</t>
  </si>
  <si>
    <t>Column G</t>
  </si>
  <si>
    <t>Annual Warehouse Costs</t>
  </si>
  <si>
    <t>This is the cost of keeping the stock in the warehouse.</t>
  </si>
  <si>
    <t>It is based on the managers knowledge that on average the stock level is 50% of the</t>
  </si>
  <si>
    <t>quantity ordered.</t>
  </si>
  <si>
    <t>QuantityOrdered * AverageStockLevel) * ExhaustCost * WarehousingCost</t>
  </si>
  <si>
    <t>=(B29*$G$21)*$G$17*$G$18</t>
  </si>
  <si>
    <t>Column H</t>
  </si>
  <si>
    <t>Annual Total</t>
  </si>
  <si>
    <t>This is the full yearly cost of ordering the Exhausts, based upon how frequently the</t>
  </si>
  <si>
    <t>orders are made.</t>
  </si>
  <si>
    <t>It does not take in to account the actual costs of the Exhausts, as the manager only</t>
  </si>
  <si>
    <t>wants to know what the lowest values for the overheads associated with ordering and</t>
  </si>
  <si>
    <t>storing the exhaust systems.</t>
  </si>
  <si>
    <t>However, the Discount figure is taken into account as this can be used to offset some</t>
  </si>
  <si>
    <t>of the overheads.</t>
  </si>
  <si>
    <t>AnnualAdminCosts + AnnualWarehouseCosts - OrderDiscount</t>
  </si>
  <si>
    <t>=F29+G29-D29</t>
  </si>
  <si>
    <t>Column I</t>
  </si>
  <si>
    <t>The Best Ordering Interval</t>
  </si>
  <si>
    <t>The =COUNTBLANK() function has been used to calculate the number of departments which</t>
  </si>
  <si>
    <t>have no yet registered a vote.</t>
  </si>
  <si>
    <t>Admin</t>
  </si>
  <si>
    <t>Accounts</t>
  </si>
  <si>
    <t>Production</t>
  </si>
  <si>
    <t>Personnel</t>
  </si>
  <si>
    <t>Factory 1</t>
  </si>
  <si>
    <t>Y</t>
  </si>
  <si>
    <t>Factory 2</t>
  </si>
  <si>
    <t>Factory 3</t>
  </si>
  <si>
    <t>Factory 4</t>
  </si>
  <si>
    <t>Factory 5</t>
  </si>
  <si>
    <t>Factory 6</t>
  </si>
  <si>
    <t>Factory 7</t>
  </si>
  <si>
    <t>Factory 8</t>
  </si>
  <si>
    <t>Factory 9</t>
  </si>
  <si>
    <t>Factory 10</t>
  </si>
  <si>
    <t xml:space="preserve">Votes not vet registered : </t>
  </si>
  <si>
    <t xml:space="preserve"> =COUNTBLANK(C32:F41)</t>
  </si>
  <si>
    <t xml:space="preserve">Votes for Yes : </t>
  </si>
  <si>
    <t xml:space="preserve"> =COUNTIF(C32:F41,"Y")</t>
  </si>
  <si>
    <t xml:space="preserve">Votes for No : </t>
  </si>
  <si>
    <t xml:space="preserve"> =COUNTIF(C32:F41,"N")</t>
  </si>
  <si>
    <t>Cost</t>
  </si>
  <si>
    <t>Brakes</t>
  </si>
  <si>
    <t>Tyres</t>
  </si>
  <si>
    <t>Service</t>
  </si>
  <si>
    <t>Window</t>
  </si>
  <si>
    <t>Clutch</t>
  </si>
  <si>
    <t>How many Brake Shoes Have been bought.</t>
  </si>
  <si>
    <t>=COUNTIF(C4:C12,"Brakes")</t>
  </si>
  <si>
    <t>How many Tyres have been bought.</t>
  </si>
  <si>
    <t>=COUNTIF(C4:C12,"Tyres")</t>
  </si>
  <si>
    <t>How many items cost £100 or above.</t>
  </si>
  <si>
    <t>=COUNTIF(E4:E12,"&gt;=100")</t>
  </si>
  <si>
    <t>Type the name of the item to count.</t>
  </si>
  <si>
    <t>service</t>
  </si>
  <si>
    <t>=COUNTIF(C4:C12,E18)</t>
  </si>
  <si>
    <t>This function counts the number of items which match criteria set by the user.</t>
  </si>
  <si>
    <t>=COUNTIF(RangeOfThingsToBeCounted,CriteriaToBeMatched)</t>
  </si>
  <si>
    <t>The criteria can be typed in any of the  following ways.</t>
  </si>
  <si>
    <r>
      <t>To match a specific number type the number, such as =COUNTIF(A1:A5,</t>
    </r>
    <r>
      <rPr>
        <b/>
        <sz val="10"/>
        <rFont val="Arial"/>
      </rPr>
      <t>100</t>
    </r>
    <r>
      <rPr>
        <sz val="10"/>
        <rFont val="Arial"/>
      </rPr>
      <t>)</t>
    </r>
  </si>
  <si>
    <r>
      <t>To match a piece of text type the text in quotes, such as =COUNTIF(A1:A5,</t>
    </r>
    <r>
      <rPr>
        <b/>
        <sz val="10"/>
        <rFont val="Arial"/>
      </rPr>
      <t>"Hello"</t>
    </r>
    <r>
      <rPr>
        <sz val="10"/>
        <rFont val="Arial"/>
      </rPr>
      <t>)</t>
    </r>
  </si>
  <si>
    <r>
      <t>To match using operators surround the expression with quotes, such as =COUNTIF(A1:A5,</t>
    </r>
    <r>
      <rPr>
        <b/>
        <sz val="10"/>
        <rFont val="Arial"/>
      </rPr>
      <t>"&gt;100"</t>
    </r>
    <r>
      <rPr>
        <sz val="10"/>
        <rFont val="Arial"/>
      </rPr>
      <t>)</t>
    </r>
  </si>
  <si>
    <t xml:space="preserve"> =DATE(E4,D4,C4)</t>
  </si>
  <si>
    <t xml:space="preserve"> =DATE(E5,D5,C5)</t>
  </si>
  <si>
    <t xml:space="preserve"> =DATE(E6,D6,C6)</t>
  </si>
  <si>
    <t>This function creates a real date by using three normal numbers typed into separate cells.</t>
  </si>
  <si>
    <t xml:space="preserve"> =DATE(year,month,day)</t>
  </si>
  <si>
    <t>The result will normally be displayed in the dd/mm/yy format.</t>
  </si>
  <si>
    <t>By using the Format,Cells,Number,Date command the format can be changed.</t>
  </si>
  <si>
    <t>FirstDate</t>
  </si>
  <si>
    <t>SecondDate</t>
  </si>
  <si>
    <t>Interval</t>
  </si>
  <si>
    <t>days</t>
  </si>
  <si>
    <t xml:space="preserve"> =DATEDIF(C4,D4,"d")</t>
  </si>
  <si>
    <t>months</t>
  </si>
  <si>
    <t xml:space="preserve"> =DATEDIF(C5,D5,"m")</t>
  </si>
  <si>
    <t>years</t>
  </si>
  <si>
    <t xml:space="preserve"> =DATEDIF(C6,D6,"y")</t>
  </si>
  <si>
    <t>yeardays</t>
  </si>
  <si>
    <t xml:space="preserve"> =DATEDIF(C7,D7,"yd")</t>
  </si>
  <si>
    <t>yearmonths</t>
  </si>
  <si>
    <t xml:space="preserve"> =DATEDIF(C8,D8,"ym")</t>
  </si>
  <si>
    <t>monthdays</t>
  </si>
  <si>
    <t xml:space="preserve"> =DATEDIF(C9,D9,"md")</t>
  </si>
  <si>
    <t>This function calculates the difference between two dates.</t>
  </si>
  <si>
    <t>It can show the result in weeks, months or years.</t>
  </si>
  <si>
    <t xml:space="preserve"> =DATEDIF(FirstDate,SecondDate,"Interval")</t>
  </si>
  <si>
    <t>FirstDate : This is the earliest of the two dates.</t>
  </si>
  <si>
    <t>SecondDate : This is the most recent of the two dates.</t>
  </si>
  <si>
    <t>"Interval" : This indicates what you want to calculate.</t>
  </si>
  <si>
    <t>These are the available intervals.</t>
  </si>
  <si>
    <t>"d"</t>
  </si>
  <si>
    <t>Days between the two dates.</t>
  </si>
  <si>
    <t>"m"</t>
  </si>
  <si>
    <t>Months between the two dates.</t>
  </si>
  <si>
    <t>"y"</t>
  </si>
  <si>
    <t>Years between the two dates.</t>
  </si>
  <si>
    <t>"yd"</t>
  </si>
  <si>
    <t>Days between the dates, as if the dates were in the same year.</t>
  </si>
  <si>
    <t>"ym"</t>
  </si>
  <si>
    <t>Months between the dates, as if the dates were in the same year.</t>
  </si>
  <si>
    <t>"md"</t>
  </si>
  <si>
    <t>Days between the two dates, as if the dates were in the same month and year.</t>
  </si>
  <si>
    <t>Date Value</t>
  </si>
  <si>
    <t>25-dec-99</t>
  </si>
  <si>
    <t xml:space="preserve"> =DATEVALUE(C4)</t>
  </si>
  <si>
    <t>25/12/99</t>
  </si>
  <si>
    <t xml:space="preserve"> =DATEVALUE(C5)</t>
  </si>
  <si>
    <t xml:space="preserve"> =DATEVALUE(C6)</t>
  </si>
  <si>
    <t xml:space="preserve"> =DATEVALUE(C7)</t>
  </si>
  <si>
    <t>The function is used to convert a piece of text into a date which can be used in calculations.</t>
  </si>
  <si>
    <t>Dates expressed as text are often created when data is imported from other programs, such as</t>
  </si>
  <si>
    <t>exports from mainframe computers.</t>
  </si>
  <si>
    <t xml:space="preserve"> =DATEVALUE(text)</t>
  </si>
  <si>
    <t>The result will normally be shown as a number which represents the date. This number can</t>
  </si>
  <si>
    <t>be formatted to any of the  normal date formats by using Format,Cells,Number,Date.</t>
  </si>
  <si>
    <t>The example uses the =DATEVALUE and the =TODAY functions to calculate the number of</t>
  </si>
  <si>
    <t>days remaining on a property lease.</t>
  </si>
  <si>
    <t>The =DATEVALUE function was used because the date has been entered in the cell as</t>
  </si>
  <si>
    <t>a piece of text, probably after being imported from an external program.</t>
  </si>
  <si>
    <t>Property Ref.</t>
  </si>
  <si>
    <t>Expiry Date</t>
  </si>
  <si>
    <t>Days Until Expiry</t>
  </si>
  <si>
    <t>BC100</t>
  </si>
  <si>
    <t>FG700</t>
  </si>
  <si>
    <t>10-july/99</t>
  </si>
  <si>
    <t>TD200</t>
  </si>
  <si>
    <t>13-sep-98</t>
  </si>
  <si>
    <t>HJ900</t>
  </si>
  <si>
    <t>30/5/2000</t>
  </si>
  <si>
    <t xml:space="preserve"> =DATEVALUE(E32)-TODAY()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</si>
  <si>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</si>
  <si>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</si>
  <si>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</si>
  <si>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</si>
  <si>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</si>
  <si>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</si>
  <si>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</si>
  <si>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</si>
  <si>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Bulb</t>
  </si>
  <si>
    <t>Horizon</t>
  </si>
  <si>
    <t>Neon</t>
  </si>
  <si>
    <t>Spot</t>
  </si>
  <si>
    <t>Other</t>
  </si>
  <si>
    <t>Sunbeam</t>
  </si>
  <si>
    <t>unknown</t>
  </si>
  <si>
    <t>To calculate the Average cost of a particular Brand of bulb.</t>
  </si>
  <si>
    <t xml:space="preserve"> =ADDRESS(F4,F3,1,TRUE,F5)</t>
  </si>
  <si>
    <t xml:space="preserve"> =ADDRESS(F4,F3,2,TRUE,F5)</t>
  </si>
  <si>
    <t xml:space="preserve"> =ADDRESS(F4,F3,3,TRUE,F5)</t>
  </si>
  <si>
    <t xml:space="preserve"> =ADDRESS(F4,F3,4,TRUE,F5)</t>
  </si>
  <si>
    <t>What Does It Do ?</t>
  </si>
  <si>
    <t>This function creates a cell reference as a piece of text, based on a row and column</t>
  </si>
  <si>
    <t>numbers given by the user.</t>
  </si>
  <si>
    <t>This type of function is used in macros rather than on the actual worksheet.</t>
  </si>
  <si>
    <t>=ADDRESS(RowNumber,ColNumber,Absolute,A1orR1C1,SheetName)</t>
  </si>
  <si>
    <t>The RowNumber is the normal row number from 1 to 16384.</t>
  </si>
  <si>
    <t>The ColNumber is from 1 to 256, cols A to IV.</t>
  </si>
  <si>
    <t>The Absolute can be 1,2,3 or 4.</t>
  </si>
  <si>
    <t xml:space="preserve">   When 1 the reference will be in the form $A$1, column and row absolute.</t>
  </si>
  <si>
    <t xml:space="preserve">   When 2 the reference will be in the form A$1, only the row absolute.</t>
  </si>
  <si>
    <t xml:space="preserve">   When 3 the reference will be in the form $A1, only the column absolute.</t>
  </si>
  <si>
    <t xml:space="preserve">   When 4 the reference will be in the form A1, neither col or row absolute.</t>
  </si>
  <si>
    <t>The A1orR1C1 is either TRUE of FALSE.</t>
  </si>
  <si>
    <t>The Start and End dates entered in cells F71 and F72 are used as the offset to produce</t>
  </si>
  <si>
    <t>a range which can be totalled.</t>
  </si>
  <si>
    <t>Type in the Start month.</t>
  </si>
  <si>
    <t>Type in the End month.</t>
  </si>
  <si>
    <t xml:space="preserve"> =SUM(OFFSET(D79,0,MONTH(F71)):OFFSET(D79,0,MONTH(F72)))</t>
  </si>
  <si>
    <t>The following formula represent a breakdown of what the =OFFSET function does.</t>
  </si>
  <si>
    <t>The  formula displayed below are only dummies, but they will update as you enter</t>
  </si>
  <si>
    <t>dates into cells F71 and F72.</t>
  </si>
  <si>
    <t>Formula 1</t>
  </si>
  <si>
    <t>=SUM( OFFSET(D79,0,MONTH(F71)) : OFFSET(D79,0,MONTH(F72)) )</t>
  </si>
  <si>
    <t>This is the actual formula entered by the user.</t>
  </si>
  <si>
    <t>Formula 2</t>
  </si>
  <si>
    <t>This shows how the =MONTH function calculates the month number.</t>
  </si>
  <si>
    <t>These values are the 'offsets' relative to cell D79.</t>
  </si>
  <si>
    <t>Formula 3</t>
  </si>
  <si>
    <t>This shows where the month numbers are used in the =OFFSET function.</t>
  </si>
  <si>
    <t>Formula 4</t>
  </si>
  <si>
    <t>This shows how the =OFFSET eventually equates to cell addresses</t>
  </si>
  <si>
    <t>to be used as a range for the =SUM function.</t>
  </si>
  <si>
    <r>
      <t>=SUM(E24:OFFSET(</t>
    </r>
    <r>
      <rPr>
        <sz val="10"/>
        <color indexed="12"/>
        <rFont val="Arial"/>
        <family val="2"/>
      </rPr>
      <t>E24</t>
    </r>
    <r>
      <rPr>
        <sz val="10"/>
        <rFont val="Arial"/>
      </rPr>
      <t>,0,</t>
    </r>
    <r>
      <rPr>
        <sz val="10"/>
        <color indexed="12"/>
        <rFont val="Arial"/>
        <family val="2"/>
      </rPr>
      <t>0</t>
    </r>
    <r>
      <rPr>
        <sz val="10"/>
        <rFont val="Arial"/>
      </rPr>
      <t>))</t>
    </r>
  </si>
  <si>
    <r>
      <t>=SUM(E29:OFFSET(</t>
    </r>
    <r>
      <rPr>
        <sz val="10"/>
        <color indexed="12"/>
        <rFont val="Arial"/>
        <family val="2"/>
      </rPr>
      <t>E29</t>
    </r>
    <r>
      <rPr>
        <sz val="10"/>
        <rFont val="Arial"/>
      </rPr>
      <t>,0,</t>
    </r>
    <r>
      <rPr>
        <sz val="10"/>
        <color indexed="12"/>
        <rFont val="Arial"/>
        <family val="2"/>
      </rPr>
      <t>1</t>
    </r>
    <r>
      <rPr>
        <sz val="10"/>
        <rFont val="Arial"/>
      </rPr>
      <t>))</t>
    </r>
  </si>
  <si>
    <r>
      <t>=SUM(E34:OFFSET(</t>
    </r>
    <r>
      <rPr>
        <sz val="10"/>
        <color indexed="12"/>
        <rFont val="Arial"/>
        <family val="2"/>
      </rPr>
      <t>E34</t>
    </r>
    <r>
      <rPr>
        <sz val="10"/>
        <rFont val="Arial"/>
      </rPr>
      <t>,0,</t>
    </r>
    <r>
      <rPr>
        <sz val="10"/>
        <color indexed="12"/>
        <rFont val="Arial"/>
        <family val="2"/>
      </rPr>
      <t>2</t>
    </r>
    <r>
      <rPr>
        <sz val="10"/>
        <rFont val="Arial"/>
      </rPr>
      <t>))</t>
    </r>
  </si>
  <si>
    <r>
      <t>=SUM(OFFSET(</t>
    </r>
    <r>
      <rPr>
        <sz val="10"/>
        <color indexed="12"/>
        <rFont val="Arial"/>
        <family val="2"/>
      </rPr>
      <t>E45</t>
    </r>
    <r>
      <rPr>
        <sz val="10"/>
        <rFont val="Arial"/>
      </rPr>
      <t>,0,</t>
    </r>
    <r>
      <rPr>
        <sz val="10"/>
        <color indexed="12"/>
        <rFont val="Arial"/>
        <family val="2"/>
      </rPr>
      <t>1</t>
    </r>
    <r>
      <rPr>
        <sz val="10"/>
        <rFont val="Arial"/>
      </rPr>
      <t>):OFFSET(</t>
    </r>
    <r>
      <rPr>
        <sz val="10"/>
        <color indexed="12"/>
        <rFont val="Arial"/>
        <family val="2"/>
      </rPr>
      <t>E45</t>
    </r>
    <r>
      <rPr>
        <sz val="10"/>
        <rFont val="Arial"/>
      </rPr>
      <t>,0,</t>
    </r>
    <r>
      <rPr>
        <sz val="10"/>
        <color indexed="12"/>
        <rFont val="Arial"/>
        <family val="2"/>
      </rPr>
      <t>1</t>
    </r>
    <r>
      <rPr>
        <sz val="10"/>
        <rFont val="Arial"/>
      </rPr>
      <t>))</t>
    </r>
  </si>
  <si>
    <r>
      <t>=SUM(OFFSET(</t>
    </r>
    <r>
      <rPr>
        <sz val="10"/>
        <color indexed="12"/>
        <rFont val="Arial"/>
        <family val="2"/>
      </rPr>
      <t>E51</t>
    </r>
    <r>
      <rPr>
        <sz val="10"/>
        <rFont val="Arial"/>
      </rPr>
      <t>,0,</t>
    </r>
    <r>
      <rPr>
        <sz val="10"/>
        <color indexed="12"/>
        <rFont val="Arial"/>
        <family val="2"/>
      </rPr>
      <t>1</t>
    </r>
    <r>
      <rPr>
        <sz val="10"/>
        <rFont val="Arial"/>
      </rPr>
      <t>):OFFSET(</t>
    </r>
    <r>
      <rPr>
        <sz val="10"/>
        <color indexed="12"/>
        <rFont val="Arial"/>
        <family val="2"/>
      </rPr>
      <t>E51</t>
    </r>
    <r>
      <rPr>
        <sz val="10"/>
        <rFont val="Arial"/>
      </rPr>
      <t>,0,</t>
    </r>
    <r>
      <rPr>
        <sz val="10"/>
        <color indexed="12"/>
        <rFont val="Arial"/>
        <family val="2"/>
      </rPr>
      <t>2</t>
    </r>
    <r>
      <rPr>
        <sz val="10"/>
        <rFont val="Arial"/>
      </rPr>
      <t>))</t>
    </r>
  </si>
  <si>
    <r>
      <t>=SUM(OFFSET(</t>
    </r>
    <r>
      <rPr>
        <sz val="10"/>
        <color indexed="12"/>
        <rFont val="Arial"/>
        <family val="2"/>
      </rPr>
      <t>E57</t>
    </r>
    <r>
      <rPr>
        <sz val="10"/>
        <rFont val="Arial"/>
      </rPr>
      <t>,0,</t>
    </r>
    <r>
      <rPr>
        <sz val="10"/>
        <color indexed="12"/>
        <rFont val="Arial"/>
        <family val="2"/>
      </rPr>
      <t>1</t>
    </r>
    <r>
      <rPr>
        <sz val="10"/>
        <rFont val="Arial"/>
      </rPr>
      <t>):OFFSET(</t>
    </r>
    <r>
      <rPr>
        <sz val="10"/>
        <color indexed="12"/>
        <rFont val="Arial"/>
        <family val="2"/>
      </rPr>
      <t>E57</t>
    </r>
    <r>
      <rPr>
        <sz val="10"/>
        <rFont val="Arial"/>
      </rPr>
      <t>,0,</t>
    </r>
    <r>
      <rPr>
        <sz val="10"/>
        <color indexed="12"/>
        <rFont val="Arial"/>
        <family val="2"/>
      </rPr>
      <t>3</t>
    </r>
    <r>
      <rPr>
        <sz val="10"/>
        <rFont val="Arial"/>
      </rPr>
      <t>))</t>
    </r>
  </si>
  <si>
    <t>Total cost of all Brakes bought.</t>
  </si>
  <si>
    <t xml:space="preserve"> =SUMIF(C4:C12,"Brakes",E4:E12)</t>
  </si>
  <si>
    <t>Total cost of all Tyres bought.</t>
  </si>
  <si>
    <t xml:space="preserve"> =SUMIF(C4:C12,"Tyres",E4:E12)</t>
  </si>
  <si>
    <t>Total of items costing £100 or above.</t>
  </si>
  <si>
    <t xml:space="preserve"> =SUMIF(E4:E12,"&gt;=100")</t>
  </si>
  <si>
    <t>Total of item typed in following cell.</t>
  </si>
  <si>
    <t xml:space="preserve"> =SUMIF(C4:C12,E18,E4:E12)</t>
  </si>
  <si>
    <t>This function adds the value of items which match criteria set by the user.</t>
  </si>
  <si>
    <t>=SUMIF(RangeOfThingsToBeExamined,CriteriaToBeMatched,RangeOfValuesToTotal)</t>
  </si>
  <si>
    <t>=SUMIF(C4:C12,"Brakes",E4:E12)</t>
  </si>
  <si>
    <t>This examines the names of products in C4:C12.</t>
  </si>
  <si>
    <t>It then identifies the entries for Brakes.</t>
  </si>
  <si>
    <t>It then totals the respective figures in E4:E12</t>
  </si>
  <si>
    <t>This examines the values in E4:E12.</t>
  </si>
  <si>
    <t>The total Value Of Stock of a Bulb less than a particular Wattage.</t>
  </si>
  <si>
    <t xml:space="preserve"> =DSUM(B3:I19,"Value Of Stock",E67:F68)</t>
  </si>
  <si>
    <r>
      <t xml:space="preserve">The </t>
    </r>
    <r>
      <rPr>
        <b/>
        <sz val="10"/>
        <rFont val="Arial"/>
      </rPr>
      <t>FieldName</t>
    </r>
    <r>
      <rPr>
        <sz val="10"/>
        <rFont val="Arial"/>
      </rPr>
      <t xml:space="preserve"> is the name, or cell, of the values to be totalled, such as "Value Of Stock" or I3.</t>
    </r>
  </si>
  <si>
    <t>Start Date</t>
  </si>
  <si>
    <t>Plus Months</t>
  </si>
  <si>
    <t>End Date</t>
  </si>
  <si>
    <t xml:space="preserve"> =EDATE(C4,D4)</t>
  </si>
  <si>
    <t xml:space="preserve"> =EDATE(C5,D5)</t>
  </si>
  <si>
    <t xml:space="preserve"> =EDATE(C6,D6)</t>
  </si>
  <si>
    <t>This function is used to calculate a date which is a specific number of months in the past or</t>
  </si>
  <si>
    <t>in the future.</t>
  </si>
  <si>
    <t xml:space="preserve"> =EDATE(StartDate,Months)</t>
  </si>
  <si>
    <t>The result will normally be expressed as a number, this can be formatted to represent</t>
  </si>
  <si>
    <t>a date by using the Format,Cells,Number,Date command.</t>
  </si>
  <si>
    <t>This example was used by a company hiring contract staff.</t>
  </si>
  <si>
    <t>The company needed to know the end date of the employment.</t>
  </si>
  <si>
    <t>The Start date is entered.</t>
  </si>
  <si>
    <t>The contract Duration is entered as months.</t>
  </si>
  <si>
    <t>The =EDATE() function has been used to calculate the end of the contract.</t>
  </si>
  <si>
    <t xml:space="preserve"> =EDATE(C27,D27)</t>
  </si>
  <si>
    <t xml:space="preserve"> =EDATE(C28,D28)</t>
  </si>
  <si>
    <t xml:space="preserve"> =EDATE(C29,D29)</t>
  </si>
  <si>
    <t xml:space="preserve"> =EDATE(C30,D30)</t>
  </si>
  <si>
    <t xml:space="preserve"> =EDATE(C31,D31)</t>
  </si>
  <si>
    <t xml:space="preserve"> =EDATE(C32,D32)</t>
  </si>
  <si>
    <t xml:space="preserve"> =EDATE(C33,D33)</t>
  </si>
  <si>
    <t>The company decide not to end contracts on Saturday or Sunday.</t>
  </si>
  <si>
    <t>The =WEEKDAY() function has been used to identify the actaul weekday number of the end date.</t>
  </si>
  <si>
    <t xml:space="preserve">If the week day number is 6 or 7, (Sat or Sun), then 5 is subtracted from the =EDATE() to </t>
  </si>
  <si>
    <t>ensure the end of contract falls on a Friday.</t>
  </si>
  <si>
    <t xml:space="preserve"> =EDATE(C48,D48)-IF(WEEKDAY(EDATE(C48,D48),2)&gt;5,WEEKDAY(EDATE(C48,D48),2)-5,0)</t>
  </si>
  <si>
    <t>End Of Month</t>
  </si>
  <si>
    <t xml:space="preserve"> =EOMONTH(C4,D4)</t>
  </si>
  <si>
    <t xml:space="preserve"> =EOMONTH(C5,D5)</t>
  </si>
  <si>
    <t xml:space="preserve"> =EOMONTH(C6,D6)</t>
  </si>
  <si>
    <t>This function will show the last day of the month which is a specified number of months</t>
  </si>
  <si>
    <t>before or after a given date.</t>
  </si>
  <si>
    <t xml:space="preserve"> =EOMONTH(StartDate,Months)</t>
  </si>
  <si>
    <t>Data</t>
  </si>
  <si>
    <t>The Error</t>
  </si>
  <si>
    <t>Error Type</t>
  </si>
  <si>
    <t xml:space="preserve"> =ERROR.TYPE(E4)</t>
  </si>
  <si>
    <t xml:space="preserve"> =ERROR.TYPE(E5)</t>
  </si>
  <si>
    <t xml:space="preserve"> =GCD(C9,D9,E9)</t>
  </si>
  <si>
    <t xml:space="preserve"> =GCD(C10,D10,E10)</t>
  </si>
  <si>
    <t xml:space="preserve"> =GCD(C11,D11,E11)</t>
  </si>
  <si>
    <t>This function calculates the largest number which can be used to divided all the</t>
  </si>
  <si>
    <t>values specified.</t>
  </si>
  <si>
    <t>The result is always a whole number.</t>
  </si>
  <si>
    <t>Where there is no common divisor the value of 1 is used.</t>
  </si>
  <si>
    <t>A life of 3 years has a sum of 1+2+3 equalling 6.</t>
  </si>
  <si>
    <t>Each of the years is then calculated as a percentage of the sum of the years.</t>
  </si>
  <si>
    <t>Year 3 is 50% of 6, year 2 is 33% of 6, year 1 is 17% 6.</t>
  </si>
  <si>
    <t>The total depreciation of the item is then allocated on the basis of these percentages.</t>
  </si>
  <si>
    <t>A depreciation of £9000 is allocated as 50% being £4500, 33% being £3000, 17% being £1500.</t>
  </si>
  <si>
    <t>As the greater part of the depreciation is allocated to the earliest years the values are</t>
  </si>
  <si>
    <t>inverted, year 1 is $4500, year 2 is £3000 and year 1 is £1500.</t>
  </si>
  <si>
    <t xml:space="preserve">Purchase Price Of A Car : </t>
  </si>
  <si>
    <t xml:space="preserve">Salvage Value : </t>
  </si>
  <si>
    <t xml:space="preserve">Expected Life in Years : </t>
  </si>
  <si>
    <t>As % Of Total Depreciation</t>
  </si>
  <si>
    <t xml:space="preserve">Depreciation in Year 1 : </t>
  </si>
  <si>
    <t>===&gt;</t>
  </si>
  <si>
    <t xml:space="preserve">Depreciation in Year 2 : </t>
  </si>
  <si>
    <t xml:space="preserve">Depreciation in Year 3 : </t>
  </si>
  <si>
    <t xml:space="preserve"> =SYD(E39,E40,E41,3)</t>
  </si>
  <si>
    <t>1. Add together the digits of the Life to get the SumOfTheYearsDigits, 1+2+3=6.</t>
  </si>
  <si>
    <t>2. Subtract the Salvage from the Purchase Price to get Total Deprectation, £10000-£1000=£9000.</t>
  </si>
  <si>
    <t>3. Divide the Total Deprectation by the SumOfTheYearsDigits, £9000/6=£1500.</t>
  </si>
  <si>
    <t>4. Invert the year digits, 1,2,3 becomes 3,2,1.</t>
  </si>
  <si>
    <t>5. Multiply 3,2,1 by £1500 to get £4500, £3000, £1500, these values are the depreciation</t>
  </si>
  <si>
    <t xml:space="preserve">    values for each of the three years in the life of the item.</t>
  </si>
  <si>
    <t>The same example using 4 years.</t>
  </si>
  <si>
    <t>As % Of Total Depriciation</t>
  </si>
  <si>
    <t xml:space="preserve">Depreciation in Year 4 : </t>
  </si>
  <si>
    <t>This example will adjust itself to accommodate any number of years between 1 and 10.</t>
  </si>
  <si>
    <t xml:space="preserve">Expected Life in Years (1 to 10) : </t>
  </si>
  <si>
    <t>=SYD(OriginalCost,SalvageValue,Life,PeriodToCalculate)</t>
  </si>
  <si>
    <t xml:space="preserve"> =T(D4)</t>
  </si>
  <si>
    <t xml:space="preserve"> =T(D5)</t>
  </si>
  <si>
    <t xml:space="preserve"> =T(D6)</t>
  </si>
  <si>
    <t xml:space="preserve"> =T(D7)</t>
  </si>
  <si>
    <t>This function examines an entry to determine whether it is text or not.</t>
  </si>
  <si>
    <t>If the value is text, then the text is the result of the function</t>
  </si>
  <si>
    <t>If the value is not text, the result is a blank.</t>
  </si>
  <si>
    <t>The function is not specifically needed by Excel, but is included for compatibility with</t>
  </si>
  <si>
    <t>other spreadsheet programs.</t>
  </si>
  <si>
    <t>=T(CellToTest)</t>
  </si>
  <si>
    <t xml:space="preserve"> =TEXT(C4,"0.00")</t>
  </si>
  <si>
    <t xml:space="preserve"> =TEXT(C5,"£0.00")</t>
  </si>
  <si>
    <t xml:space="preserve"> =TEXT(C6,"0")</t>
  </si>
  <si>
    <t xml:space="preserve"> =TEXT(C7,"£0")</t>
  </si>
  <si>
    <t xml:space="preserve"> =TEXT(C8,"0.0")</t>
  </si>
  <si>
    <t xml:space="preserve"> =TEXT(C9,"£0.0")</t>
  </si>
  <si>
    <t>This function converts a number to a piece of text.</t>
  </si>
  <si>
    <t>The formatting for the text needs to be specified in the function.</t>
  </si>
  <si>
    <t>=TEXT(NumberToConvert,FormatForConversion)</t>
  </si>
  <si>
    <t xml:space="preserve"> =TIME(C4,D4,E4)</t>
  </si>
  <si>
    <t xml:space="preserve"> =TIME(C5,D5,E5)</t>
  </si>
  <si>
    <t xml:space="preserve"> =TIME(C6,D6,E6)</t>
  </si>
  <si>
    <t>This function will convert three separate numbers to an actual time.</t>
  </si>
  <si>
    <t xml:space="preserve"> =TIME(Hour,Minute,Second)</t>
  </si>
  <si>
    <t>The result will be shown as a time which can be formatted either as 12 or 24 hour style.</t>
  </si>
  <si>
    <t>If a normal number format is applied a decimal fraction is shown which represents the</t>
  </si>
  <si>
    <t>time as a fraction of the day.</t>
  </si>
  <si>
    <t>14:30:59</t>
  </si>
  <si>
    <t xml:space="preserve"> =TIMEVALUE(C4)</t>
  </si>
  <si>
    <t xml:space="preserve"> =TIMEVALUE(C5)</t>
  </si>
  <si>
    <t xml:space="preserve"> =TIMEVALUE(C6)</t>
  </si>
  <si>
    <t>This function will show an actual time based on a piece of text which looks</t>
  </si>
  <si>
    <t>like a time. It is useful when data is imported from other applications, such as</t>
  </si>
  <si>
    <t>from mainframe computers, which convert all values to text.</t>
  </si>
  <si>
    <t xml:space="preserve"> =TIMEVALUE(Text)</t>
  </si>
  <si>
    <t>The result will be shown as a number representing the time a  fraction of the day.</t>
  </si>
  <si>
    <t>Formatting can be applied for either the 12 or 24 hour clock system.</t>
  </si>
  <si>
    <t>Today Is</t>
  </si>
  <si>
    <t xml:space="preserve"> =TODAY()</t>
  </si>
  <si>
    <t>Use this to show the current date.</t>
  </si>
  <si>
    <t>The result will normally be displayed using the DD-MMM-YY format.</t>
  </si>
  <si>
    <t>The following example shows how the Today function is used to calculate the number</t>
  </si>
  <si>
    <t>of days since a particular day.</t>
  </si>
  <si>
    <t>Days Since</t>
  </si>
  <si>
    <t xml:space="preserve"> =TODAY()-C20</t>
  </si>
  <si>
    <t xml:space="preserve"> =TODAY()-C21</t>
  </si>
  <si>
    <t xml:space="preserve"> =CEILING(D28,7)</t>
  </si>
  <si>
    <t>Customer 2</t>
  </si>
  <si>
    <t xml:space="preserve"> =CEILING(D29,7)</t>
  </si>
  <si>
    <t>Customer 3</t>
  </si>
  <si>
    <t xml:space="preserve"> =CEILING(D30,7)</t>
  </si>
  <si>
    <t>The following table was used by a builders merchant delivering products to a construction site.</t>
  </si>
  <si>
    <t>The merchant needs to hire trucks to move each product.</t>
  </si>
  <si>
    <t>Each product needs a particular type of truck of a fixed capacity.</t>
  </si>
  <si>
    <t>Table 1 calculates the number of trucks required by dividing the Units To Be Moved by</t>
  </si>
  <si>
    <t>the Capacity of the truck.</t>
  </si>
  <si>
    <t>This results of the division are not whole numbers, and the builder cannot hire just part</t>
  </si>
  <si>
    <t>of a truck.</t>
  </si>
  <si>
    <t>Item</t>
  </si>
  <si>
    <t>Units To
Be Moved</t>
  </si>
  <si>
    <t>Truck
Capacity</t>
  </si>
  <si>
    <t>Trucks
Needed</t>
  </si>
  <si>
    <t>Bricks</t>
  </si>
  <si>
    <t xml:space="preserve"> =D45/E45</t>
  </si>
  <si>
    <t>Wood</t>
  </si>
  <si>
    <t xml:space="preserve"> =D46/E46</t>
  </si>
  <si>
    <t>Cement</t>
  </si>
  <si>
    <t xml:space="preserve"> =D47/E47</t>
  </si>
  <si>
    <t>Table 2 shows how the =CEILING() function has been used to round up the result of</t>
  </si>
  <si>
    <t>the division to a whole number, and thus given the exact amount of trucks needed.</t>
  </si>
  <si>
    <t xml:space="preserve"> =CEILING(D54/E54,1)</t>
  </si>
  <si>
    <t xml:space="preserve"> =CEILING(D55/E55,1)</t>
  </si>
  <si>
    <t xml:space="preserve"> =CEILING(D56/E56,1)</t>
  </si>
  <si>
    <t>The following tables were used by a shopkeeper to calculate the selling price of an item.</t>
  </si>
  <si>
    <t>The shopkeeper buys products by the box.</t>
  </si>
  <si>
    <t>The cost of the item is calculated by dividing the Box Cost by the Box Quantity.</t>
  </si>
  <si>
    <t>The shopkeeper always wants the price to end in 99 pence.</t>
  </si>
  <si>
    <t>To enter an array formula you must first highlight all the cells where the formula is required.</t>
  </si>
  <si>
    <t>Next type the formula, such as =TRANSPOSE(A1:A5).</t>
  </si>
  <si>
    <t>Finally press Ctrl+Shift+Enter to confirm it.</t>
  </si>
  <si>
    <t>If changes need to be made to the formula, the entire array has to be highlighted, the edits</t>
  </si>
  <si>
    <t>can then be made and the Ctrl+Shift+Enter used to confirm it.</t>
  </si>
  <si>
    <t>=TRANSPOSE(Range)</t>
  </si>
  <si>
    <t>Historical Data</t>
  </si>
  <si>
    <t>Predicted Values</t>
  </si>
  <si>
    <t xml:space="preserve"> {=TREND(C8:C13,B8:B13,E8:E13)}</t>
  </si>
  <si>
    <t xml:space="preserve"> {=TREND(C5:C10,B5:B10,E5:E10)}</t>
  </si>
  <si>
    <t>This function predicts values based upon three sets of related values.</t>
  </si>
  <si>
    <t>The prediction is based upon the Linear Trend of the original values.</t>
  </si>
  <si>
    <t>The function is an array function and must be entered using Ctrl+Shift+Enter.</t>
  </si>
  <si>
    <t>=TREND(KnownYs,KnownXs,RequiredXs,Constant)</t>
  </si>
  <si>
    <t>The KnownYs is the range of values, such as Sales Figures.</t>
  </si>
  <si>
    <t>The KnownXs is the intervals used when collecting the data, such as Months.</t>
  </si>
  <si>
    <t>The RequiredXs is the range for which you want to make the prediction, such as Months.</t>
  </si>
  <si>
    <t>using the letter O instead of the zero 0.</t>
  </si>
  <si>
    <t>Buying Price</t>
  </si>
  <si>
    <t>Mark-up</t>
  </si>
  <si>
    <t>Profit</t>
  </si>
  <si>
    <t>Radio</t>
  </si>
  <si>
    <t>TV</t>
  </si>
  <si>
    <t>Video</t>
  </si>
  <si>
    <t>3OO</t>
  </si>
  <si>
    <t xml:space="preserve"> =D32*E32</t>
  </si>
  <si>
    <t>Table 2 shows how the error is trapped using the =ISNONTEXT function and</t>
  </si>
  <si>
    <t>the =IF() function in the calculation.</t>
  </si>
  <si>
    <t xml:space="preserve"> =IF(ISNONTEXT(D40),D40*E40,"Retype the Price")</t>
  </si>
  <si>
    <t>Cell Entry</t>
  </si>
  <si>
    <t xml:space="preserve"> =ISNUMBER(D4)</t>
  </si>
  <si>
    <t xml:space="preserve"> =ISNUMBER(D5)</t>
  </si>
  <si>
    <t xml:space="preserve"> =ISNUMBER(D6)</t>
  </si>
  <si>
    <t xml:space="preserve"> =ISNUMBER(D7)</t>
  </si>
  <si>
    <t xml:space="preserve"> =ISNUMBER(D8)</t>
  </si>
  <si>
    <t xml:space="preserve">   When TRUE the reference will be in the form A1, the normal style for cell addresses.</t>
  </si>
  <si>
    <t xml:space="preserve">   When FALSE the reference will be in the form R1C1, the alternative style of cell address.</t>
  </si>
  <si>
    <t>The SheetName is a piece of text to be used as the worksheet name in the reference.</t>
  </si>
  <si>
    <t xml:space="preserve">   The SheetName does not actually have to exist.</t>
  </si>
  <si>
    <t>Items To Test</t>
  </si>
  <si>
    <t>Result</t>
  </si>
  <si>
    <t>=AND(C4&gt;=100,D4&gt;=100)</t>
  </si>
  <si>
    <t>=AND(C5&gt;=100,D5&gt;=100)</t>
  </si>
  <si>
    <t>=AND(C6&gt;=100,D6&gt;=100)</t>
  </si>
  <si>
    <t>=AND(D7&gt;=1,D7&lt;=52)</t>
  </si>
  <si>
    <t>What Does It Do?</t>
  </si>
  <si>
    <t>This function tests two or more conditions to see if they are all true.</t>
  </si>
  <si>
    <t>It can be used to test that a series of numbers meet certain conditions.</t>
  </si>
  <si>
    <t>It can be used to test that a number or a date falls between an upper and lower limit.</t>
  </si>
  <si>
    <t>Normally the AND() function would be used in conjunction with a function such as =IF().</t>
  </si>
  <si>
    <t xml:space="preserve"> =AND(Test1,Test2)</t>
  </si>
  <si>
    <t xml:space="preserve"> Note that there can be up to 30 possible tests.</t>
  </si>
  <si>
    <t>When used by itself it will show TRUE or FALSE.</t>
  </si>
  <si>
    <t>The following example shows a list of examination results.</t>
  </si>
  <si>
    <t>The teacher wants to find the pupils who scored above average in all three exams.</t>
  </si>
  <si>
    <t>The =AND() function has been used to test that each score is above the average.</t>
  </si>
  <si>
    <t>The result of TRUE is shown for pupils who have scored above average in all three exams.</t>
  </si>
  <si>
    <t>Maths</t>
  </si>
  <si>
    <t>English</t>
  </si>
  <si>
    <t>Physics</t>
  </si>
  <si>
    <t>Passed</t>
  </si>
  <si>
    <t>Eric</t>
  </si>
  <si>
    <t>Absent</t>
  </si>
  <si>
    <t>Fred</t>
  </si>
  <si>
    <t>Gail</t>
  </si>
  <si>
    <t>Harry</t>
  </si>
  <si>
    <t>Ian</t>
  </si>
  <si>
    <t>Janice</t>
  </si>
  <si>
    <t>=AND(C38&gt;=AVERAGE($C$29:$C$38),D38&gt;=AVERAGE($D$29:$D$38),E38&gt;=AVERAGE($E$29:$E$38))</t>
  </si>
  <si>
    <t>Averages</t>
  </si>
  <si>
    <t>Pink</t>
  </si>
  <si>
    <t>Age</t>
  </si>
  <si>
    <t xml:space="preserve"> =AREAS(PeopleLists)</t>
  </si>
  <si>
    <t>Green</t>
  </si>
  <si>
    <t>This function tests a range to determine whether it is a single block of data, or whether</t>
  </si>
  <si>
    <t>it is a multiple selection.</t>
  </si>
  <si>
    <t>If it is a single block the result will be 1.</t>
  </si>
  <si>
    <t>If it is a multiple block the result will be the number of ranges selected.</t>
  </si>
  <si>
    <t>The function is designed to be used in macros.</t>
  </si>
  <si>
    <t xml:space="preserve"> =AREAS(RangeToTest)</t>
  </si>
  <si>
    <t>The result will be shown as a number.</t>
  </si>
  <si>
    <t>The example at the top of this page shows two ranges coloured pink and green.</t>
  </si>
  <si>
    <t xml:space="preserve">   not found, the function will produce an error.</t>
  </si>
  <si>
    <t xml:space="preserve">   =HLOOKUP(C127,E111:G112,2,FALSE)</t>
  </si>
  <si>
    <t>The discount is then looked up in the Discount Table</t>
  </si>
  <si>
    <t>If the Quantity Ordered matches a value at the top of the Discount Table the =HLOOKUP will</t>
  </si>
  <si>
    <t>look down the column to find the correct discount.</t>
  </si>
  <si>
    <t xml:space="preserve">   The TRUE option has been used at the end of the function to indicate that the values</t>
  </si>
  <si>
    <t xml:space="preserve">   across the top of the Discount Table are sorted.</t>
  </si>
  <si>
    <t xml:space="preserve">   Using TRUE will allow the function to make an approximate match. If  the Quantity Ordered does</t>
  </si>
  <si>
    <t xml:space="preserve">   not match a value at the top of the Discount Table, the next lowest value is used. </t>
  </si>
  <si>
    <t xml:space="preserve">   Trying to match an order of 125 will drop down to 100, and the discount from</t>
  </si>
  <si>
    <t xml:space="preserve">   the 100 column is used.</t>
  </si>
  <si>
    <t xml:space="preserve">   =HLOOKUP(D127,E115:G118,MATCH(C127,D116:D118,0)+1,TRUE)</t>
  </si>
  <si>
    <t>Unit Cost Table</t>
  </si>
  <si>
    <t>Brick</t>
  </si>
  <si>
    <t>Discount Table</t>
  </si>
  <si>
    <t>You can create a chart quickly without having to use the chart button on</t>
  </si>
  <si>
    <t>Click anywhere inside the table above.</t>
  </si>
  <si>
    <r>
      <t xml:space="preserve">the toolbar by pressing the function key </t>
    </r>
    <r>
      <rPr>
        <sz val="10"/>
        <color indexed="12"/>
        <rFont val="Arial"/>
        <family val="2"/>
      </rPr>
      <t>F11</t>
    </r>
    <r>
      <rPr>
        <sz val="10"/>
        <rFont val="Arial"/>
      </rPr>
      <t xml:space="preserve"> whilst inside a range of data.</t>
    </r>
  </si>
  <si>
    <r>
      <t>Then press</t>
    </r>
    <r>
      <rPr>
        <sz val="10"/>
        <color indexed="12"/>
        <rFont val="Arial"/>
        <family val="2"/>
      </rPr>
      <t xml:space="preserve"> F11</t>
    </r>
    <r>
      <rPr>
        <sz val="10"/>
        <rFont val="Arial"/>
      </rPr>
      <t>.</t>
    </r>
  </si>
  <si>
    <t>There may be times when you need to insert the name of the current workbook</t>
  </si>
  <si>
    <t>or worksheet in to a cell.</t>
  </si>
  <si>
    <t>This can be done by using the CELL() function, shown below.</t>
  </si>
  <si>
    <t xml:space="preserve"> =CELL("filename")</t>
  </si>
  <si>
    <t>The problem with this is that it gives the complete path including drive letter and folders.</t>
  </si>
  <si>
    <t>To just pick out the workbook or worksheet name you need to use text functions.</t>
  </si>
  <si>
    <t>To pick the Path.</t>
  </si>
  <si>
    <t xml:space="preserve"> =MID(CELL("filename"),1,FIND("[",CELL("filename"))-1)</t>
  </si>
  <si>
    <t>To pick the Workbook name.</t>
  </si>
  <si>
    <t xml:space="preserve"> =MID(CELL("filename"),FIND("[",CELL("filename"))+1,FIND("]",CELL("filename"))-FIND("[",CELL("filename"))-1)</t>
  </si>
  <si>
    <t>To pick the Worksheet name.</t>
  </si>
  <si>
    <t xml:space="preserve"> =MID(CELL("filename"),FIND("]",CELL("filename"))+1,255)</t>
  </si>
  <si>
    <t>Sometimes you will need to use brackets, (also known as 'braces'), in formula.</t>
  </si>
  <si>
    <t>This is to ensure that the calculations are performed in the order that you need.</t>
  </si>
  <si>
    <t>Example 1 : The wrong answer !</t>
  </si>
  <si>
    <t>=C12+C13*C14</t>
  </si>
  <si>
    <t>This example has been created with both the Excel calculated percentage and the 'real'</t>
  </si>
  <si>
    <t>percentage calculated manually.</t>
  </si>
  <si>
    <t>The Excel Deprecation uses the =DB() function.</t>
  </si>
  <si>
    <t>The Real Deprecation uses a manual calculation.</t>
  </si>
  <si>
    <t xml:space="preserve">This is the 'real' deprecation percentage, calculated manually : </t>
  </si>
  <si>
    <t xml:space="preserve"> =1-((E117/E116)^(1/E118))</t>
  </si>
  <si>
    <t>= 1 - ((salvage / cost) ^ (1 / life)).</t>
  </si>
  <si>
    <t>Excel
Deprecation</t>
  </si>
  <si>
    <t>Real
Depreciation</t>
  </si>
  <si>
    <t>Excel
% Deprc</t>
  </si>
  <si>
    <t xml:space="preserve">Error difference : </t>
  </si>
  <si>
    <t>Count the number of products of a particular Brand which have a Life Hours rating.</t>
  </si>
  <si>
    <t xml:space="preserve"> =DCOUNT(B3:I19,D3,E23:E24)</t>
  </si>
  <si>
    <t>This function examines a list of information and counts the values in a specified column.</t>
  </si>
  <si>
    <t>It can only count values, the text items and blank cells are ignored.</t>
  </si>
  <si>
    <t>=DCOUNT(DatabaseRange,FieldName,CriteriaRange)</t>
  </si>
  <si>
    <t>The count of a particular product, with a specific number of boxes in stock.</t>
  </si>
  <si>
    <t xml:space="preserve">The number of products is : </t>
  </si>
  <si>
    <t xml:space="preserve"> =DCOUNT(B3:I19,H3,E50:F51)</t>
  </si>
  <si>
    <t>This is the same calculation but using the name "Boxes In Stock" instead of the cell address.</t>
  </si>
  <si>
    <t xml:space="preserve"> =DCOUNT(B3:I19,"Boxes In Stock",E50:F51)</t>
  </si>
  <si>
    <t>The count of the number of  Bulb products equal to a particular Wattage.</t>
  </si>
  <si>
    <t xml:space="preserve">The count is : </t>
  </si>
  <si>
    <t xml:space="preserve"> =DCOUNT(B3:I19,"Boxes In Stock",E61:F62)</t>
  </si>
  <si>
    <t>The count of Bulb products between two Wattage values.</t>
  </si>
  <si>
    <t>&gt;=80</t>
  </si>
  <si>
    <t>&lt;=100</t>
  </si>
  <si>
    <t xml:space="preserve"> =DCOUNT(B3:I19,"Boxes In Stock",E68:G69)</t>
  </si>
  <si>
    <r>
      <t xml:space="preserve">The </t>
    </r>
    <r>
      <rPr>
        <b/>
        <sz val="10"/>
        <rFont val="Arial"/>
      </rPr>
      <t>FieldName</t>
    </r>
    <r>
      <rPr>
        <sz val="10"/>
        <rFont val="Arial"/>
      </rPr>
      <t xml:space="preserve"> is the name, or cell, of the values to Count, such as "Value Of Stock" or I3.</t>
    </r>
  </si>
  <si>
    <t>Count the number of products of a particular Brand.</t>
  </si>
  <si>
    <t xml:space="preserve"> =DCOUNTA(B3:I19,E3,E23:E24)</t>
  </si>
  <si>
    <t>This function examines a list of information and counts the non blank cells in a specified column.</t>
  </si>
  <si>
    <t>It counts values and text items, but blank cells are ignored.</t>
  </si>
  <si>
    <t>=DCOUNTA(DatabaseRange,FieldName,CriteriaRange)</t>
  </si>
  <si>
    <t>The count of a product with an unknown Life Hours value.</t>
  </si>
  <si>
    <t xml:space="preserve"> =DCOUNTA(B3:I19,D3,E50:F51)</t>
  </si>
  <si>
    <t>This is the same calculation but using the name "Life Hours" instead of the cell address.</t>
  </si>
  <si>
    <t xml:space="preserve"> =DCOUNTA(B3:I19,"Life Hours",E50:F51)</t>
  </si>
  <si>
    <t>The count of the number of  particular product of a specific brand.</t>
  </si>
  <si>
    <t xml:space="preserve"> =DCOUNTA(B3:I19,"Product",E61:F62)</t>
  </si>
  <si>
    <t>The count of particular products from specific brands.</t>
  </si>
  <si>
    <t xml:space="preserve"> =DCOUNTA(B3:I19,"Product",E68:F70)</t>
  </si>
  <si>
    <t>Decimal Number</t>
  </si>
  <si>
    <t>Binary Equivalent</t>
  </si>
  <si>
    <t xml:space="preserve"> =DEC2BIN(C4)</t>
  </si>
  <si>
    <t xml:space="preserve"> =DEC2BIN(C5)</t>
  </si>
  <si>
    <t xml:space="preserve"> =DEC2BIN(C6)</t>
  </si>
  <si>
    <t xml:space="preserve"> =DEC2BIN(C7)</t>
  </si>
  <si>
    <t xml:space="preserve"> =DEC2BIN(C8)</t>
  </si>
  <si>
    <t xml:space="preserve"> =DEC2BIN(C9)</t>
  </si>
  <si>
    <t xml:space="preserve"> =DEC2BIN(C10)</t>
  </si>
  <si>
    <t xml:space="preserve"> =DEC2BIN(C11)</t>
  </si>
  <si>
    <t xml:space="preserve"> =DEC2BIN(C12)</t>
  </si>
  <si>
    <t xml:space="preserve"> =DEC2BIN(C13)</t>
  </si>
  <si>
    <t xml:space="preserve"> =DEC2BIN(C14)</t>
  </si>
  <si>
    <t>Places To Pad</t>
  </si>
  <si>
    <t xml:space="preserve"> =DEC2BIN(C17,D17)</t>
  </si>
  <si>
    <t xml:space="preserve"> =DEC2BIN(C18,D18)</t>
  </si>
  <si>
    <t xml:space="preserve"> =DEC2BIN(C19,D19)</t>
  </si>
  <si>
    <t xml:space="preserve"> =DEC2BIN(C20,D20)</t>
  </si>
  <si>
    <t xml:space="preserve"> =DEC2BIN(C21,D21)</t>
  </si>
  <si>
    <t>This function converts a decimal number to its binary equivalent.</t>
  </si>
  <si>
    <t>It can only cope with decimals ranging from -512 to 511.</t>
  </si>
  <si>
    <t>The result can be padded with leading 0 zeros, although this is ignored for negatives.</t>
  </si>
  <si>
    <t>=DEC2BIN(DecimalNumber,PlacesToPad)</t>
  </si>
  <si>
    <t>The PlacesToPad is optional.</t>
  </si>
  <si>
    <t>Hexadecimal</t>
  </si>
  <si>
    <t xml:space="preserve"> =DEC2HEX(C4)</t>
  </si>
  <si>
    <t xml:space="preserve"> =DEC2HEX(C5)</t>
  </si>
  <si>
    <t xml:space="preserve"> =DEC2HEX(C6)</t>
  </si>
  <si>
    <t xml:space="preserve"> =DEC2HEX(C7)</t>
  </si>
  <si>
    <t xml:space="preserve"> =DEC2HEX(C8)</t>
  </si>
  <si>
    <t xml:space="preserve"> =DEC2HEX(C9)</t>
  </si>
  <si>
    <t xml:space="preserve"> =DEC2HEX(C10)</t>
  </si>
  <si>
    <t xml:space="preserve"> =DEC2HEX(C11)</t>
  </si>
  <si>
    <t xml:space="preserve"> =DEC2HEX(C12)</t>
  </si>
  <si>
    <t xml:space="preserve"> =DEC2HEX(C13)</t>
  </si>
  <si>
    <t xml:space="preserve"> =DEC2HEX(C14)</t>
  </si>
  <si>
    <t xml:space="preserve"> =DEC2HEX(C15)</t>
  </si>
  <si>
    <t xml:space="preserve"> =DEC2HEX(C16)</t>
  </si>
  <si>
    <t xml:space="preserve"> =DEC2HEX(C17)</t>
  </si>
  <si>
    <t xml:space="preserve"> =DEC2HEX(C18)</t>
  </si>
  <si>
    <t xml:space="preserve"> =DEC2HEX(C19)</t>
  </si>
  <si>
    <t xml:space="preserve"> =DEC2HEX(C20)</t>
  </si>
  <si>
    <t xml:space="preserve"> =DEC2HEX(C23,D23)</t>
  </si>
  <si>
    <t xml:space="preserve"> =DEC2HEX(C24,D24)</t>
  </si>
  <si>
    <t xml:space="preserve"> =DEC2HEX(C25,D25)</t>
  </si>
  <si>
    <t xml:space="preserve"> =DEC2HEX(C26,D26)</t>
  </si>
  <si>
    <t xml:space="preserve"> =DEC2HEX(C27,D27)</t>
  </si>
  <si>
    <t>This function converts a decimal number to its hexadecimal equivalent.</t>
  </si>
  <si>
    <t>It can only cope with decimals ranging from -549,755,813,888 to 549,755,813,887.</t>
  </si>
  <si>
    <t>=DEC2HEX(DecimalNumber,PlacesToPad)</t>
  </si>
  <si>
    <t>Number1</t>
  </si>
  <si>
    <t>Number2</t>
  </si>
  <si>
    <t>Delta</t>
  </si>
  <si>
    <t xml:space="preserve"> =DELTA(C4,D4)</t>
  </si>
  <si>
    <t xml:space="preserve"> =DELTA(C5,D5)</t>
  </si>
  <si>
    <t xml:space="preserve"> =DELTA(C6,D6)</t>
  </si>
  <si>
    <t xml:space="preserve"> =DELTA(C7,D7)</t>
  </si>
  <si>
    <t xml:space="preserve"> =DELTA(C8,D8)</t>
  </si>
  <si>
    <t xml:space="preserve"> =DELTA(C9,D9)</t>
  </si>
  <si>
    <t xml:space="preserve"> =DELTA(C10,D10)</t>
  </si>
  <si>
    <t>This function compares two values and tests whether they are exactly the same.</t>
  </si>
  <si>
    <t>If the numbers are the same the result will be 1, otherwise the result is 0.</t>
  </si>
  <si>
    <t>It only works with numbers, text values produce a result of #VALUE.</t>
  </si>
  <si>
    <t>The formatting of the number is not significant, so numbers which appear rounded due</t>
  </si>
  <si>
    <t>to the removal of decimal places will still match correctly with non rounded values.</t>
  </si>
  <si>
    <t>=DELTA(FirstNumber,SecondNumber)</t>
  </si>
  <si>
    <t>The following table is used to determine how may pairs of similar numbers are in a list.</t>
  </si>
  <si>
    <t>The =DELTA() function tests each pair and then the =SUM() function totals them.</t>
  </si>
  <si>
    <t xml:space="preserve"> =DELTA(C30,D30)</t>
  </si>
  <si>
    <t xml:space="preserve"> =DELTA(C31,D31)</t>
  </si>
  <si>
    <t xml:space="preserve"> =DELTA(C32,D32)</t>
  </si>
  <si>
    <t xml:space="preserve"> =DELTA(C33,D33)</t>
  </si>
  <si>
    <t xml:space="preserve"> =DELTA(C34,D34)</t>
  </si>
  <si>
    <t xml:space="preserve"> =DELTA(C35,D35)</t>
  </si>
  <si>
    <t xml:space="preserve"> =DELTA(C36,D36)</t>
  </si>
  <si>
    <t>Total Pairs</t>
  </si>
  <si>
    <t xml:space="preserve"> =SUM(E30:E36)</t>
  </si>
  <si>
    <t>How many boxes of a particular item do we have in stock?</t>
  </si>
  <si>
    <t xml:space="preserve">The number in stock is : </t>
  </si>
  <si>
    <t xml:space="preserve"> =DGET(B3:I19,H3,C23:F24)</t>
  </si>
  <si>
    <t>This function examines a list of information and produces one result.</t>
  </si>
  <si>
    <t>If more than one record matches the criteria the error #NUM is shown.</t>
  </si>
  <si>
    <t>If no records match the criteria the error #VALUE is shown.</t>
  </si>
  <si>
    <t>=DGET(DatabaseRange,FieldName,CriteriaRange)</t>
  </si>
  <si>
    <t xml:space="preserve">   The second set of information is the actual record which needs to be selected, such </t>
  </si>
  <si>
    <t>This example extracts information from just one record.</t>
  </si>
  <si>
    <t xml:space="preserve"> =DGET(B3:I19,H3,C51:F52)</t>
  </si>
  <si>
    <t xml:space="preserve"> =DGET(B3:I19,H3,C63:F64)</t>
  </si>
  <si>
    <t>This example extracts information from no records and therefore shows the #VALUE error.</t>
  </si>
  <si>
    <t xml:space="preserve"> =DGET(B3:I19,H3,C64:F65)</t>
  </si>
  <si>
    <t>This example uses the =IF() function to display a message when an error occurs.</t>
  </si>
  <si>
    <t xml:space="preserve"> =DGET(B3:I19,H3,C85:F86)</t>
  </si>
  <si>
    <t xml:space="preserve"> =IF(ISERR(F88),CHOOSE(ERROR.TYPE(F88)/3,"No such product.","Duplicates products found."),"One product found.")</t>
  </si>
  <si>
    <r>
      <t xml:space="preserve">The </t>
    </r>
    <r>
      <rPr>
        <b/>
        <sz val="10"/>
        <rFont val="Arial"/>
      </rPr>
      <t>FieldName</t>
    </r>
    <r>
      <rPr>
        <sz val="10"/>
        <rFont val="Arial"/>
      </rPr>
      <t xml:space="preserve"> is the name, or cell, of the values to Get, such as "Value Of Stock" or I3.</t>
    </r>
  </si>
  <si>
    <r>
      <t xml:space="preserve">This example extracts information from multiple records and therefore shows the </t>
    </r>
    <r>
      <rPr>
        <sz val="10"/>
        <color indexed="10"/>
        <rFont val="Arial"/>
        <family val="2"/>
      </rPr>
      <t>#NUM</t>
    </r>
    <r>
      <rPr>
        <sz val="10"/>
        <color indexed="8"/>
        <rFont val="Arial"/>
      </rPr>
      <t xml:space="preserve"> error.</t>
    </r>
  </si>
  <si>
    <t>To calculate largest Value Of Stock of a particular Brand of bulb.</t>
  </si>
  <si>
    <t xml:space="preserve"> =DMAX(B3:I19,I3,E23:E24)</t>
  </si>
  <si>
    <t>This function examines a list of information and produces the largest value from a specified column.</t>
  </si>
  <si>
    <t>=DMAX(DatabaseRange,FieldName,CriteriaRange)</t>
  </si>
  <si>
    <t>The largest Value Of Stock of a particular Product of a particular Brand.</t>
  </si>
  <si>
    <t xml:space="preserve">The largest value is : </t>
  </si>
  <si>
    <t xml:space="preserve"> =DMAX(B3:I19,I3,E49:F50)</t>
  </si>
  <si>
    <t>This is the same calculation but using the name "Value Of Stock" instead of the cell address.</t>
  </si>
  <si>
    <t xml:space="preserve"> =DMAX(B3:I19,"Value Of Stock",E49:F50)</t>
  </si>
  <si>
    <t>The largest Value Of Stock of a Bulb equal to a particular Wattage.</t>
  </si>
  <si>
    <t xml:space="preserve">The largest Value Of Stock is : </t>
  </si>
  <si>
    <t xml:space="preserve"> =DMAX(B3:I19,"Value Of Stock",E60:F61)</t>
  </si>
  <si>
    <t>The largest Value Of Stock of a Bulb less than a particular Wattage.</t>
  </si>
  <si>
    <t xml:space="preserve"> =DMAX(B3:I19,"Value Of Stock",E67:F68)</t>
  </si>
  <si>
    <r>
      <t xml:space="preserve">The </t>
    </r>
    <r>
      <rPr>
        <b/>
        <sz val="10"/>
        <rFont val="Arial"/>
      </rPr>
      <t>FieldName</t>
    </r>
    <r>
      <rPr>
        <sz val="10"/>
        <rFont val="Arial"/>
      </rPr>
      <t xml:space="preserve"> is the name or cell, of the values to pick the Max from, such as "Value Of Stock" or I3.</t>
    </r>
  </si>
  <si>
    <t>To calculate lowest Value Of Stock of a particular Brand of bulb.</t>
  </si>
  <si>
    <t xml:space="preserve"> =DMIN(B3:I19,I3,E23:E24)</t>
  </si>
  <si>
    <t>This function examines a list of information and produces smallest value from a specified column.</t>
  </si>
  <si>
    <t>=DMIN(DatabaseRange,FieldName,CriteriaRange)</t>
  </si>
  <si>
    <t>The lowest Value Of Stock of a particular Product of a particular Brand.</t>
  </si>
  <si>
    <t xml:space="preserve">The lowest value is : </t>
  </si>
  <si>
    <t xml:space="preserve"> =DMIN(B3:I19,I3,E49:F50)</t>
  </si>
  <si>
    <t xml:space="preserve"> =DMIN(B3:I19,"Value Of Stock",E49:F50)</t>
  </si>
  <si>
    <t>The lowest Value Of Stock of a Bulb equal to a particular Wattage.</t>
  </si>
  <si>
    <t xml:space="preserve">The lowest Value Of Stock is : </t>
  </si>
  <si>
    <t xml:space="preserve"> =DMIN(B3:I19,"Value Of Stock",E60:F61)</t>
  </si>
  <si>
    <t>The lowest Value Of Stock of a Bulb between two Wattage values.</t>
  </si>
  <si>
    <t xml:space="preserve"> =DMIN(B3:I19,"Value Of Stock",E67:G68)</t>
  </si>
  <si>
    <t>Formatting</t>
  </si>
  <si>
    <t>North</t>
  </si>
  <si>
    <t>South</t>
  </si>
  <si>
    <t>East</t>
  </si>
  <si>
    <t>West</t>
  </si>
  <si>
    <t>Total</t>
  </si>
  <si>
    <t>Alan</t>
  </si>
  <si>
    <t>Bob</t>
  </si>
  <si>
    <t>Carol</t>
  </si>
  <si>
    <t xml:space="preserve"> DecimalPlaces : This is the amount of decimal places needed in the converted number.</t>
  </si>
  <si>
    <t>The result will be shown as a text entry.</t>
  </si>
  <si>
    <t>To calculate the total Value Of Stock of a particular Brand of bulb.</t>
  </si>
  <si>
    <t xml:space="preserve"> =DSUM(B3:I19,I3,E23:E24)</t>
  </si>
  <si>
    <t>This function examines a list of information and produces the total.</t>
  </si>
  <si>
    <t>=DSUM(DatabaseRange,FieldName,CriteriaRange)</t>
  </si>
  <si>
    <t>The total Value Of Stock of a particular Product of a particular Brand.</t>
  </si>
  <si>
    <t xml:space="preserve">Total stock value is : </t>
  </si>
  <si>
    <t xml:space="preserve"> =DSUM(B3:I19,I3,E49:F50)</t>
  </si>
  <si>
    <t xml:space="preserve"> =DSUM(B3:I19,"Value Of Stock",E49:F50)</t>
  </si>
  <si>
    <t>The total Value Of Stock of a Bulb equal to a particular Wattage.</t>
  </si>
  <si>
    <t xml:space="preserve">Total Value Of Stock is : </t>
  </si>
  <si>
    <t xml:space="preserve"> =DSUM(B3:I19,"Value Of Stock",E60:F61)</t>
  </si>
  <si>
    <t xml:space="preserve"> =IF(ISTEXT(E33),VLOOKUP(E33,D27:E31,2,FALSE),VLOOKUP(E33,C27:E31,3,FALSE))</t>
  </si>
  <si>
    <t>Values</t>
  </si>
  <si>
    <t>Highest Value</t>
  </si>
  <si>
    <t xml:space="preserve"> =LARGE(C4:C8,1)</t>
  </si>
  <si>
    <t>2nd Highest Value</t>
  </si>
  <si>
    <t xml:space="preserve"> =LARGE(C4:C8,2)</t>
  </si>
  <si>
    <t>3rd Highest Value</t>
  </si>
  <si>
    <t xml:space="preserve"> =LARGE(C4:C8,3)</t>
  </si>
  <si>
    <t>4th Highest Value</t>
  </si>
  <si>
    <t xml:space="preserve"> =LARGE(C4:C8,4)</t>
  </si>
  <si>
    <t>5th Highest Value</t>
  </si>
  <si>
    <t xml:space="preserve"> =LARGE(C4:C8,5)</t>
  </si>
  <si>
    <t>This function examines a list of values and picks the value at a user specified position</t>
  </si>
  <si>
    <t>in the list.</t>
  </si>
  <si>
    <t>=LARGE(ListOfNumbersToExamine,PositionToPickFrom)</t>
  </si>
  <si>
    <t>The following table was used to calculate the top 3 sales figures between Jan, Feb and Mar.</t>
  </si>
  <si>
    <t xml:space="preserve"> =LARGE(D24:F27,1)</t>
  </si>
  <si>
    <t xml:space="preserve"> =LARGE(D24:F27,2)</t>
  </si>
  <si>
    <t xml:space="preserve"> =LARGE(D24:F27,3)</t>
  </si>
  <si>
    <t>Another way to find the Highest and Lowest values would have been to use</t>
  </si>
  <si>
    <t>the =MAX() and =MIN() functions.</t>
  </si>
  <si>
    <t>Highest</t>
  </si>
  <si>
    <t xml:space="preserve"> =MAX(D24:F27)</t>
  </si>
  <si>
    <t>Lowest</t>
  </si>
  <si>
    <t xml:space="preserve"> =MIN(D24:F27)</t>
  </si>
  <si>
    <t>Least
Common
Multiple</t>
  </si>
  <si>
    <t xml:space="preserve"> =LCM(C4,D4)</t>
  </si>
  <si>
    <t xml:space="preserve"> =LCM(C5,D5)</t>
  </si>
  <si>
    <t xml:space="preserve"> =LCM(C6,D6)</t>
  </si>
  <si>
    <t>This function calculate the Least Common Multiple, which is the smallest number</t>
  </si>
  <si>
    <t>that can be divided by each of the given numbers.</t>
  </si>
  <si>
    <t>=LCM(Number1,Number2,Number3... through to Number29)</t>
  </si>
  <si>
    <t>Number Of
Characters Required</t>
  </si>
  <si>
    <t>Left String</t>
  </si>
  <si>
    <t xml:space="preserve"> =LEFT(C4,D4)</t>
  </si>
  <si>
    <t xml:space="preserve"> =LEFT(C5,D5)</t>
  </si>
  <si>
    <t xml:space="preserve"> =LEFT(C6,D6)</t>
  </si>
  <si>
    <t>Cardiff</t>
  </si>
  <si>
    <t xml:space="preserve"> =LEFT(C7,D7)</t>
  </si>
  <si>
    <t>ABC123</t>
  </si>
  <si>
    <t xml:space="preserve"> =LEFT(C8,D8)</t>
  </si>
  <si>
    <t>This function displays a specified number of characters from the left hand side of a</t>
  </si>
  <si>
    <t>piece of text.</t>
  </si>
  <si>
    <t>=LEFT(OriginalText,NumberOfCharactersRequired)</t>
  </si>
  <si>
    <t>The following table was used to extract the first name of a person from their full name.</t>
  </si>
  <si>
    <t>The =FIND() function was used to locate position of the space between the first and second name.</t>
  </si>
  <si>
    <t>The length of the first name is therefore the position of the space minus one character.</t>
  </si>
  <si>
    <t>The =LEFT() function can now extract the first name based on the position of the space.</t>
  </si>
  <si>
    <t xml:space="preserve"> =LEFT(C27,FIND(" ",C27)-1)</t>
  </si>
  <si>
    <t xml:space="preserve"> =LEFT(C28,FIND(" ",C28)-1)</t>
  </si>
  <si>
    <t xml:space="preserve"> =LEFT(C29,FIND(" ",C29)-1)</t>
  </si>
  <si>
    <t xml:space="preserve"> =LEN(C4)</t>
  </si>
  <si>
    <t xml:space="preserve"> =LEN(C5)</t>
  </si>
  <si>
    <t xml:space="preserve"> =LEN(C6)</t>
  </si>
  <si>
    <t xml:space="preserve"> =LEN(C7)</t>
  </si>
  <si>
    <t xml:space="preserve"> =LEN(C8)</t>
  </si>
  <si>
    <t>There are 255 characters in the ANSI set.</t>
  </si>
  <si>
    <t xml:space="preserve"> =CODE(Text)</t>
  </si>
  <si>
    <t>Decimal fractions are ignored.</t>
  </si>
  <si>
    <t>=GCD(Number1,Number2,Number3... through to Number29)</t>
  </si>
  <si>
    <t xml:space="preserve"> =GESTEP(C4,D4)</t>
  </si>
  <si>
    <t xml:space="preserve"> =GESTEP(C5,D5)</t>
  </si>
  <si>
    <t xml:space="preserve"> =GESTEP(C6,D6)</t>
  </si>
  <si>
    <t xml:space="preserve"> =GESTEP(C7,D7)</t>
  </si>
  <si>
    <t xml:space="preserve"> =GESTEP(C8,D8)</t>
  </si>
  <si>
    <t xml:space="preserve"> =GESTEP(C9,D9)</t>
  </si>
  <si>
    <t xml:space="preserve"> =GESTEP(C10,D10)</t>
  </si>
  <si>
    <t>This function test a number to see if it is greater than or equal to another number.</t>
  </si>
  <si>
    <t>If the number is greater than or equal, the result of 1 will be shown, otherwise 0 is shown.</t>
  </si>
  <si>
    <t>=GESTEP(NumberToTest,NumberToTestAgainst)</t>
  </si>
  <si>
    <t>The following table was used to calculate how many sales staff achieved their targets.</t>
  </si>
  <si>
    <t>The =GESTEP() function compares the Sales with Target, and the results are totalled.</t>
  </si>
  <si>
    <t>Target</t>
  </si>
  <si>
    <t xml:space="preserve"> =GESTEP(D27,E27)</t>
  </si>
  <si>
    <t xml:space="preserve"> =GESTEP(D28,E28)</t>
  </si>
  <si>
    <t xml:space="preserve"> =GESTEP(D29,E29)</t>
  </si>
  <si>
    <t xml:space="preserve"> =GESTEP(D30,E30)</t>
  </si>
  <si>
    <t xml:space="preserve"> =GESTEP(D31,E31)</t>
  </si>
  <si>
    <t>Targets Achieved</t>
  </si>
  <si>
    <t xml:space="preserve"> =SUM(F27:F31)</t>
  </si>
  <si>
    <t xml:space="preserve"> =HEX2DEC(C4)</t>
  </si>
  <si>
    <t xml:space="preserve"> =HEX2DEC(C5)</t>
  </si>
  <si>
    <t xml:space="preserve"> =HEX2DEC(C6)</t>
  </si>
  <si>
    <t xml:space="preserve"> =HEX2DEC(C7)</t>
  </si>
  <si>
    <t>1A</t>
  </si>
  <si>
    <t xml:space="preserve"> =HEX2DEC(C8)</t>
  </si>
  <si>
    <t>1B</t>
  </si>
  <si>
    <t xml:space="preserve"> =HEX2DEC(C9)</t>
  </si>
  <si>
    <t>7FFFFFFFFF</t>
  </si>
  <si>
    <t xml:space="preserve"> =HEX2DEC(C10)</t>
  </si>
  <si>
    <t xml:space="preserve"> =HEX2DEC(C11)</t>
  </si>
  <si>
    <t>FFFFFFFFFF</t>
  </si>
  <si>
    <t xml:space="preserve"> =HEX2DEC(C12)</t>
  </si>
  <si>
    <t>FFFFFFFFFE</t>
  </si>
  <si>
    <t xml:space="preserve"> =HEX2DEC(C13)</t>
  </si>
  <si>
    <t>FFFFFFFFFD</t>
  </si>
  <si>
    <t xml:space="preserve"> =HEX2DEC(C14)</t>
  </si>
  <si>
    <t>This function converts a hexadecimal number to its decimal equivalent.</t>
  </si>
  <si>
    <t>=HEX2DEC(HexaDecimalNumber)</t>
  </si>
  <si>
    <t>The following table was used to add two hexadecimal values together.</t>
  </si>
  <si>
    <t>Value 1</t>
  </si>
  <si>
    <t>Value 2</t>
  </si>
  <si>
    <t xml:space="preserve"> =DEC2HEX(HEX2DEC(C29)+HEX2DEC(C30))</t>
  </si>
  <si>
    <t>row 1</t>
  </si>
  <si>
    <t>The row numbers are not needed.</t>
  </si>
  <si>
    <t>row 2</t>
  </si>
  <si>
    <t>they are part of the illustration.</t>
  </si>
  <si>
    <t>row 3</t>
  </si>
  <si>
    <t>row 4</t>
  </si>
  <si>
    <t>row 5</t>
  </si>
  <si>
    <t>row 6</t>
  </si>
  <si>
    <t xml:space="preserve">Type a month to look for : </t>
  </si>
  <si>
    <t xml:space="preserve">Which row needs to be picked out : </t>
  </si>
  <si>
    <t xml:space="preserve">The result is : </t>
  </si>
  <si>
    <t xml:space="preserve"> =HLOOKUP(F10,D3:F10,F11,FALSE)</t>
  </si>
  <si>
    <t>This function scans across the column headings at the top of a table to find a specified item.</t>
  </si>
  <si>
    <t>When the item is found, it then scans down the column to pick a cell entry.</t>
  </si>
  <si>
    <t>=HLOOKUP(ItemToFind,RangeToLookIn,RowToPickFrom,SortedOrUnsorted)</t>
  </si>
  <si>
    <t>The ItemToFind is a single item specified by the user.</t>
  </si>
  <si>
    <t>The RangeToLookIn is the range of data with the column headings at the top.</t>
  </si>
  <si>
    <t>The RowToPickFrom is how far down the column the function should look to pick from.</t>
  </si>
  <si>
    <t>The Sorted/Unsorted is whether the column headings are sorted. TRUE for yes, FALSE for no.</t>
  </si>
  <si>
    <t>This table is used to find a value based on a specified month and name.</t>
  </si>
  <si>
    <t>The =HLOOKUP() is used to scan across to find the month.</t>
  </si>
  <si>
    <t>The problem arises when we need to scan down to find the row adjacent to the name.</t>
  </si>
  <si>
    <t>To solve the problem the =MATCH() function is used.</t>
  </si>
  <si>
    <t>The =MATCH() looks through the list of names to find the name we require. It then calculates</t>
  </si>
  <si>
    <t>the position of the name in the list. Unfortunately, because the list of names is not as deep</t>
  </si>
  <si>
    <t>as the lookup range, the =MATCH() number is 1 less than we require, so and extra 1 is</t>
  </si>
  <si>
    <t>added to compensate.</t>
  </si>
  <si>
    <t>The =HLOOKUP() now uses this =MATCH() number to look down the month column and</t>
  </si>
  <si>
    <t>picks out the correct cell entry.</t>
  </si>
  <si>
    <t>The =HLOOKUP() uses FALSE at the end of the function to indicate to Excel that the</t>
  </si>
  <si>
    <t>column headings are not sorted, even though to us the order of Jan,Feb,Mar is correct.</t>
  </si>
  <si>
    <t>feb</t>
  </si>
  <si>
    <t xml:space="preserve">Type a name to look for : </t>
  </si>
  <si>
    <t>alan</t>
  </si>
  <si>
    <t xml:space="preserve"> =HLOOKUP(F54,D47:F54,MATCH(F55,C48:C52,0)+1,FALSE)</t>
  </si>
  <si>
    <t>This example shows how the =HLOOKUP() is used to pick the cost of a spare part for</t>
  </si>
  <si>
    <t>different makes of cars.</t>
  </si>
  <si>
    <t>The =HLOOKUP() scans the column headings for the make of car specified in column B.</t>
  </si>
  <si>
    <t>When the make is found, the =HLOOKUP() then looks down the column to the row specified</t>
  </si>
  <si>
    <t>by the =MATCH() function, which scans the list of spares for the item specified in column C.</t>
  </si>
  <si>
    <t>The function uses the absolute ranges indicated by the dollar symbol $. This ensures that</t>
  </si>
  <si>
    <t>when the formula is copied to more cells, the ranges for =HLOOKUP() and =MATCH() do</t>
  </si>
  <si>
    <t>not change.</t>
  </si>
  <si>
    <t>Maker</t>
  </si>
  <si>
    <t>Spare</t>
  </si>
  <si>
    <t>Ignition</t>
  </si>
  <si>
    <t>VW</t>
  </si>
  <si>
    <t>GearBox</t>
  </si>
  <si>
    <t>Engine</t>
  </si>
  <si>
    <t>Steering</t>
  </si>
  <si>
    <t>CYHead</t>
  </si>
  <si>
    <t xml:space="preserve"> =HLOOKUP(B79,G72:I77,MATCH(C79,F73:F77,0)+1,FALSE)</t>
  </si>
  <si>
    <t>In the following example a builders merchant is offering discount on large orders.</t>
  </si>
  <si>
    <t>The Unit Cost Table holds the cost of 1 unit of Brick, Wood and Glass.</t>
  </si>
  <si>
    <t>The Discount Table holds the various discounts for different quantities of each product.</t>
  </si>
  <si>
    <t>The Orders Table is used to enter the orders and calculate the Total.</t>
  </si>
  <si>
    <t>All the calculations take place in the Orders Table.</t>
  </si>
  <si>
    <t>The name of the Item is typed in column C.</t>
  </si>
  <si>
    <t>The Unit Cost of the item is then looked up in the Unit Cost Table.</t>
  </si>
  <si>
    <t xml:space="preserve">   The FALSE option has been used at the end of the function to indicate that the product</t>
  </si>
  <si>
    <t xml:space="preserve">   names across the top of the Unit Cost Table are not sorted.</t>
  </si>
  <si>
    <t xml:space="preserve">   Using the FALSE option forces the function to search for an exact match. If a match is</t>
  </si>
  <si>
    <t>Vat Value</t>
  </si>
  <si>
    <t>Petrol</t>
  </si>
  <si>
    <t xml:space="preserve"> =D113-D113/(100%+$D$110)</t>
  </si>
  <si>
    <t>Hotel</t>
  </si>
  <si>
    <t xml:space="preserve"> =D115/(100%+$D$110)</t>
  </si>
  <si>
    <t>Press the same combination to see the original view.</t>
  </si>
  <si>
    <r>
      <t xml:space="preserve">You can view all the formula on the worksheet by pressing </t>
    </r>
    <r>
      <rPr>
        <b/>
        <sz val="10"/>
        <color indexed="12"/>
        <rFont val="Arial"/>
        <family val="2"/>
      </rPr>
      <t>Ctrl</t>
    </r>
    <r>
      <rPr>
        <sz val="10"/>
        <rFont val="Arial"/>
      </rPr>
      <t xml:space="preserve"> and </t>
    </r>
    <r>
      <rPr>
        <b/>
        <sz val="10"/>
        <color indexed="12"/>
        <rFont val="Arial"/>
        <family val="2"/>
      </rPr>
      <t>`</t>
    </r>
    <r>
      <rPr>
        <sz val="10"/>
        <rFont val="Arial"/>
      </rPr>
      <t>.</t>
    </r>
  </si>
  <si>
    <r>
      <t xml:space="preserve">The </t>
    </r>
    <r>
      <rPr>
        <b/>
        <sz val="10"/>
        <color indexed="12"/>
        <rFont val="Arial"/>
        <family val="2"/>
      </rPr>
      <t>'</t>
    </r>
    <r>
      <rPr>
        <sz val="10"/>
        <rFont val="Arial"/>
      </rPr>
      <t xml:space="preserve"> is the left single quote usually found on the key to left of number 1.</t>
    </r>
  </si>
  <si>
    <r>
      <t xml:space="preserve">Press </t>
    </r>
    <r>
      <rPr>
        <b/>
        <sz val="10"/>
        <color indexed="12"/>
        <rFont val="Arial"/>
        <family val="2"/>
      </rPr>
      <t>Ctrl</t>
    </r>
    <r>
      <rPr>
        <sz val="10"/>
        <rFont val="Arial"/>
      </rPr>
      <t xml:space="preserve"> and </t>
    </r>
    <r>
      <rPr>
        <b/>
        <sz val="10"/>
        <color indexed="12"/>
        <rFont val="Arial"/>
        <family val="2"/>
      </rPr>
      <t>`</t>
    </r>
    <r>
      <rPr>
        <sz val="10"/>
        <rFont val="Arial"/>
      </rPr>
      <t xml:space="preserve"> to see the formula below. </t>
    </r>
    <r>
      <rPr>
        <i/>
        <sz val="10"/>
        <rFont val="Arial"/>
        <family val="2"/>
      </rPr>
      <t>(The screen may look a bit odd.)</t>
    </r>
  </si>
  <si>
    <t>You can use the names typed at the top of columns or side of rows in calculations</t>
  </si>
  <si>
    <t>simply by typing the name into the formula.</t>
  </si>
  <si>
    <t>Try this example:</t>
  </si>
  <si>
    <t>The result will show.</t>
  </si>
  <si>
    <t>Jan</t>
  </si>
  <si>
    <t>Feb</t>
  </si>
  <si>
    <t>Mar</t>
  </si>
  <si>
    <t>If it does not work !</t>
  </si>
  <si>
    <t>The feature may have been switched off on your computer.</t>
  </si>
  <si>
    <r>
      <t xml:space="preserve">Go to cell </t>
    </r>
    <r>
      <rPr>
        <b/>
        <sz val="10"/>
        <color indexed="12"/>
        <rFont val="Arial"/>
        <family val="2"/>
      </rPr>
      <t>C16</t>
    </r>
    <r>
      <rPr>
        <sz val="10"/>
        <rFont val="Arial"/>
      </rPr>
      <t xml:space="preserve"> and then enter the formula </t>
    </r>
    <r>
      <rPr>
        <b/>
        <sz val="10"/>
        <color indexed="12"/>
        <rFont val="Arial"/>
        <family val="2"/>
      </rPr>
      <t>=SUM(jan)</t>
    </r>
  </si>
  <si>
    <r>
      <t xml:space="preserve">This formula can be copied to </t>
    </r>
    <r>
      <rPr>
        <b/>
        <sz val="10"/>
        <color indexed="12"/>
        <rFont val="Arial"/>
        <family val="2"/>
      </rPr>
      <t>D16</t>
    </r>
    <r>
      <rPr>
        <sz val="10"/>
        <rFont val="Arial"/>
      </rPr>
      <t xml:space="preserve"> and </t>
    </r>
    <r>
      <rPr>
        <b/>
        <sz val="10"/>
        <color indexed="12"/>
        <rFont val="Arial"/>
        <family val="2"/>
      </rPr>
      <t>E16</t>
    </r>
    <r>
      <rPr>
        <sz val="10"/>
        <rFont val="Arial"/>
      </rPr>
      <t xml:space="preserve">, and the names change to </t>
    </r>
    <r>
      <rPr>
        <b/>
        <sz val="10"/>
        <color indexed="12"/>
        <rFont val="Arial"/>
        <family val="2"/>
      </rPr>
      <t>Feb</t>
    </r>
    <r>
      <rPr>
        <sz val="10"/>
        <rFont val="Arial"/>
      </rPr>
      <t xml:space="preserve"> and </t>
    </r>
    <r>
      <rPr>
        <b/>
        <sz val="10"/>
        <color indexed="12"/>
        <rFont val="Arial"/>
        <family val="2"/>
      </rPr>
      <t>Mar</t>
    </r>
    <r>
      <rPr>
        <sz val="10"/>
        <rFont val="Arial"/>
      </rPr>
      <t>.</t>
    </r>
  </si>
  <si>
    <r>
      <t xml:space="preserve">You can switch it on by using </t>
    </r>
    <r>
      <rPr>
        <b/>
        <sz val="10"/>
        <color indexed="20"/>
        <rFont val="Arial"/>
        <family val="2"/>
      </rPr>
      <t>Tools</t>
    </r>
    <r>
      <rPr>
        <sz val="10"/>
        <rFont val="Arial"/>
      </rPr>
      <t xml:space="preserve">, </t>
    </r>
    <r>
      <rPr>
        <b/>
        <sz val="10"/>
        <color indexed="20"/>
        <rFont val="Arial"/>
        <family val="2"/>
      </rPr>
      <t>Options</t>
    </r>
    <r>
      <rPr>
        <sz val="10"/>
        <rFont val="Arial"/>
      </rPr>
      <t xml:space="preserve">, </t>
    </r>
    <r>
      <rPr>
        <b/>
        <sz val="10"/>
        <color indexed="20"/>
        <rFont val="Arial"/>
        <family val="2"/>
      </rPr>
      <t>Calculation</t>
    </r>
    <r>
      <rPr>
        <sz val="10"/>
        <rFont val="Arial"/>
      </rPr>
      <t xml:space="preserve">, </t>
    </r>
    <r>
      <rPr>
        <b/>
        <sz val="10"/>
        <color indexed="20"/>
        <rFont val="Arial"/>
        <family val="2"/>
      </rPr>
      <t>Accept Labels in Formula</t>
    </r>
    <r>
      <rPr>
        <sz val="10"/>
        <rFont val="Arial"/>
      </rPr>
      <t>.</t>
    </r>
  </si>
  <si>
    <t>The results will be shown as text or a number depending upon what was requested.</t>
  </si>
  <si>
    <t>Integer</t>
  </si>
  <si>
    <t xml:space="preserve"> =INT(C4)</t>
  </si>
  <si>
    <t xml:space="preserve"> =INT(C5)</t>
  </si>
  <si>
    <t xml:space="preserve"> =INT(C6)</t>
  </si>
  <si>
    <t xml:space="preserve"> =INT(C7)</t>
  </si>
  <si>
    <t>This function rounds a number down to the nearest whole number.</t>
  </si>
  <si>
    <t>=INT(Number)</t>
  </si>
  <si>
    <t>The following table was used by a school to calculate the age a child when the</t>
  </si>
  <si>
    <t>school year started.</t>
  </si>
  <si>
    <t>A child can only be admitted to school if they are over 8 years old.</t>
  </si>
  <si>
    <t>The Birth Date and the Term Start date are entered and the age calculated.</t>
  </si>
  <si>
    <t>Table 1 shows the age of the child with decimal places</t>
  </si>
  <si>
    <t>Birth Date</t>
  </si>
  <si>
    <t>Term Start</t>
  </si>
  <si>
    <t xml:space="preserve"> =(D27-C27)/365.25</t>
  </si>
  <si>
    <t>Table 2 shows the age of the child with the Age formatted with no decimal places.</t>
  </si>
  <si>
    <t>This has the effect of increasing the child age.</t>
  </si>
  <si>
    <t xml:space="preserve"> =(D38-C38)/365.25</t>
  </si>
  <si>
    <t>Table 3 shows the age of the child with the Age calculated using the =INT() function to</t>
  </si>
  <si>
    <t>remove the decimal part of the number to give the correct age.</t>
  </si>
  <si>
    <t>Table 3</t>
  </si>
  <si>
    <t xml:space="preserve"> =INT((D49-C49)/365.25)</t>
  </si>
  <si>
    <t>The age is calculated by subtracting the Birth Date from the Term Start to find the</t>
  </si>
  <si>
    <t>age of the child in days.</t>
  </si>
  <si>
    <t>The number of days is then divided by 365.25</t>
  </si>
  <si>
    <t>The reason for using 365.25 is to take account of the leap years.</t>
  </si>
  <si>
    <t>Is The Cell Blank</t>
  </si>
  <si>
    <t xml:space="preserve"> =ISBLANK(C4)</t>
  </si>
  <si>
    <t xml:space="preserve"> =ISBLANK(C5)</t>
  </si>
  <si>
    <t xml:space="preserve"> =ISBLANK(C6)</t>
  </si>
  <si>
    <t xml:space="preserve"> =ISBLANK(C7)</t>
  </si>
  <si>
    <t>This function will determine if there is an entry in a particular cell.</t>
  </si>
  <si>
    <t>It can be used when a  spreadsheet has blank cells which may cause errors, but which</t>
  </si>
  <si>
    <t>will be filled later as the data is received by the user.</t>
  </si>
  <si>
    <t>Usually the function is used in conjunction with the =IF() function which can test the result</t>
  </si>
  <si>
    <t>of the =ISBLANK()</t>
  </si>
  <si>
    <t xml:space="preserve"> =ISBLANK(CellToTest)</t>
  </si>
  <si>
    <t>Used by itself the result will be shown as TRUE or FALSE.</t>
  </si>
  <si>
    <t>The following example shows a list of cheques received by a company.</t>
  </si>
  <si>
    <t>When the cheque is cleared the date is entered.</t>
  </si>
  <si>
    <t>Until the Cleared date is entered the Cleared column is blank.</t>
  </si>
  <si>
    <t>While the Cleared column is blank the cheque will still be Outstanding.</t>
  </si>
  <si>
    <t>When the Cleared date is entered the cheque will be shown as Banked.</t>
  </si>
  <si>
    <t>The =ISBLANK() function is used to determine whether the Cleared column is empty or not.</t>
  </si>
  <si>
    <t>Cheques Received</t>
  </si>
  <si>
    <t>Num</t>
  </si>
  <si>
    <t>From</t>
  </si>
  <si>
    <t>Received</t>
  </si>
  <si>
    <t>Amount</t>
  </si>
  <si>
    <t>Cleared</t>
  </si>
  <si>
    <t>Banked</t>
  </si>
  <si>
    <t>Outstanding</t>
  </si>
  <si>
    <t>chq1</t>
  </si>
  <si>
    <t>ABC Ltd</t>
  </si>
  <si>
    <t>chq2</t>
  </si>
  <si>
    <t>CJ Design</t>
  </si>
  <si>
    <t>chq3</t>
  </si>
  <si>
    <t>J Smith</t>
  </si>
  <si>
    <t>chq4</t>
  </si>
  <si>
    <t>Travel Co.</t>
  </si>
  <si>
    <t>chq5</t>
  </si>
  <si>
    <t>give a result of 4. To correct this add 1 to the result. =NETWORKDAYS(Start,End,Holidays)+1</t>
  </si>
  <si>
    <t>The following example shows how a list of Holidays can be created.</t>
  </si>
  <si>
    <t xml:space="preserve"> =NETWORKDAYS(B28,C28,C33:C37)</t>
  </si>
  <si>
    <t xml:space="preserve"> =NETWORKDAYS(B29,C29,C33:C37)</t>
  </si>
  <si>
    <t xml:space="preserve"> =NETWORKDAYS(B30,C30,C33:C37)</t>
  </si>
  <si>
    <t>Holidays</t>
  </si>
  <si>
    <t>Bank Holiday</t>
  </si>
  <si>
    <t>Xmas</t>
  </si>
  <si>
    <t>New Year</t>
  </si>
  <si>
    <t>Cells To Test</t>
  </si>
  <si>
    <t xml:space="preserve"> =NOT(C4&gt;D4)</t>
  </si>
  <si>
    <t xml:space="preserve"> =NOT(C5=D5)</t>
  </si>
  <si>
    <t xml:space="preserve"> =NOT(C6&lt;D6)</t>
  </si>
  <si>
    <t xml:space="preserve"> =NOT(C7&gt;D7)</t>
  </si>
  <si>
    <t xml:space="preserve"> =NOT(C8=D8)</t>
  </si>
  <si>
    <t xml:space="preserve"> =NOT(C9=D9)</t>
  </si>
  <si>
    <t>This function performs a test to see if the test fails. (A type of reverse logic).</t>
  </si>
  <si>
    <t>If the test fails, the result is TRUE.</t>
  </si>
  <si>
    <t>If the test is met, then the result is FALSE.</t>
  </si>
  <si>
    <t>=NOT(TestToPerform)</t>
  </si>
  <si>
    <t>The TestToPerform can be reference to cells or another calculation.</t>
  </si>
  <si>
    <t>The following table was used by a library to track books borrowed.</t>
  </si>
  <si>
    <t>The date the book was Taken out is entered.</t>
  </si>
  <si>
    <t>The period of the Loan is entered.</t>
  </si>
  <si>
    <t>The date the book was returned is entered.</t>
  </si>
  <si>
    <t>The =NOT() function has been used to calculate whether the book was returned within</t>
  </si>
  <si>
    <t>the correct time, by adding the Loan value to the Taken date.</t>
  </si>
  <si>
    <t>If the book was not returned on time the result Overdue is shown, otherwise OK is shown.</t>
  </si>
  <si>
    <t>Taken</t>
  </si>
  <si>
    <t>Loan</t>
  </si>
  <si>
    <t>Returned</t>
  </si>
  <si>
    <t>Status</t>
  </si>
  <si>
    <t xml:space="preserve"> =IF(NOT(D33&lt;=B33+C33),"Overdue","OK")</t>
  </si>
  <si>
    <t xml:space="preserve"> =IF(NOT(D34&lt;=B34+C34),"Overdue","OK")</t>
  </si>
  <si>
    <t xml:space="preserve"> =IF(NOT(D35&lt;=B35+C35),"Overdue","OK")</t>
  </si>
  <si>
    <t>The current Date and Time</t>
  </si>
  <si>
    <t xml:space="preserve"> =NOW()</t>
  </si>
  <si>
    <t>This function shows the current date and time. The result will be updated each time the</t>
  </si>
  <si>
    <t>worksheet is opened and every time an entry is made anywhere on the worksheet.</t>
  </si>
  <si>
    <t>The result will be shown as a date and time. If it is formatted to show as a number</t>
  </si>
  <si>
    <t>the integer part is used for the date and the decimal portion represent the time.</t>
  </si>
  <si>
    <t>Rounded To
Next Odd</t>
  </si>
  <si>
    <t xml:space="preserve"> =ODD(C4)</t>
  </si>
  <si>
    <t xml:space="preserve"> =ODD(C5)</t>
  </si>
  <si>
    <t xml:space="preserve"> =ODD(C6)</t>
  </si>
  <si>
    <t xml:space="preserve"> =ODD(C7)</t>
  </si>
  <si>
    <t xml:space="preserve"> =ODD(C8)</t>
  </si>
  <si>
    <t xml:space="preserve"> =ODD(C9)</t>
  </si>
  <si>
    <t>This function rounds a number up to the next highest whole odd number.</t>
  </si>
  <si>
    <t>=ODD(NumberToBeRounded)</t>
  </si>
  <si>
    <t>Order No.</t>
  </si>
  <si>
    <t>Payment Type</t>
  </si>
  <si>
    <t>Handling Charge</t>
  </si>
  <si>
    <t>AB001</t>
  </si>
  <si>
    <t>Cash</t>
  </si>
  <si>
    <t xml:space="preserve"> =ISEVEN(C9)</t>
  </si>
  <si>
    <t xml:space="preserve"> =ISEVEN(C10)</t>
  </si>
  <si>
    <t xml:space="preserve"> =ISEVEN(C11)</t>
  </si>
  <si>
    <t xml:space="preserve"> =ISEVEN(C12)</t>
  </si>
  <si>
    <t>This function tests a number to determine whether it is even.</t>
  </si>
  <si>
    <t>An even number is shown as TRUE an odd number is shown as FALSE.</t>
  </si>
  <si>
    <t>Note that decimal fractions are ignored.</t>
  </si>
  <si>
    <t>Note that dates can be even or odd.</t>
  </si>
  <si>
    <t>Note that text entries result in the #VALUE! error.</t>
  </si>
  <si>
    <t xml:space="preserve"> =ISEVEN(CellToTest)</t>
  </si>
  <si>
    <t>Cell To Test</t>
  </si>
  <si>
    <t xml:space="preserve"> =ISLOGICAL(D4)</t>
  </si>
  <si>
    <t xml:space="preserve"> =ISLOGICAL(D5)</t>
  </si>
  <si>
    <t xml:space="preserve"> =ISLOGICAL(D6)</t>
  </si>
  <si>
    <t xml:space="preserve"> =ISLOGICAL(D7)</t>
  </si>
  <si>
    <t xml:space="preserve"> =ISLOGICAL(D8)</t>
  </si>
  <si>
    <t xml:space="preserve"> =ISLOGICAL(D9)</t>
  </si>
  <si>
    <t xml:space="preserve"> =ISLOGICAL(D10)</t>
  </si>
  <si>
    <t>This function tests a cell to determine whether the cell contents are logical.</t>
  </si>
  <si>
    <t>The logical values can only be TRUE or FALSE.</t>
  </si>
  <si>
    <t>If the cell does contain a logical value, the result TRUE is shown.</t>
  </si>
  <si>
    <t>If the cell does not contain a logical value, the result FALSE is shown.</t>
  </si>
  <si>
    <t>=ISLOGICAL(CellToTest)</t>
  </si>
  <si>
    <t xml:space="preserve"> =ISNA(C4)</t>
  </si>
  <si>
    <t xml:space="preserve"> =ISNA(C5)</t>
  </si>
  <si>
    <t xml:space="preserve"> =ISNA(C6)</t>
  </si>
  <si>
    <t xml:space="preserve"> =ISNA(C7)</t>
  </si>
  <si>
    <t xml:space="preserve"> =ISNA(C8)</t>
  </si>
  <si>
    <t>This function tests a cell to determine whether it contains the Not Available error #N/A.</t>
  </si>
  <si>
    <t>The #N/A is generated when a function cannot work properly because of missing data.</t>
  </si>
  <si>
    <t>The #N/A can also be typed in to a cell by the user to indicate the cell is currently empty,</t>
  </si>
  <si>
    <t>but will be used for data entry in the future.</t>
  </si>
  <si>
    <t>The function is normally used with other functions such as the =IF() function.</t>
  </si>
  <si>
    <t xml:space="preserve"> =ISNA(CellToTest)</t>
  </si>
  <si>
    <t>Item To Test</t>
  </si>
  <si>
    <t>Is It A Number?</t>
  </si>
  <si>
    <t xml:space="preserve"> =ISNONTEXT(C4)</t>
  </si>
  <si>
    <t xml:space="preserve"> =ISNONTEXT(C5)</t>
  </si>
  <si>
    <t xml:space="preserve"> =ISNONTEXT(C6)</t>
  </si>
  <si>
    <t xml:space="preserve"> =ISNONTEXT(C7)</t>
  </si>
  <si>
    <t>1OO</t>
  </si>
  <si>
    <t xml:space="preserve"> =ISNONTEXT(C8)</t>
  </si>
  <si>
    <t>This functions tests an entry to determine whether it is a number, rather than text.</t>
  </si>
  <si>
    <t>It would be used to ensure that only numeric entries are used in calculations, rather</t>
  </si>
  <si>
    <t>than text which looks like a number, such as typing the letter O instead of zero 0.</t>
  </si>
  <si>
    <t>The function is normally used with other function such as the =IF() function.</t>
  </si>
  <si>
    <t xml:space="preserve"> =ISNONTEXT(CellToTest)</t>
  </si>
  <si>
    <t>No special formatting.</t>
  </si>
  <si>
    <t>The following table is used by an electrical retailer to calculate the selling price</t>
  </si>
  <si>
    <t>of an item based on the buying price and the shop mark-up.</t>
  </si>
  <si>
    <t>Table 1 shows the #VALUE! error generated when a number, 300, is entered</t>
  </si>
  <si>
    <t>function rounds it up by a multiple of 7 to calculate the number of full weeks to be billed.</t>
  </si>
  <si>
    <t>Days Required</t>
  </si>
  <si>
    <t>Days To
Be Billed</t>
  </si>
  <si>
    <t>Customer 1</t>
  </si>
  <si>
    <r>
      <t xml:space="preserve">The alignment of the cell.
Shown as </t>
    </r>
    <r>
      <rPr>
        <b/>
        <sz val="10"/>
        <rFont val="Arial"/>
      </rPr>
      <t>'</t>
    </r>
    <r>
      <rPr>
        <sz val="10"/>
        <rFont val="Arial"/>
      </rPr>
      <t xml:space="preserve"> for left, </t>
    </r>
    <r>
      <rPr>
        <b/>
        <sz val="10"/>
        <rFont val="Arial"/>
      </rPr>
      <t>^</t>
    </r>
    <r>
      <rPr>
        <sz val="10"/>
        <rFont val="Arial"/>
      </rPr>
      <t xml:space="preserve"> for centre, </t>
    </r>
    <r>
      <rPr>
        <b/>
        <sz val="10"/>
        <rFont val="Arial"/>
      </rPr>
      <t>"</t>
    </r>
    <r>
      <rPr>
        <sz val="10"/>
        <rFont val="Arial"/>
      </rPr>
      <t xml:space="preserve"> for right.
Nothing is shown for numeric entries.</t>
    </r>
  </si>
  <si>
    <r>
      <t xml:space="preserve">Formatted for braces ( ) on positive values.
</t>
    </r>
    <r>
      <rPr>
        <b/>
        <sz val="10"/>
        <rFont val="Arial"/>
      </rPr>
      <t>1</t>
    </r>
    <r>
      <rPr>
        <sz val="10"/>
        <rFont val="Arial"/>
      </rPr>
      <t xml:space="preserve"> for yes, </t>
    </r>
    <r>
      <rPr>
        <b/>
        <sz val="10"/>
        <rFont val="Arial"/>
      </rPr>
      <t>0</t>
    </r>
    <r>
      <rPr>
        <sz val="10"/>
        <rFont val="Arial"/>
      </rPr>
      <t xml:space="preserve"> for no.</t>
    </r>
  </si>
  <si>
    <r>
      <t xml:space="preserve">Formatted for coloured negatives.
</t>
    </r>
    <r>
      <rPr>
        <b/>
        <sz val="10"/>
        <rFont val="Arial"/>
      </rPr>
      <t>1</t>
    </r>
    <r>
      <rPr>
        <sz val="10"/>
        <rFont val="Arial"/>
      </rPr>
      <t xml:space="preserve"> for yes, </t>
    </r>
    <r>
      <rPr>
        <b/>
        <sz val="10"/>
        <rFont val="Arial"/>
      </rPr>
      <t>0</t>
    </r>
    <r>
      <rPr>
        <sz val="10"/>
        <rFont val="Arial"/>
      </rPr>
      <t xml:space="preserve"> for no.</t>
    </r>
  </si>
  <si>
    <r>
      <t xml:space="preserve">The type of cell protection.
</t>
    </r>
    <r>
      <rPr>
        <b/>
        <sz val="10"/>
        <rFont val="Arial"/>
      </rPr>
      <t>1</t>
    </r>
    <r>
      <rPr>
        <sz val="10"/>
        <rFont val="Arial"/>
      </rPr>
      <t xml:space="preserve"> for a locked, </t>
    </r>
    <r>
      <rPr>
        <b/>
        <sz val="10"/>
        <rFont val="Arial"/>
      </rPr>
      <t>0</t>
    </r>
    <r>
      <rPr>
        <sz val="10"/>
        <rFont val="Arial"/>
      </rPr>
      <t xml:space="preserve"> for unlocked.</t>
    </r>
  </si>
  <si>
    <t>ANSI Number</t>
  </si>
  <si>
    <t>Character</t>
  </si>
  <si>
    <t xml:space="preserve"> =CHAR(G4)</t>
  </si>
  <si>
    <t xml:space="preserve"> =CHAR(G5)</t>
  </si>
  <si>
    <t xml:space="preserve"> =CHAR(G6)</t>
  </si>
  <si>
    <t>This function converts a normal number to the character it represent in the ANSI</t>
  </si>
  <si>
    <t>character set used by Windows.</t>
  </si>
  <si>
    <t xml:space="preserve"> =CHAR(Number)</t>
  </si>
  <si>
    <t xml:space="preserve"> The Number must be between 1 and 255.</t>
  </si>
  <si>
    <t>The result will be a character with no special formatting.</t>
  </si>
  <si>
    <t>The following is a list of all 255 numbers and the characters they represent.</t>
  </si>
  <si>
    <t>Note that most Windows based program may not display some of the special characters,</t>
  </si>
  <si>
    <t>these  will be displayed as a small box.</t>
  </si>
  <si>
    <t>Number 32 does not show as it is the SPACEBAR character.</t>
  </si>
  <si>
    <t>Index Value</t>
  </si>
  <si>
    <t xml:space="preserve"> =CHOOSE(C4,"Alan","Bob","Carol")</t>
  </si>
  <si>
    <t xml:space="preserve"> =CHOOSE(C5,"Alan","Bob","Carol")</t>
  </si>
  <si>
    <t xml:space="preserve"> =CHOOSE(C6,"Alan","Bob","Carol")</t>
  </si>
  <si>
    <t xml:space="preserve"> =CHOOSE(C7,10%,15%,18%)</t>
  </si>
  <si>
    <t xml:space="preserve"> =CHOOSE(C8,10%,15%,18%)</t>
  </si>
  <si>
    <t xml:space="preserve"> =CHOOSE(C9,10%,15%,18%)</t>
  </si>
  <si>
    <t>This function picks from a list of options based upon an Index value given to by the user.</t>
  </si>
  <si>
    <t xml:space="preserve"> =CHOOSE(UserValue, Item1, Item2, Item3 through to Item29)</t>
  </si>
  <si>
    <t>No special formatting is required.</t>
  </si>
  <si>
    <t>The following table was used to calculate the medals for athletes taking part in a race.</t>
  </si>
  <si>
    <t>The Time for each athlete is entered.</t>
  </si>
  <si>
    <t>The =RANK() function calculates the finishing position of each athlete.</t>
  </si>
  <si>
    <t>The =CHOOSE() then allocates the correct medal.</t>
  </si>
  <si>
    <t>The =IF() has been used to filter out any positions above 3, as this would cause</t>
  </si>
  <si>
    <t>the error of #VALUE to appear, due to the fact the =CHOOSE() has only three items in it.</t>
  </si>
  <si>
    <t>Time</t>
  </si>
  <si>
    <t>Position</t>
  </si>
  <si>
    <t>Medal</t>
  </si>
  <si>
    <t xml:space="preserve"> =IF(D30&lt;=3,CHOOSE(D30,"Gold","Silver","Bronze"),"unplaced")</t>
  </si>
  <si>
    <t xml:space="preserve"> =IF(D31&lt;=3,CHOOSE(D31,"Gold","Silver","Bronze"),"unplaced")</t>
  </si>
  <si>
    <t xml:space="preserve"> =IF(D32&lt;=3,CHOOSE(D32,"Gold","Silver","Bronze"),"unplaced")</t>
  </si>
  <si>
    <t xml:space="preserve"> =IF(D33&lt;=3,CHOOSE(D33,"Gold","Silver","Bronze"),"unplaced")</t>
  </si>
  <si>
    <t xml:space="preserve"> =IF(D34&lt;=3,CHOOSE(D34,"Gold","Silver","Bronze"),"unplaced")</t>
  </si>
  <si>
    <t xml:space="preserve"> =RANK(C34,C30:C34)</t>
  </si>
  <si>
    <t>Dirty Text</t>
  </si>
  <si>
    <t>Clean Text</t>
  </si>
  <si>
    <t xml:space="preserve"> =CLEAN(C4)</t>
  </si>
  <si>
    <t>He_x0007_llo</t>
  </si>
  <si>
    <t xml:space="preserve"> =CLEAN(C5)</t>
  </si>
  <si>
    <t>_x0007_Hello_x0007_</t>
  </si>
  <si>
    <t xml:space="preserve"> =CLEAN(C6)</t>
  </si>
  <si>
    <t>This function removes any nonprintable characters from text.</t>
  </si>
  <si>
    <t>These nonprinting characters are often found in data which has been imported</t>
  </si>
  <si>
    <t>from other systems such as database imports from mainframes.</t>
  </si>
  <si>
    <t>=CLEAN(TextToBeCleaned)</t>
  </si>
  <si>
    <t>No special formatting is needed. The result will show as normal text.</t>
  </si>
  <si>
    <t>Letter</t>
  </si>
  <si>
    <t>ANSI Code</t>
  </si>
  <si>
    <t xml:space="preserve"> =CODE(C4)</t>
  </si>
  <si>
    <t xml:space="preserve"> =CODE(C5)</t>
  </si>
  <si>
    <t xml:space="preserve"> =CODE(C6)</t>
  </si>
  <si>
    <t>a</t>
  </si>
  <si>
    <t xml:space="preserve"> =CODE(C7)</t>
  </si>
  <si>
    <t>b</t>
  </si>
  <si>
    <t xml:space="preserve"> =CODE(C8)</t>
  </si>
  <si>
    <t>c</t>
  </si>
  <si>
    <t xml:space="preserve"> =CODE(C9)</t>
  </si>
  <si>
    <t xml:space="preserve"> =CODE(C10)</t>
  </si>
  <si>
    <t xml:space="preserve"> =CODE(C11)</t>
  </si>
  <si>
    <t xml:space="preserve"> =CODE(C12)</t>
  </si>
  <si>
    <t>This function shows the ANSI value of a single character, or the first character in a piece</t>
  </si>
  <si>
    <t>of text.</t>
  </si>
  <si>
    <t>The ANSI character set is used by Windows to identify each keyboard character by using</t>
  </si>
  <si>
    <t>a unique number.</t>
  </si>
  <si>
    <r>
      <t xml:space="preserve">To use the am/pm system you must enter the </t>
    </r>
    <r>
      <rPr>
        <b/>
        <sz val="10"/>
        <color indexed="12"/>
        <rFont val="Arial"/>
        <family val="2"/>
      </rPr>
      <t>am</t>
    </r>
    <r>
      <rPr>
        <sz val="10"/>
        <rFont val="Arial"/>
      </rPr>
      <t xml:space="preserve"> or </t>
    </r>
    <r>
      <rPr>
        <b/>
        <sz val="10"/>
        <color indexed="12"/>
        <rFont val="Arial"/>
        <family val="2"/>
      </rPr>
      <t>pm</t>
    </r>
    <r>
      <rPr>
        <sz val="10"/>
        <rFont val="Arial"/>
      </rPr>
      <t xml:space="preserve"> after the time.</t>
    </r>
  </si>
  <si>
    <r>
      <t xml:space="preserve">2. Choose the </t>
    </r>
    <r>
      <rPr>
        <b/>
        <sz val="10"/>
        <rFont val="Arial"/>
        <family val="2"/>
      </rPr>
      <t>Format</t>
    </r>
    <r>
      <rPr>
        <sz val="10"/>
        <rFont val="Arial"/>
      </rPr>
      <t xml:space="preserve"> menu.</t>
    </r>
  </si>
  <si>
    <r>
      <t xml:space="preserve">3. Choose </t>
    </r>
    <r>
      <rPr>
        <b/>
        <sz val="10"/>
        <rFont val="Arial"/>
        <family val="2"/>
      </rPr>
      <t>Cells</t>
    </r>
    <r>
      <rPr>
        <sz val="10"/>
        <rFont val="Arial"/>
      </rPr>
      <t>.</t>
    </r>
  </si>
  <si>
    <r>
      <t xml:space="preserve">4. Click the </t>
    </r>
    <r>
      <rPr>
        <b/>
        <sz val="10"/>
        <rFont val="Arial"/>
        <family val="2"/>
      </rPr>
      <t>Number</t>
    </r>
    <r>
      <rPr>
        <sz val="10"/>
        <rFont val="Arial"/>
      </rPr>
      <t xml:space="preserve"> tag at the top right.</t>
    </r>
  </si>
  <si>
    <r>
      <t xml:space="preserve">5. Choose </t>
    </r>
    <r>
      <rPr>
        <b/>
        <sz val="10"/>
        <rFont val="Arial"/>
        <family val="2"/>
      </rPr>
      <t>Custom</t>
    </r>
    <r>
      <rPr>
        <sz val="10"/>
        <rFont val="Arial"/>
      </rPr>
      <t>.</t>
    </r>
  </si>
  <si>
    <r>
      <t xml:space="preserve">6. Click inside the </t>
    </r>
    <r>
      <rPr>
        <b/>
        <sz val="10"/>
        <rFont val="Arial"/>
        <family val="2"/>
      </rPr>
      <t>Type</t>
    </r>
    <r>
      <rPr>
        <sz val="10"/>
        <rFont val="Arial"/>
      </rPr>
      <t>: box.</t>
    </r>
  </si>
  <si>
    <r>
      <t xml:space="preserve">7. Type </t>
    </r>
    <r>
      <rPr>
        <b/>
        <sz val="10"/>
        <rFont val="Arial"/>
        <family val="2"/>
      </rPr>
      <t>[hh]:mm</t>
    </r>
    <r>
      <rPr>
        <sz val="10"/>
        <rFont val="Arial"/>
      </rPr>
      <t xml:space="preserve"> as the format.</t>
    </r>
  </si>
  <si>
    <r>
      <t xml:space="preserve">8. Click </t>
    </r>
    <r>
      <rPr>
        <b/>
        <sz val="10"/>
        <rFont val="Arial"/>
        <family val="2"/>
      </rPr>
      <t>OK</t>
    </r>
    <r>
      <rPr>
        <sz val="10"/>
        <rFont val="Arial"/>
      </rPr>
      <t xml:space="preserve"> to confirm.</t>
    </r>
  </si>
  <si>
    <t>Day</t>
  </si>
  <si>
    <t>Using the -1 option suitable for a descending list to find an exact or next highest match.</t>
  </si>
  <si>
    <t xml:space="preserve"> =MATCH(G79,G74:G77,-1)</t>
  </si>
  <si>
    <t>The tables below were used to by a bus company taking booking for bus tours.</t>
  </si>
  <si>
    <t>They need to allocate a bus with enough seats for the all the passengers.</t>
  </si>
  <si>
    <t>The list of bus sizes has been entered in a list.</t>
  </si>
  <si>
    <t>The number of passengers on the tour is then entered.</t>
  </si>
  <si>
    <t>The =MATCH() function looks down the list to find the bus with enough seats.</t>
  </si>
  <si>
    <t>If the number of passengers is not an exact match, the next biggest bus will be picked.</t>
  </si>
  <si>
    <t>After the =MATCH() function has found the bus, the =INDEX() function has been used</t>
  </si>
  <si>
    <t>to look down the list again and pick out the actual bus size required.</t>
  </si>
  <si>
    <t>Bus Size</t>
  </si>
  <si>
    <t xml:space="preserve">Passengers on the tour : </t>
  </si>
  <si>
    <t>Bus 1</t>
  </si>
  <si>
    <t xml:space="preserve">Bus size needed : </t>
  </si>
  <si>
    <t>Bus 2</t>
  </si>
  <si>
    <t xml:space="preserve"> =INDEX(D95:D99,MATCH(H94,D95:D99,-1),0)</t>
  </si>
  <si>
    <t>Bus 3</t>
  </si>
  <si>
    <t>Bus 4</t>
  </si>
  <si>
    <t>Bus 5</t>
  </si>
  <si>
    <t>Example 5</t>
  </si>
  <si>
    <t>The tables below were used by a school to calculate the exam grades for pupils.</t>
  </si>
  <si>
    <t>The list of grade breakpoints was entered in a list.</t>
  </si>
  <si>
    <t>The pupils scores were entered in another list.</t>
  </si>
  <si>
    <t>The pupils scores are compared against the breakpoints.</t>
  </si>
  <si>
    <t>If an exact match is not found, the next lowest breakpoint is used.</t>
  </si>
  <si>
    <t>The =INDEX() function then looks down the Grade list to find the grade.</t>
  </si>
  <si>
    <t>Exam Score</t>
  </si>
  <si>
    <t>Pupil Score</t>
  </si>
  <si>
    <t>Pass</t>
  </si>
  <si>
    <t>Merit</t>
  </si>
  <si>
    <t>Distinction</t>
  </si>
  <si>
    <t xml:space="preserve"> =INDEX(D111:D114,MATCH(G114,C111:C114,1),0)</t>
  </si>
  <si>
    <r>
      <t xml:space="preserve">The </t>
    </r>
    <r>
      <rPr>
        <b/>
        <sz val="10"/>
        <rFont val="Arial"/>
      </rPr>
      <t>Ascending</t>
    </r>
    <r>
      <rPr>
        <sz val="10"/>
        <rFont val="Arial"/>
      </rPr>
      <t xml:space="preserve"> list gives the exact match.</t>
    </r>
  </si>
  <si>
    <r>
      <t xml:space="preserve">The </t>
    </r>
    <r>
      <rPr>
        <b/>
        <sz val="10"/>
        <rFont val="Arial"/>
      </rPr>
      <t>Descending</t>
    </r>
    <r>
      <rPr>
        <sz val="10"/>
        <rFont val="Arial"/>
      </rPr>
      <t xml:space="preserve"> list gives the exact match.</t>
    </r>
  </si>
  <si>
    <r>
      <t xml:space="preserve">The </t>
    </r>
    <r>
      <rPr>
        <b/>
        <sz val="10"/>
        <color indexed="10"/>
        <rFont val="Arial"/>
      </rPr>
      <t>Wrong Value</t>
    </r>
    <r>
      <rPr>
        <sz val="10"/>
        <rFont val="Arial"/>
      </rPr>
      <t xml:space="preserve"> list cannot find an exact match, so the #NA is shown.</t>
    </r>
  </si>
  <si>
    <r>
      <t xml:space="preserve">The </t>
    </r>
    <r>
      <rPr>
        <b/>
        <sz val="10"/>
        <color indexed="10"/>
        <rFont val="Arial"/>
        <family val="2"/>
      </rPr>
      <t>Descending</t>
    </r>
    <r>
      <rPr>
        <sz val="10"/>
        <rFont val="Arial"/>
      </rPr>
      <t xml:space="preserve"> list gives the #NA error.</t>
    </r>
  </si>
  <si>
    <r>
      <t xml:space="preserve">The </t>
    </r>
    <r>
      <rPr>
        <b/>
        <sz val="10"/>
        <rFont val="Arial"/>
        <family val="2"/>
      </rPr>
      <t>Wrong Value</t>
    </r>
    <r>
      <rPr>
        <sz val="10"/>
        <rFont val="Arial"/>
      </rPr>
      <t xml:space="preserve"> list finds the </t>
    </r>
    <r>
      <rPr>
        <b/>
        <sz val="10"/>
        <rFont val="Arial"/>
      </rPr>
      <t>next</t>
    </r>
    <r>
      <rPr>
        <sz val="10"/>
        <rFont val="Arial"/>
      </rPr>
      <t xml:space="preserve"> </t>
    </r>
    <r>
      <rPr>
        <b/>
        <sz val="10"/>
        <rFont val="Arial"/>
      </rPr>
      <t>lowest</t>
    </r>
    <r>
      <rPr>
        <sz val="10"/>
        <rFont val="Arial"/>
      </rPr>
      <t xml:space="preserve"> number..</t>
    </r>
  </si>
  <si>
    <r>
      <t xml:space="preserve">The </t>
    </r>
    <r>
      <rPr>
        <b/>
        <sz val="10"/>
        <color indexed="10"/>
        <rFont val="Arial"/>
        <family val="2"/>
      </rPr>
      <t>Ascending</t>
    </r>
    <r>
      <rPr>
        <sz val="10"/>
        <rFont val="Arial"/>
      </rPr>
      <t xml:space="preserve"> list gives the #NA error.</t>
    </r>
  </si>
  <si>
    <r>
      <t xml:space="preserve">The </t>
    </r>
    <r>
      <rPr>
        <b/>
        <sz val="10"/>
        <rFont val="Arial"/>
        <family val="2"/>
      </rPr>
      <t>Descending</t>
    </r>
    <r>
      <rPr>
        <sz val="10"/>
        <rFont val="Arial"/>
      </rPr>
      <t xml:space="preserve"> list gives the exact match.</t>
    </r>
  </si>
  <si>
    <r>
      <t xml:space="preserve">The </t>
    </r>
    <r>
      <rPr>
        <b/>
        <sz val="10"/>
        <rFont val="Arial"/>
        <family val="2"/>
      </rPr>
      <t>Wrong Value</t>
    </r>
    <r>
      <rPr>
        <sz val="10"/>
        <rFont val="Arial"/>
      </rPr>
      <t xml:space="preserve"> list finds the </t>
    </r>
    <r>
      <rPr>
        <b/>
        <sz val="10"/>
        <rFont val="Arial"/>
      </rPr>
      <t>next</t>
    </r>
    <r>
      <rPr>
        <sz val="10"/>
        <rFont val="Arial"/>
      </rPr>
      <t xml:space="preserve"> </t>
    </r>
    <r>
      <rPr>
        <b/>
        <sz val="10"/>
        <rFont val="Arial"/>
      </rPr>
      <t>highest</t>
    </r>
    <r>
      <rPr>
        <sz val="10"/>
        <rFont val="Arial"/>
      </rPr>
      <t xml:space="preserve"> number.</t>
    </r>
  </si>
  <si>
    <t>Maximum</t>
  </si>
  <si>
    <t xml:space="preserve"> =MAX(C4:G4)</t>
  </si>
  <si>
    <t>Dates</t>
  </si>
  <si>
    <t xml:space="preserve"> =MAX(C7:G7)</t>
  </si>
  <si>
    <t>This function picks the highest value from a list of data.</t>
  </si>
  <si>
    <t>=MAX(Range1,Range2,Range3... through to Range30)</t>
  </si>
  <si>
    <t>In the following example the =MAX() function has been used to find the highest value for</t>
  </si>
  <si>
    <t>each region, month and overall.</t>
  </si>
  <si>
    <t>Region Max</t>
  </si>
  <si>
    <t xml:space="preserve"> =MAX(C23:E23)</t>
  </si>
  <si>
    <t>Month Max</t>
  </si>
  <si>
    <t xml:space="preserve"> =MAX(E23:E26)</t>
  </si>
  <si>
    <t>Overall Max</t>
  </si>
  <si>
    <t xml:space="preserve"> =MAX(C23:E26)</t>
  </si>
  <si>
    <t>Value1</t>
  </si>
  <si>
    <t>Value2</t>
  </si>
  <si>
    <t>Value3</t>
  </si>
  <si>
    <t>Value4</t>
  </si>
  <si>
    <t>Value5</t>
  </si>
  <si>
    <t>Median</t>
  </si>
  <si>
    <t xml:space="preserve"> =MEDIAN(C4:G4)</t>
  </si>
  <si>
    <t xml:space="preserve"> =MEDIAN(C6:G6)</t>
  </si>
  <si>
    <t xml:space="preserve"> =MEDIAN(C8:G8)</t>
  </si>
  <si>
    <t xml:space="preserve"> =MEDIAN(C11:F11)</t>
  </si>
  <si>
    <t xml:space="preserve"> =MEDIAN(C13:F13)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</si>
</sst>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43" formatCode="_(* #,##0.00_);_(* \(#,##0.00\);_(* &quot;-&quot;??_);_(@_)"/>
    <numFmt numFmtId="164" formatCode="&quot;£&quot;#,##0;[Red]\-&quot;£&quot;#,##0"/>
    <numFmt numFmtId="165" formatCode="&quot;£&quot;#,##0_);[Red]\(&quot;£&quot;#,##0\)"/>
    <numFmt numFmtId="166" formatCode="&quot;£&quot;#,##0.00_);[Red]\(&quot;£&quot;#,##0.00\)"/>
    <numFmt numFmtId="167" formatCode="_(&quot;£&quot;* #,##0.00_);_(&quot;£&quot;* \(#,##0.00\);_(&quot;£&quot;* &quot;-&quot;??_);_(@_)"/>
    <numFmt numFmtId="168" formatCode="_-* #,##0_-;\-* #,##0_-;_-* &quot;-&quot;??_-;_-@_-"/>
    <numFmt numFmtId="169" formatCode="mmmm\ d\,\ yyyy"/>
    <numFmt numFmtId="170" formatCode="dddd"/>
    <numFmt numFmtId="171" formatCode="mm/dd/yy"/>
    <numFmt numFmtId="172" formatCode="ddd\ d"/>
    <numFmt numFmtId="173" formatCode="dd\-mmm\-yyyy"/>
    <numFmt numFmtId="174" formatCode="_-&quot;£&quot;* #,##0_-;\-&quot;£&quot;* #,##0_-;_-&quot;£&quot;* &quot;-&quot;??_-;_-@_-"/>
    <numFmt numFmtId="175" formatCode="dd/mmm/yy\ hh:mm:ss"/>
    <numFmt numFmtId="176" formatCode="0.000"/>
    <numFmt numFmtId="177" formatCode="0.0000"/>
    <numFmt numFmtId="178" formatCode="0.00000"/>
    <numFmt numFmtId="179" formatCode="ddd\ dd\-mmm\-yy"/>
    <numFmt numFmtId="180" formatCode="dddd\ dd"/>
    <numFmt numFmtId="181" formatCode="mmmm"/>
    <numFmt numFmtId="182" formatCode="_(* #,##0_);_(* \(#,##0\);_(* &quot;-&quot;??_);_(@_)"/>
    <numFmt numFmtId="183" formatCode="_(&quot;£&quot;* #,##0_);_(&quot;£&quot;* \(#,##0\);_(&quot;£&quot;* &quot;-&quot;??_);_(@_)"/>
    <numFmt numFmtId="184" formatCode="0.0"/>
    <numFmt numFmtId="185" formatCode="0.000%"/>
    <numFmt numFmtId="186" formatCode="0.00000000000000"/>
    <numFmt numFmtId="187" formatCode="000"/>
    <numFmt numFmtId="188" formatCode="&quot;£&quot;#,##0"/>
    <numFmt numFmtId="189" formatCode="&quot;£&quot;#,##0.0000_);[Red]\(&quot;£&quot;#,##0.0000\)"/>
    <numFmt numFmtId="190" formatCode="0.000000%"/>
    <numFmt numFmtId="191" formatCode="00000"/>
    <numFmt numFmtId="192" formatCode="[hh]:mm"/>
    <numFmt numFmtId="193" formatCode="[$-F800]dddd\,\ mmmm\ dd\,\ yyyy"/>
  </numFmts>
  <fonts count="47" x14ac:knownFonts="1">
    <font>
      <sz val="10"/>
      <name val="Arial"/>
    </font>
    <font>
      <sz val="10"/>
      <name val="Arial"/>
    </font>
    <font>
      <b/>
      <sz val="10"/>
      <color indexed="8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b/>
      <sz val="10"/>
      <name val="Arial"/>
    </font>
    <font>
      <sz val="8"/>
      <name val="Arial"/>
      <family val="2"/>
    </font>
    <font>
      <b/>
      <sz val="10"/>
      <color indexed="10"/>
      <name val="Arial"/>
    </font>
    <font>
      <b/>
      <sz val="14"/>
      <color indexed="8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8"/>
      <color indexed="12"/>
      <name val="Arial Narrow"/>
      <family val="2"/>
    </font>
    <font>
      <sz val="8"/>
      <color indexed="12"/>
      <name val="Arial"/>
      <family val="2"/>
    </font>
    <font>
      <i/>
      <sz val="10"/>
      <name val="Arial"/>
      <family val="2"/>
    </font>
    <font>
      <b/>
      <sz val="10"/>
      <color indexed="20"/>
      <name val="Arial"/>
      <family val="2"/>
    </font>
    <font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sz val="10"/>
      <color indexed="9"/>
      <name val="Arial"/>
      <family val="2"/>
    </font>
    <font>
      <b/>
      <sz val="14"/>
      <name val="Arial"/>
      <family val="2"/>
    </font>
    <font>
      <b/>
      <i/>
      <sz val="10"/>
      <name val="Arial"/>
    </font>
    <font>
      <i/>
      <sz val="10"/>
      <name val="Arial"/>
    </font>
    <font>
      <sz val="10"/>
      <color indexed="8"/>
      <name val="Arial"/>
    </font>
    <font>
      <sz val="10"/>
      <color indexed="10"/>
      <name val="Arial"/>
      <family val="2"/>
    </font>
    <font>
      <sz val="8"/>
      <color indexed="20"/>
      <name val="Arial"/>
      <family val="2"/>
    </font>
    <font>
      <i/>
      <sz val="8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</font>
    <font>
      <b/>
      <sz val="10"/>
      <color indexed="17"/>
      <name val="Arial"/>
    </font>
    <font>
      <sz val="8"/>
      <color indexed="17"/>
      <name val="Arial"/>
      <family val="2"/>
    </font>
    <font>
      <sz val="8"/>
      <color indexed="10"/>
      <name val="Arial"/>
      <family val="2"/>
    </font>
    <font>
      <sz val="8"/>
      <color indexed="14"/>
      <name val="Arial"/>
      <family val="2"/>
    </font>
    <font>
      <b/>
      <sz val="10"/>
      <color indexed="20"/>
      <name val="Arial"/>
    </font>
    <font>
      <sz val="10"/>
      <color indexed="20"/>
      <name val="Arial"/>
    </font>
    <font>
      <b/>
      <sz val="10"/>
      <color indexed="10"/>
      <name val="Arial"/>
      <family val="2"/>
    </font>
    <font>
      <b/>
      <sz val="10"/>
      <color indexed="12"/>
      <name val="Arial"/>
    </font>
    <font>
      <sz val="10"/>
      <name val="Symbol"/>
      <family val="1"/>
      <charset val="2"/>
    </font>
    <font>
      <i/>
      <sz val="10"/>
      <color indexed="10"/>
      <name val="Arial"/>
      <family val="2"/>
    </font>
    <font>
      <b/>
      <sz val="14"/>
      <color indexed="10"/>
      <name val="Arial"/>
      <family val="2"/>
    </font>
    <font>
      <sz val="12"/>
      <color indexed="12"/>
      <name val="Arial"/>
    </font>
    <font>
      <sz val="12"/>
      <name val="Arial"/>
    </font>
    <font>
      <b/>
      <sz val="10"/>
      <color indexed="13"/>
      <name val="Arial"/>
      <family val="2"/>
    </font>
    <font>
      <sz val="8"/>
      <color indexed="61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6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14"/>
      </left>
      <right style="thin">
        <color indexed="64"/>
      </right>
      <top style="thick">
        <color indexed="14"/>
      </top>
      <bottom style="thin">
        <color indexed="64"/>
      </bottom>
      <diagonal/>
    </border>
    <border>
      <left style="thin">
        <color indexed="64"/>
      </left>
      <right style="thick">
        <color indexed="14"/>
      </right>
      <top style="thick">
        <color indexed="14"/>
      </top>
      <bottom style="thin">
        <color indexed="64"/>
      </bottom>
      <diagonal/>
    </border>
    <border>
      <left style="thick">
        <color indexed="1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4"/>
      </right>
      <top style="thin">
        <color indexed="64"/>
      </top>
      <bottom style="thin">
        <color indexed="64"/>
      </bottom>
      <diagonal/>
    </border>
    <border>
      <left style="thick">
        <color indexed="14"/>
      </left>
      <right style="thin">
        <color indexed="64"/>
      </right>
      <top style="thin">
        <color indexed="64"/>
      </top>
      <bottom style="thick">
        <color indexed="14"/>
      </bottom>
      <diagonal/>
    </border>
    <border>
      <left style="thin">
        <color indexed="64"/>
      </left>
      <right style="thick">
        <color indexed="14"/>
      </right>
      <top style="thin">
        <color indexed="64"/>
      </top>
      <bottom style="thick">
        <color indexed="14"/>
      </bottom>
      <diagonal/>
    </border>
    <border>
      <left style="thick">
        <color indexed="17"/>
      </left>
      <right style="thin">
        <color indexed="64"/>
      </right>
      <top style="thick">
        <color indexed="17"/>
      </top>
      <bottom style="thin">
        <color indexed="64"/>
      </bottom>
      <diagonal/>
    </border>
    <border>
      <left style="thin">
        <color indexed="64"/>
      </left>
      <right style="thick">
        <color indexed="17"/>
      </right>
      <top style="thick">
        <color indexed="17"/>
      </top>
      <bottom style="thin">
        <color indexed="64"/>
      </bottom>
      <diagonal/>
    </border>
    <border>
      <left style="thick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7"/>
      </right>
      <top style="thin">
        <color indexed="64"/>
      </top>
      <bottom style="thin">
        <color indexed="64"/>
      </bottom>
      <diagonal/>
    </border>
    <border>
      <left style="thick">
        <color indexed="17"/>
      </left>
      <right style="thin">
        <color indexed="64"/>
      </right>
      <top style="thin">
        <color indexed="64"/>
      </top>
      <bottom style="thick">
        <color indexed="17"/>
      </bottom>
      <diagonal/>
    </border>
    <border>
      <left style="thin">
        <color indexed="64"/>
      </left>
      <right style="thick">
        <color indexed="17"/>
      </right>
      <top style="thin">
        <color indexed="64"/>
      </top>
      <bottom style="thick">
        <color indexed="17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 style="thin">
        <color indexed="6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4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double">
        <color indexed="14"/>
      </right>
      <top style="double">
        <color indexed="17"/>
      </top>
      <bottom style="thin">
        <color indexed="64"/>
      </bottom>
      <diagonal/>
    </border>
    <border>
      <left style="double">
        <color indexed="17"/>
      </left>
      <right style="double">
        <color indexed="14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double">
        <color indexed="1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20"/>
      </left>
      <right style="thin">
        <color indexed="64"/>
      </right>
      <top style="medium">
        <color indexed="2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20"/>
      </top>
      <bottom style="thin">
        <color indexed="64"/>
      </bottom>
      <diagonal/>
    </border>
    <border>
      <left style="thin">
        <color indexed="64"/>
      </left>
      <right style="medium">
        <color indexed="20"/>
      </right>
      <top style="medium">
        <color indexed="20"/>
      </top>
      <bottom style="thin">
        <color indexed="64"/>
      </bottom>
      <diagonal/>
    </border>
    <border>
      <left style="medium">
        <color indexed="2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20"/>
      </right>
      <top style="thin">
        <color indexed="64"/>
      </top>
      <bottom style="thin">
        <color indexed="64"/>
      </bottom>
      <diagonal/>
    </border>
    <border>
      <left style="medium">
        <color indexed="20"/>
      </left>
      <right style="thin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20"/>
      </right>
      <top style="thin">
        <color indexed="64"/>
      </top>
      <bottom style="medium">
        <color indexed="2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/>
      <diagonal/>
    </border>
    <border>
      <left style="thick">
        <color indexed="10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14"/>
      </left>
      <right style="thin">
        <color indexed="64"/>
      </right>
      <top style="double">
        <color indexed="14"/>
      </top>
      <bottom style="double">
        <color indexed="14"/>
      </bottom>
      <diagonal/>
    </border>
    <border>
      <left style="thin">
        <color indexed="64"/>
      </left>
      <right style="thin">
        <color indexed="64"/>
      </right>
      <top style="double">
        <color indexed="14"/>
      </top>
      <bottom style="double">
        <color indexed="14"/>
      </bottom>
      <diagonal/>
    </border>
    <border>
      <left style="thin">
        <color indexed="64"/>
      </left>
      <right style="double">
        <color indexed="14"/>
      </right>
      <top style="double">
        <color indexed="14"/>
      </top>
      <bottom style="double">
        <color indexed="1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double">
        <color indexed="17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/>
      <diagonal/>
    </border>
    <border>
      <left style="thin">
        <color indexed="64"/>
      </left>
      <right style="thin">
        <color indexed="64"/>
      </right>
      <top style="double">
        <color indexed="17"/>
      </top>
      <bottom/>
      <diagonal/>
    </border>
    <border>
      <left style="thin">
        <color indexed="64"/>
      </left>
      <right style="double">
        <color indexed="17"/>
      </right>
      <top style="double">
        <color indexed="17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NumberFormat="0" applyFont="0" applyBorder="0" applyAlignment="0" applyProtection="0"/>
    <xf numFmtId="9" fontId="1" fillId="0" borderId="0" applyFont="0" applyFill="0" applyBorder="0" applyAlignment="0" applyProtection="0"/>
    <xf numFmtId="0" fontId="1" fillId="0" borderId="0" applyNumberFormat="0" applyFont="0" applyBorder="0" applyAlignment="0" applyProtection="0"/>
    <xf numFmtId="0" fontId="1" fillId="2" borderId="0" applyNumberFormat="0" applyFont="0" applyBorder="0" applyAlignment="0" applyProtection="0"/>
  </cellStyleXfs>
  <cellXfs count="525">
    <xf numFmtId="0" fontId="0" fillId="0" borderId="0" xfId="0"/>
    <xf numFmtId="0" fontId="0" fillId="0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" fillId="0" borderId="2" xfId="3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4" fillId="0" borderId="2" xfId="5" applyFont="1" applyBorder="1" applyAlignment="1">
      <alignment horizontal="center"/>
    </xf>
    <xf numFmtId="0" fontId="11" fillId="0" borderId="3" xfId="0" applyFont="1" applyBorder="1"/>
    <xf numFmtId="20" fontId="4" fillId="0" borderId="2" xfId="5" applyNumberFormat="1" applyFont="1" applyBorder="1" applyAlignment="1">
      <alignment horizontal="center"/>
    </xf>
    <xf numFmtId="18" fontId="4" fillId="0" borderId="2" xfId="5" applyNumberFormat="1" applyFont="1" applyBorder="1" applyAlignment="1">
      <alignment horizontal="center"/>
    </xf>
    <xf numFmtId="20" fontId="3" fillId="0" borderId="2" xfId="5" applyNumberFormat="1" applyFont="1" applyBorder="1" applyAlignment="1">
      <alignment horizontal="center"/>
    </xf>
    <xf numFmtId="0" fontId="4" fillId="0" borderId="0" xfId="0" applyFont="1"/>
    <xf numFmtId="18" fontId="3" fillId="0" borderId="2" xfId="5" applyNumberFormat="1" applyFont="1" applyBorder="1" applyAlignment="1">
      <alignment horizontal="center"/>
    </xf>
    <xf numFmtId="0" fontId="11" fillId="0" borderId="0" xfId="0" applyFont="1"/>
    <xf numFmtId="192" fontId="4" fillId="0" borderId="2" xfId="5" applyNumberFormat="1" applyFont="1" applyBorder="1" applyAlignment="1">
      <alignment horizontal="center"/>
    </xf>
    <xf numFmtId="0" fontId="1" fillId="0" borderId="4" xfId="3" applyBorder="1" applyAlignment="1">
      <alignment horizontal="right"/>
    </xf>
    <xf numFmtId="0" fontId="1" fillId="0" borderId="4" xfId="3" applyBorder="1" applyAlignment="1">
      <alignment horizontal="center"/>
    </xf>
    <xf numFmtId="0" fontId="1" fillId="0" borderId="5" xfId="3" applyBorder="1" applyAlignment="1">
      <alignment horizontal="center"/>
    </xf>
    <xf numFmtId="0" fontId="1" fillId="0" borderId="4" xfId="3" applyBorder="1"/>
    <xf numFmtId="0" fontId="1" fillId="0" borderId="5" xfId="3" applyBorder="1" applyAlignment="1">
      <alignment horizontal="right"/>
    </xf>
    <xf numFmtId="0" fontId="1" fillId="0" borderId="6" xfId="3" applyBorder="1"/>
    <xf numFmtId="0" fontId="1" fillId="0" borderId="2" xfId="3" applyBorder="1"/>
    <xf numFmtId="0" fontId="3" fillId="0" borderId="2" xfId="5" applyFont="1" applyBorder="1"/>
    <xf numFmtId="0" fontId="4" fillId="0" borderId="2" xfId="5" applyFont="1" applyBorder="1"/>
    <xf numFmtId="0" fontId="1" fillId="0" borderId="2" xfId="3" applyFont="1" applyBorder="1"/>
    <xf numFmtId="0" fontId="13" fillId="0" borderId="0" xfId="0" applyFont="1"/>
    <xf numFmtId="9" fontId="3" fillId="0" borderId="2" xfId="5" applyNumberFormat="1" applyFont="1" applyBorder="1"/>
    <xf numFmtId="9" fontId="3" fillId="0" borderId="2" xfId="5" applyNumberFormat="1" applyFont="1" applyBorder="1" applyAlignment="1">
      <alignment horizontal="center"/>
    </xf>
    <xf numFmtId="183" fontId="3" fillId="0" borderId="2" xfId="5" applyNumberFormat="1" applyFont="1" applyBorder="1"/>
    <xf numFmtId="183" fontId="4" fillId="0" borderId="2" xfId="5" applyNumberFormat="1" applyFont="1" applyBorder="1"/>
    <xf numFmtId="0" fontId="14" fillId="0" borderId="0" xfId="0" applyFont="1"/>
    <xf numFmtId="9" fontId="4" fillId="0" borderId="2" xfId="5" applyNumberFormat="1" applyFont="1" applyBorder="1"/>
    <xf numFmtId="0" fontId="11" fillId="0" borderId="0" xfId="3" applyFont="1" applyFill="1"/>
    <xf numFmtId="0" fontId="1" fillId="0" borderId="0" xfId="3" applyFill="1"/>
    <xf numFmtId="182" fontId="3" fillId="2" borderId="2" xfId="1" applyNumberFormat="1" applyFont="1" applyFill="1" applyBorder="1"/>
    <xf numFmtId="182" fontId="4" fillId="2" borderId="2" xfId="1" applyNumberFormat="1" applyFont="1" applyFill="1" applyBorder="1"/>
    <xf numFmtId="182" fontId="4" fillId="0" borderId="2" xfId="5" applyNumberFormat="1" applyFont="1" applyBorder="1"/>
    <xf numFmtId="9" fontId="4" fillId="0" borderId="2" xfId="5" applyNumberFormat="1" applyFont="1" applyBorder="1" applyAlignment="1">
      <alignment horizontal="center"/>
    </xf>
    <xf numFmtId="0" fontId="11" fillId="0" borderId="4" xfId="3" applyFont="1" applyBorder="1"/>
    <xf numFmtId="0" fontId="1" fillId="0" borderId="5" xfId="3" applyBorder="1"/>
    <xf numFmtId="182" fontId="3" fillId="0" borderId="2" xfId="5" applyNumberFormat="1" applyFont="1" applyBorder="1"/>
    <xf numFmtId="9" fontId="3" fillId="2" borderId="2" xfId="4" applyFont="1" applyFill="1" applyBorder="1"/>
    <xf numFmtId="0" fontId="4" fillId="0" borderId="2" xfId="5" applyNumberFormat="1" applyFont="1" applyBorder="1"/>
    <xf numFmtId="10" fontId="3" fillId="0" borderId="2" xfId="5" applyNumberFormat="1" applyFont="1" applyBorder="1"/>
    <xf numFmtId="0" fontId="1" fillId="0" borderId="2" xfId="3" applyFont="1" applyBorder="1" applyAlignment="1">
      <alignment horizontal="center"/>
    </xf>
    <xf numFmtId="167" fontId="3" fillId="0" borderId="2" xfId="5" applyNumberFormat="1" applyFont="1" applyBorder="1"/>
    <xf numFmtId="167" fontId="4" fillId="0" borderId="2" xfId="5" applyNumberFormat="1" applyFont="1" applyBorder="1"/>
    <xf numFmtId="0" fontId="0" fillId="0" borderId="0" xfId="0" applyAlignment="1">
      <alignment horizontal="center"/>
    </xf>
    <xf numFmtId="0" fontId="1" fillId="0" borderId="2" xfId="5" applyBorder="1" applyAlignment="1">
      <alignment horizontal="center"/>
    </xf>
    <xf numFmtId="0" fontId="3" fillId="0" borderId="0" xfId="5" applyFont="1"/>
    <xf numFmtId="0" fontId="1" fillId="0" borderId="0" xfId="5"/>
    <xf numFmtId="0" fontId="0" fillId="0" borderId="3" xfId="0" applyBorder="1"/>
    <xf numFmtId="15" fontId="3" fillId="0" borderId="2" xfId="5" applyNumberFormat="1" applyFont="1" applyBorder="1"/>
    <xf numFmtId="0" fontId="4" fillId="0" borderId="0" xfId="5" applyFont="1"/>
    <xf numFmtId="2" fontId="4" fillId="0" borderId="2" xfId="5" applyNumberFormat="1" applyFont="1" applyBorder="1"/>
    <xf numFmtId="0" fontId="1" fillId="0" borderId="2" xfId="3" applyBorder="1" applyAlignment="1">
      <alignment horizontal="center" wrapText="1"/>
    </xf>
    <xf numFmtId="0" fontId="1" fillId="0" borderId="2" xfId="3" applyBorder="1" applyAlignment="1">
      <alignment horizontal="center" vertical="center"/>
    </xf>
    <xf numFmtId="0" fontId="1" fillId="0" borderId="7" xfId="3" applyBorder="1" applyAlignment="1">
      <alignment horizontal="right"/>
    </xf>
    <xf numFmtId="0" fontId="4" fillId="0" borderId="0" xfId="0" applyNumberFormat="1" applyFont="1"/>
    <xf numFmtId="0" fontId="0" fillId="0" borderId="0" xfId="0" quotePrefix="1"/>
    <xf numFmtId="0" fontId="1" fillId="0" borderId="2" xfId="3" applyBorder="1" applyAlignment="1">
      <alignment horizontal="centerContinuous"/>
    </xf>
    <xf numFmtId="0" fontId="4" fillId="0" borderId="0" xfId="0" applyFont="1" applyAlignment="1">
      <alignment horizontal="left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4" fillId="0" borderId="0" xfId="0" applyFont="1" applyAlignment="1">
      <alignment horizontal="right"/>
    </xf>
    <xf numFmtId="0" fontId="3" fillId="0" borderId="10" xfId="5" applyFont="1" applyBorder="1" applyAlignment="1">
      <alignment horizontal="center"/>
    </xf>
    <xf numFmtId="0" fontId="3" fillId="0" borderId="11" xfId="5" applyFont="1" applyBorder="1" applyAlignment="1">
      <alignment horizontal="center"/>
    </xf>
    <xf numFmtId="0" fontId="3" fillId="0" borderId="12" xfId="5" applyFont="1" applyBorder="1" applyAlignment="1">
      <alignment horizontal="center"/>
    </xf>
    <xf numFmtId="0" fontId="3" fillId="0" borderId="13" xfId="5" applyFont="1" applyBorder="1" applyAlignment="1">
      <alignment horizontal="center"/>
    </xf>
    <xf numFmtId="0" fontId="20" fillId="0" borderId="14" xfId="3" applyFont="1" applyBorder="1" applyAlignment="1">
      <alignment horizontal="center"/>
    </xf>
    <xf numFmtId="0" fontId="20" fillId="0" borderId="15" xfId="3" applyFont="1" applyBorder="1" applyAlignment="1">
      <alignment horizontal="center"/>
    </xf>
    <xf numFmtId="0" fontId="3" fillId="0" borderId="16" xfId="5" applyFont="1" applyBorder="1" applyAlignment="1">
      <alignment horizontal="center"/>
    </xf>
    <xf numFmtId="0" fontId="3" fillId="0" borderId="17" xfId="5" applyFont="1" applyBorder="1" applyAlignment="1">
      <alignment horizontal="center"/>
    </xf>
    <xf numFmtId="0" fontId="3" fillId="0" borderId="18" xfId="5" applyFont="1" applyBorder="1" applyAlignment="1">
      <alignment horizontal="center"/>
    </xf>
    <xf numFmtId="0" fontId="3" fillId="0" borderId="19" xfId="5" applyFont="1" applyBorder="1" applyAlignment="1">
      <alignment horizontal="center"/>
    </xf>
    <xf numFmtId="184" fontId="3" fillId="0" borderId="2" xfId="5" applyNumberFormat="1" applyFont="1" applyBorder="1" applyAlignment="1">
      <alignment horizontal="center"/>
    </xf>
    <xf numFmtId="0" fontId="1" fillId="0" borderId="2" xfId="3" applyFont="1" applyBorder="1" applyAlignment="1">
      <alignment horizontal="center" wrapText="1"/>
    </xf>
    <xf numFmtId="0" fontId="1" fillId="0" borderId="2" xfId="3" applyBorder="1" applyAlignment="1">
      <alignment horizontal="right"/>
    </xf>
    <xf numFmtId="2" fontId="4" fillId="0" borderId="2" xfId="5" applyNumberFormat="1" applyFont="1" applyBorder="1" applyAlignment="1">
      <alignment horizontal="center"/>
    </xf>
    <xf numFmtId="0" fontId="0" fillId="0" borderId="0" xfId="0" applyNumberFormat="1"/>
    <xf numFmtId="1" fontId="4" fillId="0" borderId="2" xfId="5" applyNumberFormat="1" applyFont="1" applyBorder="1" applyAlignment="1">
      <alignment horizontal="center"/>
    </xf>
    <xf numFmtId="165" fontId="3" fillId="0" borderId="2" xfId="5" applyNumberFormat="1" applyFont="1" applyBorder="1" applyAlignment="1">
      <alignment horizontal="center"/>
    </xf>
    <xf numFmtId="178" fontId="4" fillId="0" borderId="2" xfId="5" applyNumberFormat="1" applyFont="1" applyBorder="1"/>
    <xf numFmtId="166" fontId="3" fillId="0" borderId="2" xfId="5" applyNumberFormat="1" applyFont="1" applyBorder="1" applyAlignment="1">
      <alignment horizontal="center"/>
    </xf>
    <xf numFmtId="0" fontId="4" fillId="0" borderId="0" xfId="0" quotePrefix="1" applyFont="1"/>
    <xf numFmtId="10" fontId="3" fillId="0" borderId="2" xfId="5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4" fillId="0" borderId="2" xfId="5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2" xfId="3" applyBorder="1" applyAlignment="1">
      <alignment horizontal="right" wrapText="1"/>
    </xf>
    <xf numFmtId="0" fontId="4" fillId="0" borderId="2" xfId="5" applyFont="1" applyBorder="1" applyAlignment="1">
      <alignment horizontal="left" vertical="center"/>
    </xf>
    <xf numFmtId="0" fontId="5" fillId="0" borderId="2" xfId="3" applyFont="1" applyBorder="1"/>
    <xf numFmtId="0" fontId="5" fillId="0" borderId="2" xfId="3" applyFont="1" applyBorder="1" applyAlignment="1">
      <alignment horizontal="center"/>
    </xf>
    <xf numFmtId="0" fontId="1" fillId="0" borderId="2" xfId="3" applyBorder="1" applyAlignment="1">
      <alignment horizontal="left"/>
    </xf>
    <xf numFmtId="0" fontId="1" fillId="0" borderId="2" xfId="3" quotePrefix="1" applyBorder="1" applyAlignment="1">
      <alignment horizontal="left"/>
    </xf>
    <xf numFmtId="0" fontId="3" fillId="0" borderId="2" xfId="5" applyFont="1" applyBorder="1" applyAlignment="1">
      <alignment horizontal="center" wrapText="1"/>
    </xf>
    <xf numFmtId="9" fontId="1" fillId="0" borderId="2" xfId="3" applyNumberFormat="1" applyBorder="1" applyAlignment="1">
      <alignment horizontal="left"/>
    </xf>
    <xf numFmtId="10" fontId="1" fillId="0" borderId="2" xfId="3" applyNumberFormat="1" applyBorder="1" applyAlignment="1">
      <alignment horizontal="left"/>
    </xf>
    <xf numFmtId="11" fontId="1" fillId="0" borderId="2" xfId="3" applyNumberFormat="1" applyBorder="1" applyAlignment="1">
      <alignment horizontal="left"/>
    </xf>
    <xf numFmtId="0" fontId="4" fillId="0" borderId="2" xfId="5" applyFont="1" applyBorder="1" applyAlignment="1">
      <alignment horizontal="left"/>
    </xf>
    <xf numFmtId="0" fontId="6" fillId="0" borderId="0" xfId="0" applyFont="1"/>
    <xf numFmtId="0" fontId="1" fillId="0" borderId="4" xfId="3" applyBorder="1" applyAlignment="1">
      <alignment horizontal="left"/>
    </xf>
    <xf numFmtId="0" fontId="1" fillId="0" borderId="7" xfId="3" applyBorder="1" applyAlignment="1">
      <alignment horizontal="center"/>
    </xf>
    <xf numFmtId="0" fontId="1" fillId="0" borderId="20" xfId="5" applyBorder="1" applyAlignment="1">
      <alignment horizontal="right"/>
    </xf>
    <xf numFmtId="0" fontId="1" fillId="0" borderId="0" xfId="5" applyBorder="1" applyAlignment="1">
      <alignment horizontal="right"/>
    </xf>
    <xf numFmtId="0" fontId="1" fillId="0" borderId="21" xfId="5" applyBorder="1" applyAlignment="1">
      <alignment horizontal="center"/>
    </xf>
    <xf numFmtId="0" fontId="4" fillId="0" borderId="20" xfId="5" applyFont="1" applyBorder="1" applyAlignment="1">
      <alignment horizontal="center"/>
    </xf>
    <xf numFmtId="0" fontId="1" fillId="0" borderId="0" xfId="5" applyBorder="1" applyAlignment="1">
      <alignment horizontal="center"/>
    </xf>
    <xf numFmtId="0" fontId="1" fillId="0" borderId="6" xfId="5" applyBorder="1" applyAlignment="1">
      <alignment horizontal="right"/>
    </xf>
    <xf numFmtId="0" fontId="1" fillId="0" borderId="22" xfId="5" applyBorder="1" applyAlignment="1">
      <alignment horizontal="right"/>
    </xf>
    <xf numFmtId="0" fontId="1" fillId="0" borderId="23" xfId="5" applyBorder="1" applyAlignment="1">
      <alignment horizontal="center"/>
    </xf>
    <xf numFmtId="0" fontId="4" fillId="0" borderId="6" xfId="5" applyFont="1" applyBorder="1" applyAlignment="1">
      <alignment horizontal="center"/>
    </xf>
    <xf numFmtId="0" fontId="1" fillId="0" borderId="22" xfId="5" applyBorder="1" applyAlignment="1">
      <alignment horizontal="center"/>
    </xf>
    <xf numFmtId="0" fontId="1" fillId="0" borderId="24" xfId="3" applyBorder="1"/>
    <xf numFmtId="0" fontId="4" fillId="0" borderId="25" xfId="5" applyFont="1" applyBorder="1"/>
    <xf numFmtId="0" fontId="1" fillId="0" borderId="26" xfId="3" applyBorder="1"/>
    <xf numFmtId="0" fontId="4" fillId="3" borderId="25" xfId="0" applyFont="1" applyFill="1" applyBorder="1"/>
    <xf numFmtId="0" fontId="1" fillId="0" borderId="20" xfId="3" applyBorder="1"/>
    <xf numFmtId="0" fontId="4" fillId="0" borderId="21" xfId="5" applyFont="1" applyBorder="1"/>
    <xf numFmtId="0" fontId="1" fillId="0" borderId="0" xfId="3"/>
    <xf numFmtId="0" fontId="4" fillId="3" borderId="21" xfId="0" applyFont="1" applyFill="1" applyBorder="1"/>
    <xf numFmtId="0" fontId="1" fillId="0" borderId="22" xfId="3" applyBorder="1"/>
    <xf numFmtId="0" fontId="4" fillId="0" borderId="23" xfId="5" applyFont="1" applyBorder="1"/>
    <xf numFmtId="0" fontId="21" fillId="0" borderId="2" xfId="5" applyFont="1" applyBorder="1" applyAlignment="1">
      <alignment horizontal="center"/>
    </xf>
    <xf numFmtId="49" fontId="0" fillId="0" borderId="0" xfId="0" applyNumberFormat="1"/>
    <xf numFmtId="0" fontId="1" fillId="0" borderId="0" xfId="3" applyFont="1" applyAlignment="1">
      <alignment horizontal="right"/>
    </xf>
    <xf numFmtId="0" fontId="1" fillId="0" borderId="0" xfId="3" applyAlignment="1">
      <alignment horizontal="left"/>
    </xf>
    <xf numFmtId="0" fontId="1" fillId="0" borderId="0" xfId="5" applyAlignment="1">
      <alignment horizontal="center"/>
    </xf>
    <xf numFmtId="0" fontId="1" fillId="0" borderId="0" xfId="5" applyAlignment="1">
      <alignment horizontal="left"/>
    </xf>
    <xf numFmtId="0" fontId="0" fillId="4" borderId="2" xfId="0" applyFill="1" applyBorder="1"/>
    <xf numFmtId="0" fontId="0" fillId="5" borderId="2" xfId="0" applyFill="1" applyBorder="1"/>
    <xf numFmtId="0" fontId="22" fillId="6" borderId="2" xfId="0" applyFont="1" applyFill="1" applyBorder="1"/>
    <xf numFmtId="0" fontId="0" fillId="7" borderId="2" xfId="0" applyFill="1" applyBorder="1"/>
    <xf numFmtId="0" fontId="22" fillId="8" borderId="2" xfId="0" applyFont="1" applyFill="1" applyBorder="1"/>
    <xf numFmtId="0" fontId="4" fillId="0" borderId="2" xfId="5" applyFont="1" applyBorder="1" applyAlignment="1">
      <alignment horizontal="right"/>
    </xf>
    <xf numFmtId="0" fontId="1" fillId="0" borderId="2" xfId="3" applyBorder="1" applyAlignment="1">
      <alignment wrapText="1"/>
    </xf>
    <xf numFmtId="11" fontId="1" fillId="0" borderId="2" xfId="3" applyNumberFormat="1" applyBorder="1" applyAlignment="1">
      <alignment horizontal="center"/>
    </xf>
    <xf numFmtId="0" fontId="1" fillId="0" borderId="27" xfId="3" applyBorder="1" applyAlignment="1">
      <alignment horizontal="center"/>
    </xf>
    <xf numFmtId="0" fontId="1" fillId="0" borderId="28" xfId="3" applyBorder="1" applyAlignment="1">
      <alignment horizontal="center"/>
    </xf>
    <xf numFmtId="0" fontId="1" fillId="0" borderId="29" xfId="3" applyBorder="1" applyAlignment="1">
      <alignment horizontal="center" wrapText="1"/>
    </xf>
    <xf numFmtId="0" fontId="9" fillId="0" borderId="27" xfId="3" applyFont="1" applyBorder="1" applyAlignment="1">
      <alignment horizontal="center" wrapText="1"/>
    </xf>
    <xf numFmtId="0" fontId="9" fillId="0" borderId="29" xfId="3" applyFont="1" applyBorder="1" applyAlignment="1">
      <alignment horizontal="center"/>
    </xf>
    <xf numFmtId="0" fontId="1" fillId="0" borderId="30" xfId="5" applyBorder="1" applyAlignment="1">
      <alignment horizontal="center"/>
    </xf>
    <xf numFmtId="0" fontId="3" fillId="0" borderId="31" xfId="5" applyFont="1" applyBorder="1" applyAlignment="1">
      <alignment horizontal="center"/>
    </xf>
    <xf numFmtId="165" fontId="3" fillId="0" borderId="30" xfId="5" applyNumberFormat="1" applyFont="1" applyBorder="1" applyAlignment="1">
      <alignment horizontal="center"/>
    </xf>
    <xf numFmtId="165" fontId="3" fillId="0" borderId="31" xfId="5" applyNumberFormat="1" applyFont="1" applyBorder="1" applyAlignment="1">
      <alignment horizontal="center"/>
    </xf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/>
    <xf numFmtId="0" fontId="0" fillId="0" borderId="3" xfId="0" applyBorder="1" applyAlignment="1">
      <alignment horizontal="right"/>
    </xf>
    <xf numFmtId="176" fontId="4" fillId="0" borderId="35" xfId="5" applyNumberFormat="1" applyFont="1" applyBorder="1" applyAlignment="1">
      <alignment horizontal="center"/>
    </xf>
    <xf numFmtId="0" fontId="0" fillId="0" borderId="34" xfId="0" applyBorder="1" applyAlignment="1">
      <alignment horizontal="right"/>
    </xf>
    <xf numFmtId="9" fontId="4" fillId="0" borderId="35" xfId="5" applyNumberFormat="1" applyFont="1" applyBorder="1" applyAlignment="1">
      <alignment horizontal="center"/>
    </xf>
    <xf numFmtId="0" fontId="1" fillId="0" borderId="4" xfId="3" applyBorder="1" applyAlignment="1">
      <alignment horizontal="centerContinuous"/>
    </xf>
    <xf numFmtId="0" fontId="1" fillId="0" borderId="7" xfId="3" applyBorder="1" applyAlignment="1">
      <alignment horizontal="centerContinuous"/>
    </xf>
    <xf numFmtId="0" fontId="1" fillId="0" borderId="5" xfId="3" applyBorder="1" applyAlignment="1">
      <alignment horizontal="centerContinuous"/>
    </xf>
    <xf numFmtId="15" fontId="3" fillId="0" borderId="2" xfId="5" applyNumberFormat="1" applyFont="1" applyBorder="1" applyAlignment="1">
      <alignment horizontal="center"/>
    </xf>
    <xf numFmtId="0" fontId="1" fillId="0" borderId="7" xfId="3" applyBorder="1"/>
    <xf numFmtId="0" fontId="20" fillId="0" borderId="2" xfId="3" applyFont="1" applyBorder="1" applyAlignment="1">
      <alignment horizontal="center"/>
    </xf>
    <xf numFmtId="171" fontId="4" fillId="0" borderId="2" xfId="5" applyNumberFormat="1" applyFont="1" applyBorder="1"/>
    <xf numFmtId="15" fontId="4" fillId="0" borderId="2" xfId="5" applyNumberFormat="1" applyFont="1" applyBorder="1"/>
    <xf numFmtId="169" fontId="4" fillId="0" borderId="2" xfId="5" applyNumberFormat="1" applyFont="1" applyBorder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15" fontId="0" fillId="0" borderId="0" xfId="0" applyNumberFormat="1" applyAlignment="1">
      <alignment horizontal="center"/>
    </xf>
    <xf numFmtId="15" fontId="0" fillId="0" borderId="0" xfId="0" applyNumberFormat="1"/>
    <xf numFmtId="0" fontId="1" fillId="0" borderId="2" xfId="5" applyFont="1" applyBorder="1" applyAlignment="1">
      <alignment horizontal="center"/>
    </xf>
    <xf numFmtId="0" fontId="2" fillId="0" borderId="3" xfId="0" applyFont="1" applyBorder="1"/>
    <xf numFmtId="0" fontId="3" fillId="0" borderId="2" xfId="5" quotePrefix="1" applyFont="1" applyBorder="1" applyAlignment="1">
      <alignment horizontal="center"/>
    </xf>
    <xf numFmtId="0" fontId="25" fillId="0" borderId="0" xfId="0" applyFont="1" applyAlignment="1">
      <alignment horizontal="right"/>
    </xf>
    <xf numFmtId="0" fontId="5" fillId="0" borderId="36" xfId="3" applyFont="1" applyBorder="1" applyAlignment="1">
      <alignment horizontal="center" wrapText="1"/>
    </xf>
    <xf numFmtId="0" fontId="5" fillId="0" borderId="37" xfId="3" applyFont="1" applyBorder="1" applyAlignment="1">
      <alignment horizontal="center" wrapText="1"/>
    </xf>
    <xf numFmtId="0" fontId="5" fillId="0" borderId="38" xfId="3" applyFont="1" applyBorder="1" applyAlignment="1">
      <alignment horizontal="center" wrapText="1"/>
    </xf>
    <xf numFmtId="0" fontId="3" fillId="0" borderId="39" xfId="5" applyFont="1" applyBorder="1" applyAlignment="1">
      <alignment horizontal="center"/>
    </xf>
    <xf numFmtId="166" fontId="4" fillId="0" borderId="40" xfId="5" applyNumberFormat="1" applyFont="1" applyBorder="1" applyAlignment="1">
      <alignment horizontal="right"/>
    </xf>
    <xf numFmtId="0" fontId="3" fillId="0" borderId="41" xfId="5" applyFont="1" applyBorder="1" applyAlignment="1">
      <alignment horizontal="center"/>
    </xf>
    <xf numFmtId="0" fontId="3" fillId="0" borderId="42" xfId="5" applyFont="1" applyBorder="1" applyAlignment="1">
      <alignment horizontal="center"/>
    </xf>
    <xf numFmtId="166" fontId="3" fillId="0" borderId="42" xfId="5" applyNumberFormat="1" applyFont="1" applyBorder="1" applyAlignment="1">
      <alignment horizontal="center"/>
    </xf>
    <xf numFmtId="0" fontId="1" fillId="0" borderId="43" xfId="3" applyBorder="1" applyAlignment="1">
      <alignment horizontal="center"/>
    </xf>
    <xf numFmtId="0" fontId="25" fillId="0" borderId="0" xfId="0" applyFont="1"/>
    <xf numFmtId="0" fontId="3" fillId="0" borderId="44" xfId="5" applyFont="1" applyBorder="1" applyAlignment="1">
      <alignment horizontal="center"/>
    </xf>
    <xf numFmtId="0" fontId="0" fillId="0" borderId="0" xfId="0" applyBorder="1" applyAlignment="1">
      <alignment horizontal="right"/>
    </xf>
    <xf numFmtId="166" fontId="4" fillId="0" borderId="2" xfId="5" applyNumberFormat="1" applyFont="1" applyBorder="1" applyAlignment="1">
      <alignment horizontal="center"/>
    </xf>
    <xf numFmtId="0" fontId="5" fillId="0" borderId="0" xfId="0" applyFont="1"/>
    <xf numFmtId="0" fontId="1" fillId="0" borderId="45" xfId="3" applyBorder="1" applyAlignment="1">
      <alignment horizontal="center"/>
    </xf>
    <xf numFmtId="0" fontId="1" fillId="0" borderId="46" xfId="3" applyBorder="1" applyAlignment="1">
      <alignment horizontal="center"/>
    </xf>
    <xf numFmtId="0" fontId="3" fillId="0" borderId="47" xfId="5" applyFont="1" applyBorder="1" applyAlignment="1">
      <alignment horizontal="center"/>
    </xf>
    <xf numFmtId="0" fontId="3" fillId="0" borderId="48" xfId="5" applyFont="1" applyBorder="1" applyAlignment="1">
      <alignment horizontal="center"/>
    </xf>
    <xf numFmtId="0" fontId="5" fillId="0" borderId="26" xfId="0" applyFont="1" applyBorder="1"/>
    <xf numFmtId="0" fontId="0" fillId="0" borderId="26" xfId="0" applyBorder="1"/>
    <xf numFmtId="0" fontId="3" fillId="9" borderId="47" xfId="0" applyFont="1" applyFill="1" applyBorder="1" applyAlignment="1">
      <alignment horizontal="center"/>
    </xf>
    <xf numFmtId="0" fontId="3" fillId="9" borderId="48" xfId="0" applyFont="1" applyFill="1" applyBorder="1" applyAlignment="1">
      <alignment horizontal="center"/>
    </xf>
    <xf numFmtId="166" fontId="4" fillId="9" borderId="2" xfId="0" applyNumberFormat="1" applyFont="1" applyFill="1" applyBorder="1" applyAlignment="1">
      <alignment horizontal="center"/>
    </xf>
    <xf numFmtId="15" fontId="3" fillId="0" borderId="2" xfId="5" quotePrefix="1" applyNumberFormat="1" applyFont="1" applyBorder="1" applyAlignment="1">
      <alignment horizontal="center"/>
    </xf>
    <xf numFmtId="172" fontId="4" fillId="0" borderId="2" xfId="5" applyNumberFormat="1" applyFont="1" applyBorder="1" applyAlignment="1">
      <alignment horizontal="center"/>
    </xf>
    <xf numFmtId="14" fontId="3" fillId="0" borderId="2" xfId="5" applyNumberFormat="1" applyFont="1" applyBorder="1" applyAlignment="1">
      <alignment horizontal="center"/>
    </xf>
    <xf numFmtId="180" fontId="4" fillId="0" borderId="2" xfId="5" applyNumberFormat="1" applyFont="1" applyBorder="1" applyAlignment="1">
      <alignment horizontal="center"/>
    </xf>
    <xf numFmtId="0" fontId="25" fillId="0" borderId="0" xfId="0" applyFont="1" applyAlignment="1">
      <alignment horizontal="left"/>
    </xf>
    <xf numFmtId="165" fontId="3" fillId="0" borderId="2" xfId="5" applyNumberFormat="1" applyFont="1" applyBorder="1"/>
    <xf numFmtId="0" fontId="1" fillId="0" borderId="5" xfId="3" applyFont="1" applyBorder="1" applyAlignment="1">
      <alignment horizontal="right"/>
    </xf>
    <xf numFmtId="166" fontId="4" fillId="0" borderId="2" xfId="5" applyNumberFormat="1" applyFont="1" applyBorder="1"/>
    <xf numFmtId="10" fontId="4" fillId="0" borderId="2" xfId="5" applyNumberFormat="1" applyFont="1" applyBorder="1" applyAlignment="1">
      <alignment horizontal="center"/>
    </xf>
    <xf numFmtId="166" fontId="0" fillId="0" borderId="0" xfId="0" applyNumberFormat="1"/>
    <xf numFmtId="10" fontId="4" fillId="0" borderId="2" xfId="5" applyNumberFormat="1" applyFont="1" applyBorder="1"/>
    <xf numFmtId="0" fontId="1" fillId="0" borderId="49" xfId="3" applyBorder="1"/>
    <xf numFmtId="0" fontId="1" fillId="0" borderId="50" xfId="3" applyBorder="1"/>
    <xf numFmtId="0" fontId="1" fillId="0" borderId="51" xfId="3" applyBorder="1" applyAlignment="1">
      <alignment horizontal="right"/>
    </xf>
    <xf numFmtId="190" fontId="4" fillId="3" borderId="52" xfId="4" applyNumberFormat="1" applyFont="1" applyFill="1" applyBorder="1"/>
    <xf numFmtId="0" fontId="0" fillId="0" borderId="0" xfId="0" quotePrefix="1" applyAlignment="1">
      <alignment horizontal="center"/>
    </xf>
    <xf numFmtId="0" fontId="1" fillId="0" borderId="53" xfId="3" applyFont="1" applyBorder="1" applyAlignment="1">
      <alignment horizontal="center" wrapText="1"/>
    </xf>
    <xf numFmtId="189" fontId="4" fillId="0" borderId="2" xfId="5" applyNumberFormat="1" applyFont="1" applyBorder="1"/>
    <xf numFmtId="189" fontId="4" fillId="0" borderId="54" xfId="5" applyNumberFormat="1" applyFont="1" applyBorder="1"/>
    <xf numFmtId="185" fontId="4" fillId="0" borderId="2" xfId="5" applyNumberFormat="1" applyFont="1" applyBorder="1" applyAlignment="1">
      <alignment horizontal="center"/>
    </xf>
    <xf numFmtId="189" fontId="4" fillId="0" borderId="55" xfId="5" applyNumberFormat="1" applyFont="1" applyBorder="1"/>
    <xf numFmtId="166" fontId="4" fillId="0" borderId="52" xfId="5" applyNumberFormat="1" applyFont="1" applyBorder="1"/>
    <xf numFmtId="0" fontId="25" fillId="0" borderId="0" xfId="0" applyFont="1" applyBorder="1" applyAlignment="1">
      <alignment horizontal="right"/>
    </xf>
    <xf numFmtId="0" fontId="4" fillId="0" borderId="2" xfId="5" applyNumberFormat="1" applyFont="1" applyBorder="1" applyAlignment="1">
      <alignment horizontal="center"/>
    </xf>
    <xf numFmtId="0" fontId="1" fillId="0" borderId="46" xfId="3" applyBorder="1" applyAlignment="1">
      <alignment horizontal="center" wrapText="1"/>
    </xf>
    <xf numFmtId="0" fontId="1" fillId="0" borderId="56" xfId="3" applyBorder="1" applyAlignment="1">
      <alignment horizontal="center"/>
    </xf>
    <xf numFmtId="0" fontId="3" fillId="0" borderId="57" xfId="5" applyFont="1" applyBorder="1" applyAlignment="1">
      <alignment horizontal="center"/>
    </xf>
    <xf numFmtId="0" fontId="3" fillId="0" borderId="58" xfId="5" applyFont="1" applyBorder="1" applyAlignment="1">
      <alignment horizontal="center"/>
    </xf>
    <xf numFmtId="0" fontId="3" fillId="0" borderId="59" xfId="5" applyFont="1" applyBorder="1" applyAlignment="1">
      <alignment horizontal="center"/>
    </xf>
    <xf numFmtId="3" fontId="3" fillId="0" borderId="2" xfId="5" applyNumberFormat="1" applyFont="1" applyBorder="1" applyAlignment="1">
      <alignment horizontal="center"/>
    </xf>
    <xf numFmtId="1" fontId="3" fillId="0" borderId="2" xfId="5" applyNumberFormat="1" applyFont="1" applyBorder="1" applyAlignment="1">
      <alignment horizontal="center"/>
    </xf>
    <xf numFmtId="0" fontId="5" fillId="0" borderId="45" xfId="3" applyFont="1" applyBorder="1" applyAlignment="1">
      <alignment horizontal="center" wrapText="1"/>
    </xf>
    <xf numFmtId="0" fontId="5" fillId="0" borderId="56" xfId="3" applyFont="1" applyBorder="1" applyAlignment="1">
      <alignment horizontal="center" wrapText="1"/>
    </xf>
    <xf numFmtId="0" fontId="5" fillId="0" borderId="46" xfId="3" applyFont="1" applyBorder="1" applyAlignment="1">
      <alignment horizontal="center" wrapText="1"/>
    </xf>
    <xf numFmtId="0" fontId="1" fillId="0" borderId="47" xfId="5" applyBorder="1" applyAlignment="1">
      <alignment horizontal="center"/>
    </xf>
    <xf numFmtId="0" fontId="1" fillId="0" borderId="57" xfId="5" applyBorder="1" applyAlignment="1">
      <alignment horizontal="center"/>
    </xf>
    <xf numFmtId="0" fontId="1" fillId="0" borderId="48" xfId="5" applyBorder="1" applyAlignment="1">
      <alignment horizontal="center"/>
    </xf>
    <xf numFmtId="0" fontId="26" fillId="0" borderId="0" xfId="0" applyFont="1" applyBorder="1"/>
    <xf numFmtId="0" fontId="2" fillId="0" borderId="0" xfId="0" applyFont="1" applyBorder="1"/>
    <xf numFmtId="0" fontId="4" fillId="0" borderId="4" xfId="5" applyFont="1" applyBorder="1"/>
    <xf numFmtId="0" fontId="4" fillId="0" borderId="7" xfId="5" applyFont="1" applyBorder="1" applyAlignment="1">
      <alignment horizontal="center"/>
    </xf>
    <xf numFmtId="0" fontId="4" fillId="0" borderId="5" xfId="5" applyFont="1" applyBorder="1"/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9" fillId="0" borderId="2" xfId="3" applyFont="1" applyBorder="1" applyAlignment="1">
      <alignment horizontal="center"/>
    </xf>
    <xf numFmtId="15" fontId="4" fillId="0" borderId="2" xfId="5" applyNumberFormat="1" applyFont="1" applyBorder="1" applyAlignment="1">
      <alignment horizontal="center"/>
    </xf>
    <xf numFmtId="179" fontId="3" fillId="0" borderId="2" xfId="5" applyNumberFormat="1" applyFont="1" applyBorder="1" applyAlignment="1">
      <alignment horizontal="right"/>
    </xf>
    <xf numFmtId="179" fontId="4" fillId="0" borderId="2" xfId="5" applyNumberFormat="1" applyFont="1" applyBorder="1" applyAlignment="1">
      <alignment horizontal="right"/>
    </xf>
    <xf numFmtId="20" fontId="1" fillId="0" borderId="2" xfId="5" applyNumberFormat="1" applyBorder="1" applyAlignment="1">
      <alignment horizontal="center"/>
    </xf>
    <xf numFmtId="0" fontId="0" fillId="9" borderId="4" xfId="0" applyFill="1" applyBorder="1"/>
    <xf numFmtId="0" fontId="0" fillId="9" borderId="7" xfId="0" applyFill="1" applyBorder="1"/>
    <xf numFmtId="0" fontId="0" fillId="9" borderId="5" xfId="0" applyFill="1" applyBorder="1" applyAlignment="1">
      <alignment horizontal="right"/>
    </xf>
    <xf numFmtId="0" fontId="3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65" fontId="4" fillId="0" borderId="2" xfId="5" applyNumberFormat="1" applyFont="1" applyBorder="1" applyAlignment="1">
      <alignment horizontal="center"/>
    </xf>
    <xf numFmtId="165" fontId="4" fillId="0" borderId="2" xfId="5" applyNumberFormat="1" applyFont="1" applyBorder="1"/>
    <xf numFmtId="2" fontId="3" fillId="0" borderId="2" xfId="5" applyNumberFormat="1" applyFont="1" applyBorder="1" applyAlignment="1">
      <alignment horizontal="center"/>
    </xf>
    <xf numFmtId="3" fontId="4" fillId="0" borderId="2" xfId="5" applyNumberFormat="1" applyFont="1" applyBorder="1" applyAlignment="1">
      <alignment horizontal="right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2" xfId="5" applyFont="1" applyBorder="1" applyAlignment="1">
      <alignment horizontal="center"/>
    </xf>
    <xf numFmtId="0" fontId="17" fillId="0" borderId="2" xfId="5" applyFont="1" applyBorder="1" applyAlignment="1">
      <alignment horizontal="center"/>
    </xf>
    <xf numFmtId="165" fontId="4" fillId="0" borderId="2" xfId="5" applyNumberFormat="1" applyFont="1" applyBorder="1" applyAlignment="1">
      <alignment horizontal="right"/>
    </xf>
    <xf numFmtId="0" fontId="30" fillId="0" borderId="45" xfId="3" applyFont="1" applyBorder="1" applyAlignment="1">
      <alignment horizontal="center"/>
    </xf>
    <xf numFmtId="0" fontId="30" fillId="0" borderId="56" xfId="3" applyFont="1" applyBorder="1" applyAlignment="1">
      <alignment horizontal="center"/>
    </xf>
    <xf numFmtId="0" fontId="30" fillId="0" borderId="46" xfId="3" applyFont="1" applyBorder="1" applyAlignment="1">
      <alignment horizontal="center"/>
    </xf>
    <xf numFmtId="0" fontId="17" fillId="0" borderId="60" xfId="3" applyFont="1" applyBorder="1"/>
    <xf numFmtId="0" fontId="17" fillId="0" borderId="61" xfId="3" applyFont="1" applyBorder="1"/>
    <xf numFmtId="0" fontId="17" fillId="0" borderId="62" xfId="3" applyFont="1" applyBorder="1"/>
    <xf numFmtId="0" fontId="1" fillId="0" borderId="0" xfId="3" applyAlignment="1">
      <alignment horizontal="centerContinuous"/>
    </xf>
    <xf numFmtId="0" fontId="1" fillId="0" borderId="63" xfId="3" applyBorder="1" applyAlignment="1">
      <alignment horizontal="center"/>
    </xf>
    <xf numFmtId="0" fontId="1" fillId="0" borderId="64" xfId="3" applyBorder="1" applyAlignment="1">
      <alignment horizontal="center"/>
    </xf>
    <xf numFmtId="174" fontId="3" fillId="0" borderId="2" xfId="5" applyNumberFormat="1" applyFont="1" applyBorder="1" applyAlignment="1">
      <alignment horizontal="center"/>
    </xf>
    <xf numFmtId="183" fontId="4" fillId="0" borderId="2" xfId="5" applyNumberFormat="1" applyFont="1" applyBorder="1" applyAlignment="1">
      <alignment horizontal="center"/>
    </xf>
    <xf numFmtId="0" fontId="1" fillId="0" borderId="22" xfId="3" applyBorder="1" applyAlignment="1">
      <alignment horizontal="centerContinuous"/>
    </xf>
    <xf numFmtId="0" fontId="31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32" fillId="0" borderId="2" xfId="3" applyFont="1" applyBorder="1" applyAlignment="1">
      <alignment horizontal="center"/>
    </xf>
    <xf numFmtId="165" fontId="3" fillId="0" borderId="65" xfId="5" applyNumberFormat="1" applyFont="1" applyBorder="1" applyAlignment="1">
      <alignment horizontal="center"/>
    </xf>
    <xf numFmtId="165" fontId="3" fillId="0" borderId="66" xfId="5" applyNumberFormat="1" applyFont="1" applyBorder="1" applyAlignment="1">
      <alignment horizontal="center"/>
    </xf>
    <xf numFmtId="165" fontId="3" fillId="0" borderId="67" xfId="5" applyNumberFormat="1" applyFont="1" applyBorder="1" applyAlignment="1">
      <alignment horizontal="center"/>
    </xf>
    <xf numFmtId="165" fontId="3" fillId="0" borderId="68" xfId="5" applyNumberFormat="1" applyFont="1" applyBorder="1" applyAlignment="1">
      <alignment horizontal="center"/>
    </xf>
    <xf numFmtId="165" fontId="3" fillId="0" borderId="69" xfId="5" applyNumberFormat="1" applyFont="1" applyBorder="1" applyAlignment="1">
      <alignment horizontal="center"/>
    </xf>
    <xf numFmtId="165" fontId="3" fillId="0" borderId="70" xfId="5" applyNumberFormat="1" applyFont="1" applyBorder="1" applyAlignment="1">
      <alignment horizontal="center"/>
    </xf>
    <xf numFmtId="165" fontId="3" fillId="0" borderId="71" xfId="5" applyNumberFormat="1" applyFont="1" applyBorder="1" applyAlignment="1">
      <alignment horizontal="center"/>
    </xf>
    <xf numFmtId="165" fontId="3" fillId="0" borderId="72" xfId="5" applyNumberFormat="1" applyFont="1" applyBorder="1" applyAlignment="1">
      <alignment horizontal="center"/>
    </xf>
    <xf numFmtId="0" fontId="32" fillId="0" borderId="2" xfId="5" applyFont="1" applyBorder="1" applyAlignment="1">
      <alignment horizontal="center"/>
    </xf>
    <xf numFmtId="0" fontId="7" fillId="0" borderId="2" xfId="5" applyFont="1" applyBorder="1" applyAlignment="1">
      <alignment horizontal="center"/>
    </xf>
    <xf numFmtId="0" fontId="31" fillId="0" borderId="2" xfId="5" applyFont="1" applyBorder="1" applyAlignment="1">
      <alignment horizontal="center"/>
    </xf>
    <xf numFmtId="0" fontId="0" fillId="10" borderId="0" xfId="0" applyFill="1"/>
    <xf numFmtId="168" fontId="4" fillId="0" borderId="2" xfId="5" applyNumberFormat="1" applyFont="1" applyBorder="1" applyAlignment="1">
      <alignment horizontal="right"/>
    </xf>
    <xf numFmtId="182" fontId="4" fillId="0" borderId="2" xfId="5" applyNumberFormat="1" applyFont="1" applyBorder="1" applyAlignment="1">
      <alignment horizontal="right"/>
    </xf>
    <xf numFmtId="0" fontId="0" fillId="0" borderId="0" xfId="0" applyNumberFormat="1" applyAlignment="1">
      <alignment horizontal="center"/>
    </xf>
    <xf numFmtId="0" fontId="4" fillId="0" borderId="2" xfId="5" applyFont="1" applyBorder="1" applyAlignment="1"/>
    <xf numFmtId="0" fontId="11" fillId="0" borderId="2" xfId="3" applyFont="1" applyBorder="1"/>
    <xf numFmtId="0" fontId="9" fillId="0" borderId="2" xfId="3" applyFont="1" applyBorder="1"/>
    <xf numFmtId="0" fontId="11" fillId="0" borderId="63" xfId="3" applyFont="1" applyBorder="1" applyAlignment="1">
      <alignment horizontal="center"/>
    </xf>
    <xf numFmtId="0" fontId="9" fillId="0" borderId="63" xfId="3" applyFont="1" applyBorder="1"/>
    <xf numFmtId="0" fontId="11" fillId="0" borderId="2" xfId="3" applyFont="1" applyBorder="1" applyAlignment="1">
      <alignment horizontal="center"/>
    </xf>
    <xf numFmtId="0" fontId="11" fillId="0" borderId="64" xfId="3" applyFont="1" applyBorder="1" applyAlignment="1">
      <alignment horizontal="center"/>
    </xf>
    <xf numFmtId="164" fontId="3" fillId="0" borderId="2" xfId="5" applyNumberFormat="1" applyFont="1" applyBorder="1" applyAlignment="1">
      <alignment horizontal="center"/>
    </xf>
    <xf numFmtId="0" fontId="0" fillId="9" borderId="2" xfId="0" applyFill="1" applyBorder="1" applyAlignment="1">
      <alignment horizontal="center"/>
    </xf>
    <xf numFmtId="9" fontId="3" fillId="9" borderId="2" xfId="0" applyNumberFormat="1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165" fontId="3" fillId="0" borderId="2" xfId="5" applyNumberFormat="1" applyFont="1" applyBorder="1" applyAlignment="1">
      <alignment horizontal="right"/>
    </xf>
    <xf numFmtId="0" fontId="36" fillId="0" borderId="2" xfId="5" applyFont="1" applyBorder="1" applyAlignment="1">
      <alignment horizontal="center"/>
    </xf>
    <xf numFmtId="0" fontId="36" fillId="0" borderId="73" xfId="5" applyFont="1" applyBorder="1" applyAlignment="1">
      <alignment horizontal="center"/>
    </xf>
    <xf numFmtId="0" fontId="3" fillId="0" borderId="74" xfId="5" applyFont="1" applyBorder="1" applyAlignment="1">
      <alignment horizontal="center"/>
    </xf>
    <xf numFmtId="0" fontId="36" fillId="0" borderId="75" xfId="5" applyFont="1" applyBorder="1" applyAlignment="1">
      <alignment horizontal="center"/>
    </xf>
    <xf numFmtId="0" fontId="36" fillId="0" borderId="76" xfId="5" applyFont="1" applyBorder="1" applyAlignment="1">
      <alignment horizontal="center"/>
    </xf>
    <xf numFmtId="0" fontId="36" fillId="0" borderId="77" xfId="5" applyFont="1" applyBorder="1" applyAlignment="1">
      <alignment horizontal="center"/>
    </xf>
    <xf numFmtId="0" fontId="36" fillId="0" borderId="78" xfId="5" applyFont="1" applyBorder="1" applyAlignment="1">
      <alignment horizontal="center"/>
    </xf>
    <xf numFmtId="0" fontId="3" fillId="0" borderId="79" xfId="5" applyFont="1" applyBorder="1" applyAlignment="1">
      <alignment horizontal="center"/>
    </xf>
    <xf numFmtId="0" fontId="36" fillId="0" borderId="80" xfId="5" applyFont="1" applyBorder="1" applyAlignment="1">
      <alignment horizontal="center"/>
    </xf>
    <xf numFmtId="0" fontId="1" fillId="0" borderId="73" xfId="5" applyBorder="1" applyAlignment="1">
      <alignment horizontal="center"/>
    </xf>
    <xf numFmtId="0" fontId="1" fillId="0" borderId="74" xfId="5" applyBorder="1" applyAlignment="1">
      <alignment horizontal="center"/>
    </xf>
    <xf numFmtId="0" fontId="1" fillId="0" borderId="75" xfId="5" applyBorder="1" applyAlignment="1">
      <alignment horizontal="center"/>
    </xf>
    <xf numFmtId="0" fontId="1" fillId="0" borderId="0" xfId="3" applyAlignment="1">
      <alignment horizontal="center"/>
    </xf>
    <xf numFmtId="0" fontId="1" fillId="0" borderId="78" xfId="5" applyBorder="1" applyAlignment="1">
      <alignment horizontal="center"/>
    </xf>
    <xf numFmtId="0" fontId="1" fillId="0" borderId="79" xfId="5" applyBorder="1" applyAlignment="1">
      <alignment horizontal="center"/>
    </xf>
    <xf numFmtId="0" fontId="1" fillId="0" borderId="80" xfId="5" applyBorder="1" applyAlignment="1">
      <alignment horizontal="center"/>
    </xf>
    <xf numFmtId="0" fontId="1" fillId="0" borderId="76" xfId="5" applyBorder="1" applyAlignment="1">
      <alignment horizontal="center"/>
    </xf>
    <xf numFmtId="0" fontId="1" fillId="0" borderId="77" xfId="5" applyBorder="1" applyAlignment="1">
      <alignment horizontal="center"/>
    </xf>
    <xf numFmtId="0" fontId="36" fillId="0" borderId="74" xfId="5" applyFont="1" applyBorder="1" applyAlignment="1">
      <alignment horizontal="center"/>
    </xf>
    <xf numFmtId="0" fontId="37" fillId="0" borderId="75" xfId="5" applyFont="1" applyBorder="1" applyAlignment="1">
      <alignment horizontal="center"/>
    </xf>
    <xf numFmtId="0" fontId="37" fillId="0" borderId="77" xfId="5" applyFont="1" applyBorder="1" applyAlignment="1">
      <alignment horizontal="center"/>
    </xf>
    <xf numFmtId="0" fontId="36" fillId="0" borderId="79" xfId="5" applyFont="1" applyBorder="1" applyAlignment="1">
      <alignment horizontal="center"/>
    </xf>
    <xf numFmtId="0" fontId="37" fillId="0" borderId="80" xfId="5" applyFont="1" applyBorder="1" applyAlignment="1">
      <alignment horizontal="center"/>
    </xf>
    <xf numFmtId="0" fontId="3" fillId="0" borderId="53" xfId="5" applyFont="1" applyBorder="1" applyAlignment="1">
      <alignment horizontal="center"/>
    </xf>
    <xf numFmtId="0" fontId="3" fillId="0" borderId="81" xfId="5" applyFont="1" applyBorder="1" applyAlignment="1">
      <alignment horizontal="center"/>
    </xf>
    <xf numFmtId="0" fontId="3" fillId="0" borderId="82" xfId="5" applyFont="1" applyBorder="1" applyAlignment="1">
      <alignment horizontal="center"/>
    </xf>
    <xf numFmtId="0" fontId="3" fillId="0" borderId="83" xfId="5" applyFont="1" applyBorder="1" applyAlignment="1">
      <alignment horizontal="center"/>
    </xf>
    <xf numFmtId="0" fontId="3" fillId="0" borderId="54" xfId="5" applyFont="1" applyBorder="1" applyAlignment="1">
      <alignment horizontal="center"/>
    </xf>
    <xf numFmtId="0" fontId="3" fillId="0" borderId="55" xfId="5" applyFont="1" applyBorder="1" applyAlignment="1">
      <alignment horizontal="center"/>
    </xf>
    <xf numFmtId="0" fontId="0" fillId="9" borderId="84" xfId="0" applyFill="1" applyBorder="1" applyAlignment="1">
      <alignment horizontal="center"/>
    </xf>
    <xf numFmtId="0" fontId="3" fillId="9" borderId="85" xfId="0" applyFont="1" applyFill="1" applyBorder="1" applyAlignment="1">
      <alignment horizontal="center"/>
    </xf>
    <xf numFmtId="0" fontId="0" fillId="0" borderId="86" xfId="0" applyBorder="1"/>
    <xf numFmtId="0" fontId="4" fillId="9" borderId="87" xfId="0" applyFont="1" applyFill="1" applyBorder="1" applyAlignment="1">
      <alignment horizontal="center"/>
    </xf>
    <xf numFmtId="0" fontId="1" fillId="0" borderId="84" xfId="3" applyBorder="1" applyAlignment="1">
      <alignment horizontal="center"/>
    </xf>
    <xf numFmtId="0" fontId="3" fillId="0" borderId="85" xfId="5" applyFont="1" applyBorder="1" applyAlignment="1">
      <alignment horizontal="center"/>
    </xf>
    <xf numFmtId="0" fontId="4" fillId="0" borderId="87" xfId="5" applyFont="1" applyBorder="1" applyAlignment="1">
      <alignment horizontal="center"/>
    </xf>
    <xf numFmtId="0" fontId="27" fillId="0" borderId="0" xfId="0" applyFont="1"/>
    <xf numFmtId="0" fontId="9" fillId="0" borderId="0" xfId="0" applyFont="1"/>
    <xf numFmtId="22" fontId="3" fillId="0" borderId="2" xfId="5" applyNumberFormat="1" applyFont="1" applyBorder="1"/>
    <xf numFmtId="19" fontId="3" fillId="0" borderId="2" xfId="5" applyNumberFormat="1" applyFont="1" applyBorder="1" applyAlignment="1">
      <alignment horizontal="center"/>
    </xf>
    <xf numFmtId="0" fontId="1" fillId="0" borderId="2" xfId="5" applyBorder="1" applyAlignment="1">
      <alignment horizontal="right"/>
    </xf>
    <xf numFmtId="3" fontId="4" fillId="0" borderId="2" xfId="5" applyNumberFormat="1" applyFont="1" applyBorder="1" applyAlignment="1">
      <alignment horizontal="center"/>
    </xf>
    <xf numFmtId="0" fontId="4" fillId="0" borderId="88" xfId="0" quotePrefix="1" applyFont="1" applyBorder="1" applyAlignment="1">
      <alignment horizontal="centerContinuous"/>
    </xf>
    <xf numFmtId="0" fontId="0" fillId="0" borderId="88" xfId="0" applyBorder="1" applyAlignment="1">
      <alignment horizontal="centerContinuous"/>
    </xf>
    <xf numFmtId="0" fontId="25" fillId="0" borderId="0" xfId="0" applyFont="1" applyAlignment="1">
      <alignment horizontal="centerContinuous"/>
    </xf>
    <xf numFmtId="3" fontId="3" fillId="0" borderId="89" xfId="5" applyNumberFormat="1" applyFont="1" applyBorder="1" applyAlignment="1">
      <alignment horizontal="center"/>
    </xf>
    <xf numFmtId="3" fontId="1" fillId="0" borderId="2" xfId="3" applyNumberFormat="1" applyBorder="1" applyAlignment="1">
      <alignment horizontal="center"/>
    </xf>
    <xf numFmtId="3" fontId="3" fillId="0" borderId="90" xfId="5" applyNumberFormat="1" applyFont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Continuous"/>
    </xf>
    <xf numFmtId="3" fontId="1" fillId="0" borderId="4" xfId="3" applyNumberFormat="1" applyBorder="1" applyAlignment="1">
      <alignment horizontal="right"/>
    </xf>
    <xf numFmtId="3" fontId="4" fillId="0" borderId="91" xfId="5" applyNumberFormat="1" applyFont="1" applyBorder="1" applyAlignment="1">
      <alignment horizontal="center"/>
    </xf>
    <xf numFmtId="3" fontId="4" fillId="0" borderId="90" xfId="5" applyNumberFormat="1" applyFont="1" applyBorder="1" applyAlignment="1">
      <alignment horizontal="center"/>
    </xf>
    <xf numFmtId="3" fontId="4" fillId="0" borderId="89" xfId="5" applyNumberFormat="1" applyFont="1" applyBorder="1" applyAlignment="1">
      <alignment horizontal="center"/>
    </xf>
    <xf numFmtId="0" fontId="4" fillId="0" borderId="92" xfId="0" quotePrefix="1" applyFont="1" applyBorder="1" applyAlignment="1">
      <alignment horizontal="centerContinuous"/>
    </xf>
    <xf numFmtId="0" fontId="0" fillId="0" borderId="93" xfId="0" applyBorder="1" applyAlignment="1">
      <alignment horizontal="centerContinuous"/>
    </xf>
    <xf numFmtId="0" fontId="0" fillId="0" borderId="94" xfId="0" applyBorder="1" applyAlignment="1">
      <alignment horizontal="centerContinuous"/>
    </xf>
    <xf numFmtId="0" fontId="0" fillId="0" borderId="95" xfId="0" applyBorder="1" applyAlignment="1"/>
    <xf numFmtId="0" fontId="25" fillId="0" borderId="96" xfId="0" applyFont="1" applyBorder="1" applyAlignment="1">
      <alignment horizontal="center"/>
    </xf>
    <xf numFmtId="0" fontId="0" fillId="0" borderId="97" xfId="0" applyBorder="1" applyAlignment="1"/>
    <xf numFmtId="0" fontId="0" fillId="0" borderId="95" xfId="0" applyBorder="1" applyAlignment="1">
      <alignment horizontal="centerContinuous"/>
    </xf>
    <xf numFmtId="0" fontId="0" fillId="0" borderId="96" xfId="0" applyBorder="1" applyAlignment="1">
      <alignment horizontal="centerContinuous"/>
    </xf>
    <xf numFmtId="0" fontId="0" fillId="0" borderId="97" xfId="0" applyBorder="1" applyAlignment="1">
      <alignment horizontal="centerContinuous"/>
    </xf>
    <xf numFmtId="0" fontId="0" fillId="0" borderId="98" xfId="0" applyBorder="1" applyAlignment="1">
      <alignment horizontal="centerContinuous"/>
    </xf>
    <xf numFmtId="0" fontId="0" fillId="0" borderId="99" xfId="0" applyBorder="1" applyAlignment="1">
      <alignment horizontal="centerContinuous"/>
    </xf>
    <xf numFmtId="0" fontId="0" fillId="0" borderId="100" xfId="0" applyBorder="1" applyAlignment="1">
      <alignment horizontal="centerContinuous"/>
    </xf>
    <xf numFmtId="187" fontId="3" fillId="0" borderId="2" xfId="5" applyNumberFormat="1" applyFont="1" applyBorder="1" applyAlignment="1">
      <alignment horizontal="center"/>
    </xf>
    <xf numFmtId="181" fontId="4" fillId="0" borderId="2" xfId="5" applyNumberFormat="1" applyFont="1" applyBorder="1" applyAlignment="1">
      <alignment horizontal="center"/>
    </xf>
    <xf numFmtId="0" fontId="1" fillId="0" borderId="0" xfId="3" applyAlignment="1">
      <alignment horizontal="right"/>
    </xf>
    <xf numFmtId="12" fontId="3" fillId="0" borderId="2" xfId="5" applyNumberFormat="1" applyFont="1" applyBorder="1" applyAlignment="1">
      <alignment horizontal="center"/>
    </xf>
    <xf numFmtId="179" fontId="3" fillId="0" borderId="2" xfId="5" applyNumberFormat="1" applyFont="1" applyBorder="1" applyAlignment="1">
      <alignment horizontal="center"/>
    </xf>
    <xf numFmtId="22" fontId="4" fillId="0" borderId="2" xfId="5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4" xfId="3" applyBorder="1" applyAlignment="1">
      <alignment horizontal="center" wrapText="1"/>
    </xf>
    <xf numFmtId="0" fontId="1" fillId="0" borderId="7" xfId="3" applyBorder="1" applyAlignment="1">
      <alignment horizontal="center" wrapText="1"/>
    </xf>
    <xf numFmtId="0" fontId="1" fillId="0" borderId="5" xfId="3" applyBorder="1" applyAlignment="1">
      <alignment horizontal="center" wrapText="1"/>
    </xf>
    <xf numFmtId="174" fontId="4" fillId="0" borderId="2" xfId="5" applyNumberFormat="1" applyFont="1" applyBorder="1" applyAlignment="1">
      <alignment horizontal="center"/>
    </xf>
    <xf numFmtId="0" fontId="1" fillId="0" borderId="0" xfId="0" applyFont="1"/>
    <xf numFmtId="9" fontId="0" fillId="0" borderId="0" xfId="0" applyNumberFormat="1"/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/>
    <xf numFmtId="183" fontId="4" fillId="0" borderId="2" xfId="5" quotePrefix="1" applyNumberFormat="1" applyFont="1" applyBorder="1"/>
    <xf numFmtId="0" fontId="4" fillId="0" borderId="2" xfId="5" quotePrefix="1" applyFont="1" applyBorder="1" applyAlignment="1">
      <alignment horizontal="center"/>
    </xf>
    <xf numFmtId="0" fontId="1" fillId="0" borderId="0" xfId="2" quotePrefix="1" applyNumberFormat="1" applyFont="1"/>
    <xf numFmtId="0" fontId="1" fillId="0" borderId="0" xfId="0" quotePrefix="1" applyFont="1"/>
    <xf numFmtId="0" fontId="40" fillId="0" borderId="2" xfId="3" applyFont="1" applyBorder="1" applyAlignment="1">
      <alignment horizontal="center"/>
    </xf>
    <xf numFmtId="186" fontId="4" fillId="0" borderId="2" xfId="5" applyNumberFormat="1" applyFont="1" applyBorder="1" applyAlignment="1">
      <alignment horizontal="center"/>
    </xf>
    <xf numFmtId="165" fontId="0" fillId="0" borderId="0" xfId="0" applyNumberFormat="1"/>
    <xf numFmtId="0" fontId="0" fillId="0" borderId="22" xfId="0" applyBorder="1"/>
    <xf numFmtId="0" fontId="1" fillId="0" borderId="101" xfId="5" applyBorder="1" applyAlignment="1">
      <alignment horizontal="center"/>
    </xf>
    <xf numFmtId="0" fontId="4" fillId="0" borderId="101" xfId="5" applyFont="1" applyBorder="1" applyAlignment="1">
      <alignment horizontal="center"/>
    </xf>
    <xf numFmtId="0" fontId="1" fillId="0" borderId="84" xfId="5" applyBorder="1" applyAlignment="1">
      <alignment horizontal="center"/>
    </xf>
    <xf numFmtId="0" fontId="4" fillId="0" borderId="63" xfId="5" applyFont="1" applyBorder="1" applyAlignment="1">
      <alignment horizontal="center"/>
    </xf>
    <xf numFmtId="0" fontId="1" fillId="0" borderId="85" xfId="5" applyBorder="1" applyAlignment="1">
      <alignment horizontal="center"/>
    </xf>
    <xf numFmtId="0" fontId="1" fillId="0" borderId="87" xfId="5" applyBorder="1" applyAlignment="1">
      <alignment horizontal="center"/>
    </xf>
    <xf numFmtId="0" fontId="1" fillId="0" borderId="20" xfId="5" applyBorder="1" applyAlignment="1">
      <alignment horizontal="center"/>
    </xf>
    <xf numFmtId="0" fontId="1" fillId="0" borderId="64" xfId="5" applyBorder="1" applyAlignment="1">
      <alignment horizontal="center"/>
    </xf>
    <xf numFmtId="0" fontId="4" fillId="0" borderId="64" xfId="5" applyFont="1" applyBorder="1" applyAlignment="1">
      <alignment horizontal="center"/>
    </xf>
    <xf numFmtId="0" fontId="1" fillId="0" borderId="4" xfId="5" applyBorder="1"/>
    <xf numFmtId="0" fontId="1" fillId="0" borderId="5" xfId="5" applyBorder="1"/>
    <xf numFmtId="175" fontId="3" fillId="0" borderId="2" xfId="5" applyNumberFormat="1" applyFont="1" applyBorder="1" applyAlignment="1">
      <alignment horizontal="center"/>
    </xf>
    <xf numFmtId="166" fontId="3" fillId="0" borderId="2" xfId="5" applyNumberFormat="1" applyFont="1" applyBorder="1"/>
    <xf numFmtId="21" fontId="3" fillId="0" borderId="2" xfId="5" applyNumberFormat="1" applyFont="1" applyBorder="1" applyAlignment="1">
      <alignment horizontal="center"/>
    </xf>
    <xf numFmtId="182" fontId="3" fillId="0" borderId="2" xfId="5" applyNumberFormat="1" applyFont="1" applyBorder="1" applyAlignment="1">
      <alignment horizontal="right"/>
    </xf>
    <xf numFmtId="177" fontId="4" fillId="0" borderId="2" xfId="5" applyNumberFormat="1" applyFont="1" applyBorder="1" applyAlignment="1">
      <alignment horizontal="center"/>
    </xf>
    <xf numFmtId="0" fontId="41" fillId="0" borderId="0" xfId="0" applyFont="1"/>
    <xf numFmtId="0" fontId="0" fillId="0" borderId="0" xfId="0" quotePrefix="1" applyBorder="1"/>
    <xf numFmtId="0" fontId="1" fillId="0" borderId="0" xfId="0" quotePrefix="1" applyFont="1" applyBorder="1"/>
    <xf numFmtId="17" fontId="36" fillId="0" borderId="2" xfId="5" applyNumberFormat="1" applyFont="1" applyBorder="1" applyAlignment="1">
      <alignment horizontal="center"/>
    </xf>
    <xf numFmtId="17" fontId="1" fillId="0" borderId="2" xfId="3" applyNumberFormat="1" applyBorder="1" applyAlignment="1">
      <alignment horizontal="center"/>
    </xf>
    <xf numFmtId="0" fontId="37" fillId="0" borderId="2" xfId="5" applyFont="1" applyBorder="1" applyAlignment="1">
      <alignment horizontal="center"/>
    </xf>
    <xf numFmtId="0" fontId="4" fillId="0" borderId="0" xfId="0" applyFont="1" applyBorder="1"/>
    <xf numFmtId="0" fontId="1" fillId="0" borderId="4" xfId="3" applyFont="1" applyBorder="1"/>
    <xf numFmtId="9" fontId="1" fillId="0" borderId="2" xfId="5" applyNumberFormat="1" applyBorder="1" applyAlignment="1">
      <alignment horizontal="center"/>
    </xf>
    <xf numFmtId="165" fontId="1" fillId="0" borderId="2" xfId="5" applyNumberFormat="1" applyBorder="1"/>
    <xf numFmtId="9" fontId="1" fillId="0" borderId="0" xfId="4"/>
    <xf numFmtId="9" fontId="2" fillId="0" borderId="1" xfId="4" applyFont="1" applyBorder="1"/>
    <xf numFmtId="165" fontId="2" fillId="0" borderId="1" xfId="0" applyNumberFormat="1" applyFont="1" applyBorder="1"/>
    <xf numFmtId="0" fontId="1" fillId="0" borderId="7" xfId="3" applyFont="1" applyBorder="1" applyAlignment="1">
      <alignment horizontal="center"/>
    </xf>
    <xf numFmtId="0" fontId="0" fillId="0" borderId="0" xfId="0" quotePrefix="1" applyAlignment="1">
      <alignment horizontal="centerContinuous"/>
    </xf>
    <xf numFmtId="166" fontId="2" fillId="0" borderId="1" xfId="0" applyNumberFormat="1" applyFont="1" applyBorder="1"/>
    <xf numFmtId="182" fontId="1" fillId="0" borderId="2" xfId="5" applyNumberFormat="1" applyBorder="1"/>
    <xf numFmtId="182" fontId="0" fillId="0" borderId="0" xfId="0" applyNumberFormat="1" applyAlignment="1">
      <alignment horizontal="right"/>
    </xf>
    <xf numFmtId="21" fontId="4" fillId="0" borderId="2" xfId="5" applyNumberFormat="1" applyFont="1" applyBorder="1" applyAlignment="1">
      <alignment horizontal="center"/>
    </xf>
    <xf numFmtId="19" fontId="4" fillId="0" borderId="2" xfId="5" applyNumberFormat="1" applyFont="1" applyBorder="1" applyAlignment="1">
      <alignment horizontal="center"/>
    </xf>
    <xf numFmtId="178" fontId="4" fillId="0" borderId="2" xfId="5" applyNumberFormat="1" applyFont="1" applyBorder="1" applyAlignment="1">
      <alignment horizontal="center"/>
    </xf>
    <xf numFmtId="0" fontId="3" fillId="0" borderId="2" xfId="5" quotePrefix="1" applyFont="1" applyBorder="1" applyAlignment="1">
      <alignment horizontal="left"/>
    </xf>
    <xf numFmtId="173" fontId="3" fillId="0" borderId="2" xfId="5" applyNumberFormat="1" applyFont="1" applyBorder="1" applyAlignment="1">
      <alignment horizontal="center"/>
    </xf>
    <xf numFmtId="0" fontId="4" fillId="0" borderId="2" xfId="0" applyFont="1" applyBorder="1"/>
    <xf numFmtId="0" fontId="0" fillId="0" borderId="2" xfId="0" applyBorder="1"/>
    <xf numFmtId="188" fontId="3" fillId="0" borderId="2" xfId="5" applyNumberFormat="1" applyFont="1" applyBorder="1" applyAlignment="1">
      <alignment horizontal="center"/>
    </xf>
    <xf numFmtId="188" fontId="4" fillId="0" borderId="2" xfId="5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3" fillId="0" borderId="2" xfId="5" applyFont="1" applyBorder="1" applyAlignment="1">
      <alignment horizontal="left"/>
    </xf>
    <xf numFmtId="20" fontId="4" fillId="0" borderId="2" xfId="5" applyNumberFormat="1" applyFont="1" applyBorder="1"/>
    <xf numFmtId="0" fontId="30" fillId="0" borderId="102" xfId="3" applyFont="1" applyBorder="1" applyAlignment="1">
      <alignment horizontal="center"/>
    </xf>
    <xf numFmtId="0" fontId="30" fillId="0" borderId="103" xfId="3" applyFont="1" applyBorder="1" applyAlignment="1">
      <alignment horizontal="center"/>
    </xf>
    <xf numFmtId="0" fontId="30" fillId="0" borderId="104" xfId="3" applyFont="1" applyBorder="1" applyAlignment="1">
      <alignment horizontal="center"/>
    </xf>
    <xf numFmtId="0" fontId="17" fillId="0" borderId="36" xfId="3" applyFont="1" applyBorder="1"/>
    <xf numFmtId="0" fontId="3" fillId="0" borderId="37" xfId="5" applyFont="1" applyBorder="1" applyAlignment="1">
      <alignment horizontal="center"/>
    </xf>
    <xf numFmtId="0" fontId="3" fillId="0" borderId="38" xfId="5" applyFont="1" applyBorder="1" applyAlignment="1">
      <alignment horizontal="center"/>
    </xf>
    <xf numFmtId="0" fontId="17" fillId="0" borderId="39" xfId="3" applyFont="1" applyBorder="1"/>
    <xf numFmtId="0" fontId="3" fillId="0" borderId="40" xfId="5" applyFont="1" applyBorder="1" applyAlignment="1">
      <alignment horizontal="center"/>
    </xf>
    <xf numFmtId="0" fontId="17" fillId="0" borderId="41" xfId="3" applyFont="1" applyBorder="1"/>
    <xf numFmtId="0" fontId="3" fillId="0" borderId="105" xfId="5" applyFont="1" applyBorder="1" applyAlignment="1">
      <alignment horizontal="center"/>
    </xf>
    <xf numFmtId="0" fontId="5" fillId="0" borderId="106" xfId="3" applyFont="1" applyBorder="1"/>
    <xf numFmtId="0" fontId="5" fillId="0" borderId="107" xfId="3" applyFont="1" applyBorder="1"/>
    <xf numFmtId="0" fontId="5" fillId="0" borderId="108" xfId="3" applyFont="1" applyBorder="1"/>
    <xf numFmtId="0" fontId="5" fillId="0" borderId="36" xfId="3" applyFont="1" applyBorder="1" applyAlignment="1">
      <alignment horizontal="center"/>
    </xf>
    <xf numFmtId="165" fontId="3" fillId="0" borderId="38" xfId="5" applyNumberFormat="1" applyFont="1" applyBorder="1" applyAlignment="1">
      <alignment horizontal="center"/>
    </xf>
    <xf numFmtId="0" fontId="5" fillId="0" borderId="45" xfId="3" applyFont="1" applyBorder="1"/>
    <xf numFmtId="9" fontId="3" fillId="0" borderId="56" xfId="5" applyNumberFormat="1" applyFont="1" applyBorder="1"/>
    <xf numFmtId="9" fontId="3" fillId="0" borderId="46" xfId="5" applyNumberFormat="1" applyFont="1" applyBorder="1"/>
    <xf numFmtId="0" fontId="5" fillId="0" borderId="39" xfId="3" applyFont="1" applyBorder="1" applyAlignment="1">
      <alignment horizontal="center"/>
    </xf>
    <xf numFmtId="165" fontId="3" fillId="0" borderId="40" xfId="5" applyNumberFormat="1" applyFont="1" applyBorder="1" applyAlignment="1">
      <alignment horizontal="center"/>
    </xf>
    <xf numFmtId="0" fontId="5" fillId="0" borderId="58" xfId="3" applyFont="1" applyBorder="1"/>
    <xf numFmtId="9" fontId="3" fillId="0" borderId="59" xfId="5" applyNumberFormat="1" applyFont="1" applyBorder="1"/>
    <xf numFmtId="0" fontId="5" fillId="0" borderId="41" xfId="3" applyFont="1" applyBorder="1" applyAlignment="1">
      <alignment horizontal="center"/>
    </xf>
    <xf numFmtId="165" fontId="3" fillId="0" borderId="105" xfId="5" applyNumberFormat="1" applyFont="1" applyBorder="1" applyAlignment="1">
      <alignment horizontal="center"/>
    </xf>
    <xf numFmtId="0" fontId="5" fillId="0" borderId="47" xfId="3" applyFont="1" applyBorder="1"/>
    <xf numFmtId="9" fontId="3" fillId="0" borderId="57" xfId="5" applyNumberFormat="1" applyFont="1" applyBorder="1"/>
    <xf numFmtId="9" fontId="3" fillId="0" borderId="48" xfId="5" applyNumberFormat="1" applyFont="1" applyBorder="1"/>
    <xf numFmtId="170" fontId="4" fillId="0" borderId="2" xfId="5" applyNumberFormat="1" applyFont="1" applyBorder="1" applyAlignment="1">
      <alignment horizontal="center"/>
    </xf>
    <xf numFmtId="167" fontId="4" fillId="0" borderId="2" xfId="5" applyNumberFormat="1" applyFont="1" applyBorder="1" applyAlignment="1">
      <alignment horizontal="center"/>
    </xf>
    <xf numFmtId="165" fontId="1" fillId="0" borderId="2" xfId="5" applyNumberFormat="1" applyBorder="1" applyAlignment="1">
      <alignment horizontal="center"/>
    </xf>
    <xf numFmtId="179" fontId="4" fillId="0" borderId="2" xfId="5" applyNumberFormat="1" applyFont="1" applyBorder="1" applyAlignment="1">
      <alignment horizontal="center"/>
    </xf>
    <xf numFmtId="179" fontId="3" fillId="0" borderId="101" xfId="5" applyNumberFormat="1" applyFont="1" applyBorder="1" applyAlignment="1">
      <alignment horizontal="center"/>
    </xf>
    <xf numFmtId="179" fontId="3" fillId="0" borderId="64" xfId="5" applyNumberFormat="1" applyFont="1" applyBorder="1" applyAlignment="1">
      <alignment horizontal="center"/>
    </xf>
    <xf numFmtId="0" fontId="0" fillId="0" borderId="0" xfId="0" applyFill="1" applyBorder="1"/>
    <xf numFmtId="49" fontId="4" fillId="0" borderId="0" xfId="6" applyNumberFormat="1" applyFont="1" applyFill="1" applyBorder="1" applyAlignment="1" applyProtection="1">
      <alignment horizontal="left"/>
      <protection hidden="1"/>
    </xf>
    <xf numFmtId="191" fontId="4" fillId="0" borderId="0" xfId="6" applyNumberFormat="1" applyFont="1" applyFill="1" applyBorder="1" applyAlignment="1" applyProtection="1">
      <alignment horizontal="left"/>
      <protection hidden="1"/>
    </xf>
    <xf numFmtId="0" fontId="4" fillId="0" borderId="0" xfId="6" applyFont="1" applyFill="1" applyBorder="1" applyProtection="1">
      <protection hidden="1"/>
    </xf>
    <xf numFmtId="0" fontId="4" fillId="0" borderId="0" xfId="6" applyFont="1" applyFill="1" applyBorder="1" applyAlignment="1" applyProtection="1">
      <alignment horizontal="left"/>
      <protection hidden="1"/>
    </xf>
    <xf numFmtId="0" fontId="8" fillId="11" borderId="0" xfId="0" applyFont="1" applyFill="1" applyBorder="1"/>
    <xf numFmtId="0" fontId="0" fillId="11" borderId="0" xfId="0" applyFill="1"/>
    <xf numFmtId="0" fontId="0" fillId="11" borderId="0" xfId="0" applyFill="1" applyBorder="1"/>
    <xf numFmtId="0" fontId="0" fillId="12" borderId="0" xfId="0" applyFill="1"/>
    <xf numFmtId="0" fontId="0" fillId="0" borderId="0" xfId="0" applyProtection="1"/>
    <xf numFmtId="0" fontId="1" fillId="0" borderId="2" xfId="3" applyBorder="1" applyAlignment="1" applyProtection="1">
      <alignment horizontal="center"/>
    </xf>
    <xf numFmtId="0" fontId="1" fillId="0" borderId="2" xfId="3" applyBorder="1" applyProtection="1"/>
    <xf numFmtId="0" fontId="3" fillId="0" borderId="2" xfId="5" applyFont="1" applyBorder="1" applyAlignment="1" applyProtection="1">
      <alignment horizontal="center"/>
    </xf>
    <xf numFmtId="0" fontId="4" fillId="0" borderId="2" xfId="5" applyFont="1" applyBorder="1" applyAlignment="1" applyProtection="1">
      <alignment horizontal="center"/>
    </xf>
    <xf numFmtId="0" fontId="4" fillId="0" borderId="0" xfId="0" applyFont="1" applyProtection="1"/>
    <xf numFmtId="0" fontId="2" fillId="0" borderId="1" xfId="0" applyFont="1" applyBorder="1" applyProtection="1"/>
    <xf numFmtId="0" fontId="0" fillId="0" borderId="0" xfId="0" quotePrefix="1" applyProtection="1"/>
    <xf numFmtId="15" fontId="3" fillId="0" borderId="2" xfId="5" applyNumberFormat="1" applyFont="1" applyBorder="1" applyProtection="1"/>
    <xf numFmtId="0" fontId="4" fillId="0" borderId="0" xfId="5" applyFont="1" applyProtection="1"/>
    <xf numFmtId="0" fontId="1" fillId="0" borderId="0" xfId="5" applyProtection="1"/>
    <xf numFmtId="0" fontId="13" fillId="0" borderId="0" xfId="0" applyFont="1" applyProtection="1"/>
    <xf numFmtId="0" fontId="11" fillId="0" borderId="3" xfId="0" applyFont="1" applyBorder="1" applyProtection="1"/>
    <xf numFmtId="0" fontId="1" fillId="0" borderId="2" xfId="3" applyFont="1" applyBorder="1" applyProtection="1"/>
    <xf numFmtId="2" fontId="4" fillId="0" borderId="2" xfId="5" applyNumberFormat="1" applyFont="1" applyBorder="1" applyProtection="1"/>
    <xf numFmtId="0" fontId="1" fillId="0" borderId="2" xfId="3" applyBorder="1" applyAlignment="1" applyProtection="1">
      <alignment horizontal="center" wrapText="1"/>
    </xf>
    <xf numFmtId="0" fontId="1" fillId="0" borderId="2" xfId="3" applyBorder="1" applyAlignment="1" applyProtection="1">
      <alignment horizontal="center" vertical="center" wrapText="1"/>
    </xf>
    <xf numFmtId="0" fontId="1" fillId="0" borderId="2" xfId="3" applyBorder="1" applyAlignment="1" applyProtection="1">
      <alignment horizontal="center" vertical="center"/>
    </xf>
    <xf numFmtId="0" fontId="1" fillId="0" borderId="2" xfId="5" applyBorder="1" applyAlignment="1" applyProtection="1">
      <alignment horizontal="center"/>
    </xf>
    <xf numFmtId="9" fontId="4" fillId="0" borderId="2" xfId="5" applyNumberFormat="1" applyFont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1" fillId="0" borderId="2" xfId="3" applyBorder="1" applyAlignment="1" applyProtection="1">
      <alignment horizontal="centerContinuous"/>
    </xf>
    <xf numFmtId="0" fontId="4" fillId="0" borderId="0" xfId="0" applyFont="1" applyAlignment="1" applyProtection="1">
      <alignment horizontal="left"/>
    </xf>
    <xf numFmtId="0" fontId="14" fillId="0" borderId="0" xfId="0" applyFont="1" applyAlignment="1" applyProtection="1">
      <alignment horizontal="center"/>
    </xf>
    <xf numFmtId="0" fontId="4" fillId="0" borderId="2" xfId="3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1" fillId="0" borderId="4" xfId="3" applyBorder="1" applyAlignment="1" applyProtection="1">
      <alignment horizontal="center"/>
    </xf>
    <xf numFmtId="0" fontId="3" fillId="0" borderId="2" xfId="5" applyFont="1" applyBorder="1" applyAlignment="1" applyProtection="1">
      <alignment horizontal="right"/>
    </xf>
    <xf numFmtId="0" fontId="0" fillId="0" borderId="3" xfId="0" applyBorder="1" applyProtection="1"/>
    <xf numFmtId="0" fontId="3" fillId="0" borderId="2" xfId="5" applyFont="1" applyBorder="1" applyProtection="1"/>
    <xf numFmtId="0" fontId="4" fillId="0" borderId="2" xfId="5" applyFont="1" applyBorder="1" applyProtection="1"/>
    <xf numFmtId="0" fontId="23" fillId="11" borderId="0" xfId="0" applyFont="1" applyFill="1" applyBorder="1"/>
    <xf numFmtId="0" fontId="23" fillId="11" borderId="0" xfId="0" applyFont="1" applyFill="1" applyBorder="1" applyAlignment="1">
      <alignment horizontal="center"/>
    </xf>
    <xf numFmtId="49" fontId="8" fillId="11" borderId="0" xfId="0" applyNumberFormat="1" applyFont="1" applyFill="1" applyBorder="1" applyAlignment="1">
      <alignment horizontal="left"/>
    </xf>
    <xf numFmtId="0" fontId="8" fillId="11" borderId="0" xfId="0" applyFont="1" applyFill="1" applyBorder="1" applyAlignment="1">
      <alignment horizontal="left"/>
    </xf>
    <xf numFmtId="0" fontId="42" fillId="11" borderId="0" xfId="0" applyFont="1" applyFill="1" applyBorder="1"/>
    <xf numFmtId="0" fontId="27" fillId="11" borderId="0" xfId="0" applyFont="1" applyFill="1" applyBorder="1"/>
    <xf numFmtId="0" fontId="43" fillId="0" borderId="0" xfId="0" applyFont="1"/>
    <xf numFmtId="0" fontId="44" fillId="0" borderId="0" xfId="0" applyFont="1"/>
    <xf numFmtId="0" fontId="45" fillId="12" borderId="0" xfId="0" applyFont="1" applyFill="1" applyAlignment="1">
      <alignment horizontal="right" vertical="center"/>
    </xf>
    <xf numFmtId="0" fontId="46" fillId="12" borderId="0" xfId="0" applyFont="1" applyFill="1"/>
    <xf numFmtId="193" fontId="19" fillId="0" borderId="0" xfId="0" applyNumberFormat="1" applyFont="1" applyFill="1" applyAlignment="1">
      <alignment horizontal="center" vertical="center"/>
    </xf>
    <xf numFmtId="0" fontId="0" fillId="0" borderId="0" xfId="0" applyProtection="1">
      <protection locked="0"/>
    </xf>
    <xf numFmtId="193" fontId="45" fillId="12" borderId="0" xfId="0" applyNumberFormat="1" applyFont="1" applyFill="1" applyAlignment="1">
      <alignment horizontal="left" vertical="center"/>
    </xf>
    <xf numFmtId="193" fontId="19" fillId="0" borderId="0" xfId="0" applyNumberFormat="1" applyFont="1" applyFill="1" applyAlignment="1">
      <alignment horizontal="left" vertical="center"/>
    </xf>
  </cellXfs>
  <cellStyles count="7">
    <cellStyle name="Comma" xfId="1" builtinId="3"/>
    <cellStyle name="Currency_ExcelFormu" xfId="2"/>
    <cellStyle name="GreyOrWhite" xfId="3"/>
    <cellStyle name="Normal" xfId="0" builtinId="0"/>
    <cellStyle name="Percent" xfId="4" builtinId="5"/>
    <cellStyle name="Yellow" xfId="5"/>
    <cellStyle name="Yellow_ExcelFormulae" xfId="6"/>
  </cellStyles>
  <dxfs count="1">
    <dxf>
      <font>
        <b/>
        <i val="0"/>
        <strike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externalLink" Target="externalLinks/externalLink3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theme" Target="theme/theme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gif"/><Relationship Id="rId3" Type="http://schemas.openxmlformats.org/officeDocument/2006/relationships/hyperlink" Target="#Home!A1"/><Relationship Id="rId7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hyperlink" Target="http://www.sanketham.tk/" TargetMode="External"/><Relationship Id="rId5" Type="http://schemas.openxmlformats.org/officeDocument/2006/relationships/hyperlink" Target="#Help!A1"/><Relationship Id="rId4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hyperlink" Target="#ROUNDDOWN!A1"/><Relationship Id="rId21" Type="http://schemas.openxmlformats.org/officeDocument/2006/relationships/hyperlink" Target="#COUNTA!A1"/><Relationship Id="rId42" Type="http://schemas.openxmlformats.org/officeDocument/2006/relationships/hyperlink" Target="#EOMONTH!A1"/><Relationship Id="rId63" Type="http://schemas.openxmlformats.org/officeDocument/2006/relationships/hyperlink" Target="#INT!A1"/><Relationship Id="rId84" Type="http://schemas.openxmlformats.org/officeDocument/2006/relationships/hyperlink" Target="#MID!A1"/><Relationship Id="rId138" Type="http://schemas.openxmlformats.org/officeDocument/2006/relationships/hyperlink" Target="#' Time Calculation'!A1"/><Relationship Id="rId159" Type="http://schemas.openxmlformats.org/officeDocument/2006/relationships/hyperlink" Target="#Home!A6"/><Relationship Id="rId107" Type="http://schemas.openxmlformats.org/officeDocument/2006/relationships/hyperlink" Target="#QUARTILE!A1"/><Relationship Id="rId11" Type="http://schemas.openxmlformats.org/officeDocument/2006/relationships/hyperlink" Target="#CELL!A1"/><Relationship Id="rId32" Type="http://schemas.openxmlformats.org/officeDocument/2006/relationships/hyperlink" Target="#DCOUNTA!A1"/><Relationship Id="rId53" Type="http://schemas.openxmlformats.org/officeDocument/2006/relationships/hyperlink" Target="#GCD!A1"/><Relationship Id="rId74" Type="http://schemas.openxmlformats.org/officeDocument/2006/relationships/hyperlink" Target="#ISTEXT!A1"/><Relationship Id="rId128" Type="http://schemas.openxmlformats.org/officeDocument/2006/relationships/hyperlink" Target="#SUM!A1"/><Relationship Id="rId149" Type="http://schemas.openxmlformats.org/officeDocument/2006/relationships/hyperlink" Target="#VARP!A1"/><Relationship Id="rId5" Type="http://schemas.openxmlformats.org/officeDocument/2006/relationships/hyperlink" Target="#AND!A1"/><Relationship Id="rId95" Type="http://schemas.openxmlformats.org/officeDocument/2006/relationships/hyperlink" Target="#NETWORKDAYS!A1"/><Relationship Id="rId22" Type="http://schemas.openxmlformats.org/officeDocument/2006/relationships/hyperlink" Target="#COUNTBLANK!A1"/><Relationship Id="rId43" Type="http://schemas.openxmlformats.org/officeDocument/2006/relationships/hyperlink" Target="#ERROR.TYPE!A1"/><Relationship Id="rId64" Type="http://schemas.openxmlformats.org/officeDocument/2006/relationships/hyperlink" Target="#ISBLANK!A1"/><Relationship Id="rId118" Type="http://schemas.openxmlformats.org/officeDocument/2006/relationships/hyperlink" Target="#ROUNDUP!A1"/><Relationship Id="rId139" Type="http://schemas.openxmlformats.org/officeDocument/2006/relationships/hyperlink" Target="#' TimeSheet For Flexi'!A1"/><Relationship Id="rId80" Type="http://schemas.openxmlformats.org/officeDocument/2006/relationships/hyperlink" Target="#LOWER!A1"/><Relationship Id="rId85" Type="http://schemas.openxmlformats.org/officeDocument/2006/relationships/hyperlink" Target="#MIN!A1"/><Relationship Id="rId150" Type="http://schemas.openxmlformats.org/officeDocument/2006/relationships/hyperlink" Target="#VLOOKUP!A1"/><Relationship Id="rId155" Type="http://schemas.openxmlformats.org/officeDocument/2006/relationships/hyperlink" Target="http://www.sanketham.tk/" TargetMode="External"/><Relationship Id="rId12" Type="http://schemas.openxmlformats.org/officeDocument/2006/relationships/hyperlink" Target="#CHAR!A1"/><Relationship Id="rId17" Type="http://schemas.openxmlformats.org/officeDocument/2006/relationships/hyperlink" Target="#CONCATENATE!A1"/><Relationship Id="rId33" Type="http://schemas.openxmlformats.org/officeDocument/2006/relationships/hyperlink" Target="#DEC2BIN!A1"/><Relationship Id="rId38" Type="http://schemas.openxmlformats.org/officeDocument/2006/relationships/hyperlink" Target="#DMIN!A1"/><Relationship Id="rId59" Type="http://schemas.openxmlformats.org/officeDocument/2006/relationships/hyperlink" Target="#INDEX!A1"/><Relationship Id="rId103" Type="http://schemas.openxmlformats.org/officeDocument/2006/relationships/hyperlink" Target="#PI!A1"/><Relationship Id="rId108" Type="http://schemas.openxmlformats.org/officeDocument/2006/relationships/hyperlink" Target="#QUOTIENT!A1"/><Relationship Id="rId124" Type="http://schemas.openxmlformats.org/officeDocument/2006/relationships/hyperlink" Target="#' Split ForenameSurname'!A1"/><Relationship Id="rId129" Type="http://schemas.openxmlformats.org/officeDocument/2006/relationships/hyperlink" Target="#SUM_as_Running_Total!A1"/><Relationship Id="rId54" Type="http://schemas.openxmlformats.org/officeDocument/2006/relationships/hyperlink" Target="#GESTEP!A1"/><Relationship Id="rId70" Type="http://schemas.openxmlformats.org/officeDocument/2006/relationships/hyperlink" Target="#ISNONTEXT!A1"/><Relationship Id="rId75" Type="http://schemas.openxmlformats.org/officeDocument/2006/relationships/hyperlink" Target="#LARGE!A1"/><Relationship Id="rId91" Type="http://schemas.openxmlformats.org/officeDocument/2006/relationships/hyperlink" Target="#MONTH!A1"/><Relationship Id="rId96" Type="http://schemas.openxmlformats.org/officeDocument/2006/relationships/hyperlink" Target="#NOT!A1"/><Relationship Id="rId140" Type="http://schemas.openxmlformats.org/officeDocument/2006/relationships/hyperlink" Target="#TIMEVALUE!A1"/><Relationship Id="rId145" Type="http://schemas.openxmlformats.org/officeDocument/2006/relationships/hyperlink" Target="#TRUNC!A1"/><Relationship Id="rId1" Type="http://schemas.openxmlformats.org/officeDocument/2006/relationships/image" Target="../media/image7.jpeg"/><Relationship Id="rId6" Type="http://schemas.openxmlformats.org/officeDocument/2006/relationships/hyperlink" Target="#' AutoSum Shortcut Key'!A1"/><Relationship Id="rId23" Type="http://schemas.openxmlformats.org/officeDocument/2006/relationships/hyperlink" Target="#COUNTIF!A1"/><Relationship Id="rId28" Type="http://schemas.openxmlformats.org/officeDocument/2006/relationships/hyperlink" Target="#DAY!A1"/><Relationship Id="rId49" Type="http://schemas.openxmlformats.org/officeDocument/2006/relationships/hyperlink" Target="#FIXED!A1"/><Relationship Id="rId114" Type="http://schemas.openxmlformats.org/officeDocument/2006/relationships/hyperlink" Target="#RIGHT!A1"/><Relationship Id="rId119" Type="http://schemas.openxmlformats.org/officeDocument/2006/relationships/hyperlink" Target="#SECOND!A1"/><Relationship Id="rId44" Type="http://schemas.openxmlformats.org/officeDocument/2006/relationships/hyperlink" Target="#EVEN!A1"/><Relationship Id="rId60" Type="http://schemas.openxmlformats.org/officeDocument/2006/relationships/hyperlink" Target="#INDIRECT!A1"/><Relationship Id="rId65" Type="http://schemas.openxmlformats.org/officeDocument/2006/relationships/hyperlink" Target="#ISERR!A1"/><Relationship Id="rId81" Type="http://schemas.openxmlformats.org/officeDocument/2006/relationships/hyperlink" Target="#MATCH!A1"/><Relationship Id="rId86" Type="http://schemas.openxmlformats.org/officeDocument/2006/relationships/hyperlink" Target="#MINUTE!A1"/><Relationship Id="rId130" Type="http://schemas.openxmlformats.org/officeDocument/2006/relationships/hyperlink" Target="#SUM_using_names!A1"/><Relationship Id="rId135" Type="http://schemas.openxmlformats.org/officeDocument/2006/relationships/hyperlink" Target="#T!A1"/><Relationship Id="rId151" Type="http://schemas.openxmlformats.org/officeDocument/2006/relationships/hyperlink" Target="#WEEKDAY!A1"/><Relationship Id="rId156" Type="http://schemas.openxmlformats.org/officeDocument/2006/relationships/hyperlink" Target="#Home1!A1"/><Relationship Id="rId13" Type="http://schemas.openxmlformats.org/officeDocument/2006/relationships/hyperlink" Target="#CHOOSE!A1"/><Relationship Id="rId18" Type="http://schemas.openxmlformats.org/officeDocument/2006/relationships/hyperlink" Target="#CONVERT!A1"/><Relationship Id="rId39" Type="http://schemas.openxmlformats.org/officeDocument/2006/relationships/hyperlink" Target="#DOLLAR!A1"/><Relationship Id="rId109" Type="http://schemas.openxmlformats.org/officeDocument/2006/relationships/hyperlink" Target="#RAND!A1"/><Relationship Id="rId34" Type="http://schemas.openxmlformats.org/officeDocument/2006/relationships/hyperlink" Target="#DEC2HEX!A1"/><Relationship Id="rId50" Type="http://schemas.openxmlformats.org/officeDocument/2006/relationships/hyperlink" Target="#FLOOR!A1"/><Relationship Id="rId55" Type="http://schemas.openxmlformats.org/officeDocument/2006/relationships/hyperlink" Target="#HEX2DEC!A1"/><Relationship Id="rId76" Type="http://schemas.openxmlformats.org/officeDocument/2006/relationships/hyperlink" Target="#LCM!A1"/><Relationship Id="rId97" Type="http://schemas.openxmlformats.org/officeDocument/2006/relationships/hyperlink" Target="#NOW!A1"/><Relationship Id="rId104" Type="http://schemas.openxmlformats.org/officeDocument/2006/relationships/hyperlink" Target="#POWER!A1"/><Relationship Id="rId120" Type="http://schemas.openxmlformats.org/officeDocument/2006/relationships/hyperlink" Target="#' Show all formula'!A1"/><Relationship Id="rId125" Type="http://schemas.openxmlformats.org/officeDocument/2006/relationships/hyperlink" Target="#STDEV!A1"/><Relationship Id="rId141" Type="http://schemas.openxmlformats.org/officeDocument/2006/relationships/hyperlink" Target="#TODAY!A1"/><Relationship Id="rId146" Type="http://schemas.openxmlformats.org/officeDocument/2006/relationships/hyperlink" Target="#UPPER!A1"/><Relationship Id="rId7" Type="http://schemas.openxmlformats.org/officeDocument/2006/relationships/hyperlink" Target="#AVERAGE!A1"/><Relationship Id="rId71" Type="http://schemas.openxmlformats.org/officeDocument/2006/relationships/hyperlink" Target="#ISNUMBER!A1"/><Relationship Id="rId92" Type="http://schemas.openxmlformats.org/officeDocument/2006/relationships/hyperlink" Target="#MROUND!A1"/><Relationship Id="rId2" Type="http://schemas.openxmlformats.org/officeDocument/2006/relationships/image" Target="../media/image4.gif"/><Relationship Id="rId29" Type="http://schemas.openxmlformats.org/officeDocument/2006/relationships/hyperlink" Target="#DAYS360!A1"/><Relationship Id="rId24" Type="http://schemas.openxmlformats.org/officeDocument/2006/relationships/hyperlink" Target="#DATE!A1"/><Relationship Id="rId40" Type="http://schemas.openxmlformats.org/officeDocument/2006/relationships/hyperlink" Target="#DSUM!A1"/><Relationship Id="rId45" Type="http://schemas.openxmlformats.org/officeDocument/2006/relationships/hyperlink" Target="#EXACT!A1"/><Relationship Id="rId66" Type="http://schemas.openxmlformats.org/officeDocument/2006/relationships/hyperlink" Target="#ISERROR!A1"/><Relationship Id="rId87" Type="http://schemas.openxmlformats.org/officeDocument/2006/relationships/hyperlink" Target="#'LOOKUP (Array)'!A1"/><Relationship Id="rId110" Type="http://schemas.openxmlformats.org/officeDocument/2006/relationships/hyperlink" Target="#RANDBETWEEN!A1"/><Relationship Id="rId115" Type="http://schemas.openxmlformats.org/officeDocument/2006/relationships/hyperlink" Target="#ROMAN!A1"/><Relationship Id="rId131" Type="http://schemas.openxmlformats.org/officeDocument/2006/relationships/hyperlink" Target="#SUM_with_OFFSET!A1"/><Relationship Id="rId136" Type="http://schemas.openxmlformats.org/officeDocument/2006/relationships/hyperlink" Target="#TEXT!A1"/><Relationship Id="rId157" Type="http://schemas.openxmlformats.org/officeDocument/2006/relationships/hyperlink" Target="#Home!A382"/><Relationship Id="rId61" Type="http://schemas.openxmlformats.org/officeDocument/2006/relationships/hyperlink" Target="#INFO!A1"/><Relationship Id="rId82" Type="http://schemas.openxmlformats.org/officeDocument/2006/relationships/hyperlink" Target="#MAX!A1"/><Relationship Id="rId152" Type="http://schemas.openxmlformats.org/officeDocument/2006/relationships/hyperlink" Target="#WORKDAY!A1"/><Relationship Id="rId19" Type="http://schemas.openxmlformats.org/officeDocument/2006/relationships/hyperlink" Target="#CORREL!A1"/><Relationship Id="rId14" Type="http://schemas.openxmlformats.org/officeDocument/2006/relationships/hyperlink" Target="#CLEAN!A1"/><Relationship Id="rId30" Type="http://schemas.openxmlformats.org/officeDocument/2006/relationships/hyperlink" Target="#DB!A1"/><Relationship Id="rId35" Type="http://schemas.openxmlformats.org/officeDocument/2006/relationships/hyperlink" Target="#DELTA!A1"/><Relationship Id="rId56" Type="http://schemas.openxmlformats.org/officeDocument/2006/relationships/hyperlink" Target="#HLOOKUP!A1"/><Relationship Id="rId77" Type="http://schemas.openxmlformats.org/officeDocument/2006/relationships/hyperlink" Target="#LEFT!A1"/><Relationship Id="rId100" Type="http://schemas.openxmlformats.org/officeDocument/2006/relationships/hyperlink" Target="#' Ordering Stock'!A1"/><Relationship Id="rId105" Type="http://schemas.openxmlformats.org/officeDocument/2006/relationships/hyperlink" Target="#PRODUCT!A1"/><Relationship Id="rId126" Type="http://schemas.openxmlformats.org/officeDocument/2006/relationships/hyperlink" Target="#STDEVP!A1"/><Relationship Id="rId147" Type="http://schemas.openxmlformats.org/officeDocument/2006/relationships/hyperlink" Target="#VALUE!A1"/><Relationship Id="rId8" Type="http://schemas.openxmlformats.org/officeDocument/2006/relationships/hyperlink" Target="#BIN2DEC!A1"/><Relationship Id="rId51" Type="http://schemas.openxmlformats.org/officeDocument/2006/relationships/hyperlink" Target="#FORECAST!A1"/><Relationship Id="rId72" Type="http://schemas.openxmlformats.org/officeDocument/2006/relationships/hyperlink" Target="#ISODD!A1"/><Relationship Id="rId93" Type="http://schemas.openxmlformats.org/officeDocument/2006/relationships/hyperlink" Target="#N!A1"/><Relationship Id="rId98" Type="http://schemas.openxmlformats.org/officeDocument/2006/relationships/hyperlink" Target="#ODD!A1"/><Relationship Id="rId121" Type="http://schemas.openxmlformats.org/officeDocument/2006/relationships/hyperlink" Target="#SIGN!A1"/><Relationship Id="rId142" Type="http://schemas.openxmlformats.org/officeDocument/2006/relationships/hyperlink" Target="#TRANSPOSE!A1"/><Relationship Id="rId3" Type="http://schemas.openxmlformats.org/officeDocument/2006/relationships/hyperlink" Target="#' Age Calculation'!A1"/><Relationship Id="rId25" Type="http://schemas.openxmlformats.org/officeDocument/2006/relationships/hyperlink" Target="#DATEDIF!A1"/><Relationship Id="rId46" Type="http://schemas.openxmlformats.org/officeDocument/2006/relationships/hyperlink" Target="#FACT!A1"/><Relationship Id="rId67" Type="http://schemas.openxmlformats.org/officeDocument/2006/relationships/hyperlink" Target="#ISEVEN!A1"/><Relationship Id="rId116" Type="http://schemas.openxmlformats.org/officeDocument/2006/relationships/hyperlink" Target="#ROUND!A1"/><Relationship Id="rId137" Type="http://schemas.openxmlformats.org/officeDocument/2006/relationships/hyperlink" Target="#TIME!A1"/><Relationship Id="rId158" Type="http://schemas.openxmlformats.org/officeDocument/2006/relationships/image" Target="../media/image6.gif"/><Relationship Id="rId20" Type="http://schemas.openxmlformats.org/officeDocument/2006/relationships/hyperlink" Target="#COUNT!A1"/><Relationship Id="rId41" Type="http://schemas.openxmlformats.org/officeDocument/2006/relationships/hyperlink" Target="#EDATE!A1"/><Relationship Id="rId62" Type="http://schemas.openxmlformats.org/officeDocument/2006/relationships/hyperlink" Target="#' Instant Charts'!A1"/><Relationship Id="rId83" Type="http://schemas.openxmlformats.org/officeDocument/2006/relationships/hyperlink" Target="#MEDIAN!A1"/><Relationship Id="rId88" Type="http://schemas.openxmlformats.org/officeDocument/2006/relationships/hyperlink" Target="#MMULT!A1"/><Relationship Id="rId111" Type="http://schemas.openxmlformats.org/officeDocument/2006/relationships/hyperlink" Target="#RANK!A1"/><Relationship Id="rId132" Type="http://schemas.openxmlformats.org/officeDocument/2006/relationships/hyperlink" Target="#SUMIF!A1"/><Relationship Id="rId153" Type="http://schemas.openxmlformats.org/officeDocument/2006/relationships/hyperlink" Target="#YEAR!A1"/><Relationship Id="rId15" Type="http://schemas.openxmlformats.org/officeDocument/2006/relationships/hyperlink" Target="#CODE!A1"/><Relationship Id="rId36" Type="http://schemas.openxmlformats.org/officeDocument/2006/relationships/hyperlink" Target="#DGET!A1"/><Relationship Id="rId57" Type="http://schemas.openxmlformats.org/officeDocument/2006/relationships/hyperlink" Target="#HOUR!A1"/><Relationship Id="rId106" Type="http://schemas.openxmlformats.org/officeDocument/2006/relationships/hyperlink" Target="#PROPER!A1"/><Relationship Id="rId127" Type="http://schemas.openxmlformats.org/officeDocument/2006/relationships/hyperlink" Target="#SUBSTITUTE!A1"/><Relationship Id="rId10" Type="http://schemas.openxmlformats.org/officeDocument/2006/relationships/hyperlink" Target="#CEILING!A1"/><Relationship Id="rId31" Type="http://schemas.openxmlformats.org/officeDocument/2006/relationships/hyperlink" Target="#DCOUNT!A1"/><Relationship Id="rId52" Type="http://schemas.openxmlformats.org/officeDocument/2006/relationships/hyperlink" Target="#FREQUENCY!A1"/><Relationship Id="rId73" Type="http://schemas.openxmlformats.org/officeDocument/2006/relationships/hyperlink" Target="#ISREF!A1"/><Relationship Id="rId78" Type="http://schemas.openxmlformats.org/officeDocument/2006/relationships/hyperlink" Target="#LEN!A1"/><Relationship Id="rId94" Type="http://schemas.openxmlformats.org/officeDocument/2006/relationships/hyperlink" Target="#NA!A1"/><Relationship Id="rId99" Type="http://schemas.openxmlformats.org/officeDocument/2006/relationships/hyperlink" Target="#OR!A1"/><Relationship Id="rId101" Type="http://schemas.openxmlformats.org/officeDocument/2006/relationships/hyperlink" Target="#' Percentages'!A1"/><Relationship Id="rId122" Type="http://schemas.openxmlformats.org/officeDocument/2006/relationships/hyperlink" Target="#SLN!A1"/><Relationship Id="rId143" Type="http://schemas.openxmlformats.org/officeDocument/2006/relationships/hyperlink" Target="#TREND!A1"/><Relationship Id="rId148" Type="http://schemas.openxmlformats.org/officeDocument/2006/relationships/hyperlink" Target="#VAR!A1"/><Relationship Id="rId4" Type="http://schemas.openxmlformats.org/officeDocument/2006/relationships/hyperlink" Target="#ABS!A1"/><Relationship Id="rId9" Type="http://schemas.openxmlformats.org/officeDocument/2006/relationships/hyperlink" Target="#' Brackets in formula'!A1"/><Relationship Id="rId26" Type="http://schemas.openxmlformats.org/officeDocument/2006/relationships/hyperlink" Target="#DATEVALUE!A1"/><Relationship Id="rId47" Type="http://schemas.openxmlformats.org/officeDocument/2006/relationships/hyperlink" Target="#' Filename formula'!A1"/><Relationship Id="rId68" Type="http://schemas.openxmlformats.org/officeDocument/2006/relationships/hyperlink" Target="#ISLOGICAL!A1"/><Relationship Id="rId89" Type="http://schemas.openxmlformats.org/officeDocument/2006/relationships/hyperlink" Target="#MOD!A1"/><Relationship Id="rId112" Type="http://schemas.openxmlformats.org/officeDocument/2006/relationships/hyperlink" Target="#REPLACE!A1"/><Relationship Id="rId133" Type="http://schemas.openxmlformats.org/officeDocument/2006/relationships/hyperlink" Target="#SUMPRODUCT!A1"/><Relationship Id="rId154" Type="http://schemas.openxmlformats.org/officeDocument/2006/relationships/hyperlink" Target="#YEARFRAC!A1"/><Relationship Id="rId16" Type="http://schemas.openxmlformats.org/officeDocument/2006/relationships/hyperlink" Target="#COMBIN!A1"/><Relationship Id="rId37" Type="http://schemas.openxmlformats.org/officeDocument/2006/relationships/hyperlink" Target="#DMAX!A1"/><Relationship Id="rId58" Type="http://schemas.openxmlformats.org/officeDocument/2006/relationships/hyperlink" Target="#IF!A1"/><Relationship Id="rId79" Type="http://schemas.openxmlformats.org/officeDocument/2006/relationships/hyperlink" Target="#'LOOKUP (Vector)'!A1"/><Relationship Id="rId102" Type="http://schemas.openxmlformats.org/officeDocument/2006/relationships/hyperlink" Target="#PERMUT!A1"/><Relationship Id="rId123" Type="http://schemas.openxmlformats.org/officeDocument/2006/relationships/hyperlink" Target="#SMALL!A1"/><Relationship Id="rId144" Type="http://schemas.openxmlformats.org/officeDocument/2006/relationships/hyperlink" Target="#TRIM!A1"/><Relationship Id="rId90" Type="http://schemas.openxmlformats.org/officeDocument/2006/relationships/hyperlink" Target="#MODE!A1"/><Relationship Id="rId27" Type="http://schemas.openxmlformats.org/officeDocument/2006/relationships/hyperlink" Target="#DAVERAGE!A1"/><Relationship Id="rId48" Type="http://schemas.openxmlformats.org/officeDocument/2006/relationships/hyperlink" Target="#FIND!A1"/><Relationship Id="rId69" Type="http://schemas.openxmlformats.org/officeDocument/2006/relationships/hyperlink" Target="#ISNA!A1"/><Relationship Id="rId113" Type="http://schemas.openxmlformats.org/officeDocument/2006/relationships/hyperlink" Target="#REPT!A1"/><Relationship Id="rId134" Type="http://schemas.openxmlformats.org/officeDocument/2006/relationships/hyperlink" Target="#SY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8.emf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9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hyperlink" Target="#Home1!A1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14</xdr:col>
      <xdr:colOff>0</xdr:colOff>
      <xdr:row>26</xdr:row>
      <xdr:rowOff>0</xdr:rowOff>
    </xdr:to>
    <xdr:sp macro="" textlink="">
      <xdr:nvSpPr>
        <xdr:cNvPr id="174094" name="Rectangle 14" descr="Bg1"/>
        <xdr:cNvSpPr>
          <a:spLocks noChangeArrowheads="1"/>
        </xdr:cNvSpPr>
      </xdr:nvSpPr>
      <xdr:spPr bwMode="auto">
        <a:xfrm>
          <a:off x="142875" y="238125"/>
          <a:ext cx="7924800" cy="40386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19050</xdr:colOff>
      <xdr:row>10</xdr:row>
      <xdr:rowOff>95250</xdr:rowOff>
    </xdr:from>
    <xdr:to>
      <xdr:col>10</xdr:col>
      <xdr:colOff>304800</xdr:colOff>
      <xdr:row>25</xdr:row>
      <xdr:rowOff>142875</xdr:rowOff>
    </xdr:to>
    <xdr:pic>
      <xdr:nvPicPr>
        <xdr:cNvPr id="174102" name="Picture 22" descr="flower_baskets_ros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819525" y="1781175"/>
          <a:ext cx="2114550" cy="2476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533400</xdr:colOff>
      <xdr:row>11</xdr:row>
      <xdr:rowOff>95250</xdr:rowOff>
    </xdr:from>
    <xdr:to>
      <xdr:col>3</xdr:col>
      <xdr:colOff>533400</xdr:colOff>
      <xdr:row>18</xdr:row>
      <xdr:rowOff>123825</xdr:rowOff>
    </xdr:to>
    <xdr:sp macro="" textlink="">
      <xdr:nvSpPr>
        <xdr:cNvPr id="174086" name="Line 6"/>
        <xdr:cNvSpPr>
          <a:spLocks noChangeShapeType="1"/>
        </xdr:cNvSpPr>
      </xdr:nvSpPr>
      <xdr:spPr bwMode="auto">
        <a:xfrm>
          <a:off x="1895475" y="1943100"/>
          <a:ext cx="0" cy="1162050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11</xdr:row>
      <xdr:rowOff>95250</xdr:rowOff>
    </xdr:from>
    <xdr:to>
      <xdr:col>2</xdr:col>
      <xdr:colOff>104775</xdr:colOff>
      <xdr:row>18</xdr:row>
      <xdr:rowOff>123825</xdr:rowOff>
    </xdr:to>
    <xdr:sp macro="" textlink="">
      <xdr:nvSpPr>
        <xdr:cNvPr id="174087" name="Line 7"/>
        <xdr:cNvSpPr>
          <a:spLocks noChangeShapeType="1"/>
        </xdr:cNvSpPr>
      </xdr:nvSpPr>
      <xdr:spPr bwMode="auto">
        <a:xfrm>
          <a:off x="857250" y="1943100"/>
          <a:ext cx="0" cy="1162050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5</xdr:col>
      <xdr:colOff>438150</xdr:colOff>
      <xdr:row>5</xdr:row>
      <xdr:rowOff>104775</xdr:rowOff>
    </xdr:from>
    <xdr:to>
      <xdr:col>12</xdr:col>
      <xdr:colOff>57150</xdr:colOff>
      <xdr:row>10</xdr:row>
      <xdr:rowOff>123825</xdr:rowOff>
    </xdr:to>
    <xdr:sp macro="" textlink="">
      <xdr:nvSpPr>
        <xdr:cNvPr id="174081" name="WordArt 1"/>
        <xdr:cNvSpPr>
          <a:spLocks noChangeArrowheads="1" noChangeShapeType="1" noTextEdit="1"/>
        </xdr:cNvSpPr>
      </xdr:nvSpPr>
      <xdr:spPr bwMode="auto">
        <a:xfrm>
          <a:off x="3019425" y="981075"/>
          <a:ext cx="3886200" cy="8286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PerspectiveBottom"/>
            <a:lightRig rig="legacyFlat3" dir="t"/>
          </a:scene3d>
          <a:sp3d extrusionH="887400" prstMaterial="legacyMatte">
            <a:extrusionClr>
              <a:srgbClr val="FF6600"/>
            </a:extrusionClr>
          </a:sp3d>
        </a:bodyPr>
        <a:lstStyle/>
        <a:p>
          <a:pPr algn="ctr" rtl="0"/>
          <a:r>
            <a:rPr lang="en-US" sz="3600" kern="10" spc="0">
              <a:ln w="12700">
                <a:round/>
                <a:headEnd/>
                <a:tailEnd/>
              </a:ln>
              <a:gradFill rotWithShape="1">
                <a:gsLst>
                  <a:gs pos="0">
                    <a:srgbClr val="FF6600"/>
                  </a:gs>
                  <a:gs pos="100000">
                    <a:srgbClr val="FFFFFF"/>
                  </a:gs>
                </a:gsLst>
                <a:lin ang="5400000" scaled="1"/>
              </a:gradFill>
              <a:effectLst/>
              <a:latin typeface="Arial Black"/>
            </a:rPr>
            <a:t>Excel  Formulae</a:t>
          </a:r>
        </a:p>
      </xdr:txBody>
    </xdr:sp>
    <xdr:clientData/>
  </xdr:twoCellAnchor>
  <xdr:twoCellAnchor>
    <xdr:from>
      <xdr:col>1</xdr:col>
      <xdr:colOff>200025</xdr:colOff>
      <xdr:row>12</xdr:row>
      <xdr:rowOff>85725</xdr:rowOff>
    </xdr:from>
    <xdr:to>
      <xdr:col>4</xdr:col>
      <xdr:colOff>342900</xdr:colOff>
      <xdr:row>14</xdr:row>
      <xdr:rowOff>104775</xdr:rowOff>
    </xdr:to>
    <xdr:sp macro="" textlink="">
      <xdr:nvSpPr>
        <xdr:cNvPr id="174082" name="AutoShape 2">
          <a:hlinkClick xmlns:r="http://schemas.openxmlformats.org/officeDocument/2006/relationships" r:id="rId3" tooltip="Excel Formulae"/>
        </xdr:cNvPr>
        <xdr:cNvSpPr>
          <a:spLocks noChangeArrowheads="1"/>
        </xdr:cNvSpPr>
      </xdr:nvSpPr>
      <xdr:spPr bwMode="auto">
        <a:xfrm>
          <a:off x="342900" y="2095500"/>
          <a:ext cx="1971675" cy="342900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EXCEL FORMULAE</a:t>
          </a:r>
        </a:p>
      </xdr:txBody>
    </xdr:sp>
    <xdr:clientData/>
  </xdr:twoCellAnchor>
  <xdr:twoCellAnchor editAs="oneCell">
    <xdr:from>
      <xdr:col>1</xdr:col>
      <xdr:colOff>238125</xdr:colOff>
      <xdr:row>6</xdr:row>
      <xdr:rowOff>0</xdr:rowOff>
    </xdr:from>
    <xdr:to>
      <xdr:col>3</xdr:col>
      <xdr:colOff>257175</xdr:colOff>
      <xdr:row>12</xdr:row>
      <xdr:rowOff>19050</xdr:rowOff>
    </xdr:to>
    <xdr:pic>
      <xdr:nvPicPr>
        <xdr:cNvPr id="174083" name="Picture 3" descr="blue_parakeet_lg_clr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 rot="2050800">
          <a:off x="381000" y="1038225"/>
          <a:ext cx="1238250" cy="990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95250</xdr:colOff>
      <xdr:row>9</xdr:row>
      <xdr:rowOff>85725</xdr:rowOff>
    </xdr:from>
    <xdr:to>
      <xdr:col>3</xdr:col>
      <xdr:colOff>47625</xdr:colOff>
      <xdr:row>11</xdr:row>
      <xdr:rowOff>123825</xdr:rowOff>
    </xdr:to>
    <xdr:sp macro="" textlink="">
      <xdr:nvSpPr>
        <xdr:cNvPr id="174084" name="Line 4"/>
        <xdr:cNvSpPr>
          <a:spLocks noChangeShapeType="1"/>
        </xdr:cNvSpPr>
      </xdr:nvSpPr>
      <xdr:spPr bwMode="auto">
        <a:xfrm flipV="1">
          <a:off x="847725" y="1609725"/>
          <a:ext cx="561975" cy="361950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3</xdr:col>
      <xdr:colOff>47625</xdr:colOff>
      <xdr:row>9</xdr:row>
      <xdr:rowOff>95250</xdr:rowOff>
    </xdr:from>
    <xdr:to>
      <xdr:col>3</xdr:col>
      <xdr:colOff>561975</xdr:colOff>
      <xdr:row>11</xdr:row>
      <xdr:rowOff>142875</xdr:rowOff>
    </xdr:to>
    <xdr:sp macro="" textlink="">
      <xdr:nvSpPr>
        <xdr:cNvPr id="174085" name="Line 5"/>
        <xdr:cNvSpPr>
          <a:spLocks noChangeShapeType="1"/>
        </xdr:cNvSpPr>
      </xdr:nvSpPr>
      <xdr:spPr bwMode="auto">
        <a:xfrm>
          <a:off x="1409700" y="1619250"/>
          <a:ext cx="514350" cy="371475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1</xdr:col>
      <xdr:colOff>200025</xdr:colOff>
      <xdr:row>15</xdr:row>
      <xdr:rowOff>95250</xdr:rowOff>
    </xdr:from>
    <xdr:to>
      <xdr:col>4</xdr:col>
      <xdr:colOff>342900</xdr:colOff>
      <xdr:row>17</xdr:row>
      <xdr:rowOff>114300</xdr:rowOff>
    </xdr:to>
    <xdr:sp macro="" textlink="">
      <xdr:nvSpPr>
        <xdr:cNvPr id="174088" name="AutoShape 8">
          <a:hlinkClick xmlns:r="http://schemas.openxmlformats.org/officeDocument/2006/relationships" r:id="rId5" tooltip="HELP For Analysis Tool Pack"/>
        </xdr:cNvPr>
        <xdr:cNvSpPr>
          <a:spLocks noChangeArrowheads="1"/>
        </xdr:cNvSpPr>
      </xdr:nvSpPr>
      <xdr:spPr bwMode="auto">
        <a:xfrm>
          <a:off x="342900" y="2590800"/>
          <a:ext cx="1971675" cy="342900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HELP For Analysis Tool Pack</a:t>
          </a:r>
        </a:p>
      </xdr:txBody>
    </xdr:sp>
    <xdr:clientData/>
  </xdr:twoCellAnchor>
  <xdr:twoCellAnchor>
    <xdr:from>
      <xdr:col>1</xdr:col>
      <xdr:colOff>400050</xdr:colOff>
      <xdr:row>18</xdr:row>
      <xdr:rowOff>76200</xdr:rowOff>
    </xdr:from>
    <xdr:to>
      <xdr:col>4</xdr:col>
      <xdr:colOff>200025</xdr:colOff>
      <xdr:row>22</xdr:row>
      <xdr:rowOff>19050</xdr:rowOff>
    </xdr:to>
    <xdr:sp macro="" textlink="">
      <xdr:nvSpPr>
        <xdr:cNvPr id="174091" name="AutoShape 11"/>
        <xdr:cNvSpPr>
          <a:spLocks noChangeArrowheads="1"/>
        </xdr:cNvSpPr>
      </xdr:nvSpPr>
      <xdr:spPr bwMode="auto">
        <a:xfrm flipV="1">
          <a:off x="542925" y="3057525"/>
          <a:ext cx="1628775" cy="590550"/>
        </a:xfrm>
        <a:prstGeom prst="triangle">
          <a:avLst>
            <a:gd name="adj" fmla="val 50000"/>
          </a:avLst>
        </a:prstGeom>
        <a:solidFill>
          <a:srgbClr val="800000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438150</xdr:colOff>
      <xdr:row>18</xdr:row>
      <xdr:rowOff>142875</xdr:rowOff>
    </xdr:from>
    <xdr:to>
      <xdr:col>3</xdr:col>
      <xdr:colOff>171450</xdr:colOff>
      <xdr:row>20</xdr:row>
      <xdr:rowOff>152400</xdr:rowOff>
    </xdr:to>
    <xdr:sp macro="" textlink="">
      <xdr:nvSpPr>
        <xdr:cNvPr id="174092" name="AutoShape 12"/>
        <xdr:cNvSpPr>
          <a:spLocks noChangeArrowheads="1"/>
        </xdr:cNvSpPr>
      </xdr:nvSpPr>
      <xdr:spPr bwMode="auto">
        <a:xfrm>
          <a:off x="1190625" y="3124200"/>
          <a:ext cx="342900" cy="333375"/>
        </a:xfrm>
        <a:prstGeom prst="star24">
          <a:avLst>
            <a:gd name="adj" fmla="val 37500"/>
          </a:avLst>
        </a:prstGeom>
        <a:gradFill rotWithShape="1">
          <a:gsLst>
            <a:gs pos="0">
              <a:srgbClr val="FFFF99"/>
            </a:gs>
            <a:gs pos="100000">
              <a:srgbClr val="FF0000"/>
            </a:gs>
          </a:gsLst>
          <a:path path="shape">
            <a:fillToRect l="50000" t="50000" r="50000" b="50000"/>
          </a:path>
        </a:gradFill>
        <a:ln w="9525">
          <a:solidFill>
            <a:srgbClr val="FFFF99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476250</xdr:colOff>
      <xdr:row>19</xdr:row>
      <xdr:rowOff>66675</xdr:rowOff>
    </xdr:from>
    <xdr:to>
      <xdr:col>3</xdr:col>
      <xdr:colOff>142875</xdr:colOff>
      <xdr:row>20</xdr:row>
      <xdr:rowOff>57150</xdr:rowOff>
    </xdr:to>
    <xdr:sp macro="" textlink="">
      <xdr:nvSpPr>
        <xdr:cNvPr id="174093" name="Rectangle 13"/>
        <xdr:cNvSpPr>
          <a:spLocks noChangeArrowheads="1"/>
        </xdr:cNvSpPr>
      </xdr:nvSpPr>
      <xdr:spPr bwMode="auto">
        <a:xfrm>
          <a:off x="1228725" y="3209925"/>
          <a:ext cx="276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FF6600"/>
              </a:solidFill>
              <a:latin typeface="Arial"/>
              <a:cs typeface="Arial"/>
            </a:rPr>
            <a:t>OMs</a:t>
          </a:r>
        </a:p>
      </xdr:txBody>
    </xdr:sp>
    <xdr:clientData/>
  </xdr:twoCellAnchor>
  <xdr:twoCellAnchor>
    <xdr:from>
      <xdr:col>10</xdr:col>
      <xdr:colOff>304800</xdr:colOff>
      <xdr:row>23</xdr:row>
      <xdr:rowOff>123825</xdr:rowOff>
    </xdr:from>
    <xdr:to>
      <xdr:col>13</xdr:col>
      <xdr:colOff>447675</xdr:colOff>
      <xdr:row>25</xdr:row>
      <xdr:rowOff>47625</xdr:rowOff>
    </xdr:to>
    <xdr:sp macro="" textlink="">
      <xdr:nvSpPr>
        <xdr:cNvPr id="174097" name="Rectangle 17">
          <a:hlinkClick xmlns:r="http://schemas.openxmlformats.org/officeDocument/2006/relationships" r:id="rId6"/>
        </xdr:cNvPr>
        <xdr:cNvSpPr>
          <a:spLocks noChangeArrowheads="1"/>
        </xdr:cNvSpPr>
      </xdr:nvSpPr>
      <xdr:spPr bwMode="auto">
        <a:xfrm>
          <a:off x="5934075" y="3914775"/>
          <a:ext cx="197167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1">
            <a:defRPr sz="1000"/>
          </a:pPr>
          <a:r>
            <a:rPr lang="en-US" sz="1600" b="1" i="0" strike="noStrike">
              <a:solidFill>
                <a:srgbClr val="000080"/>
              </a:solidFill>
              <a:latin typeface="Arial"/>
              <a:cs typeface="Arial"/>
            </a:rPr>
            <a:t>www.sanketham.tk</a:t>
          </a:r>
        </a:p>
      </xdr:txBody>
    </xdr:sp>
    <xdr:clientData/>
  </xdr:twoCellAnchor>
  <xdr:twoCellAnchor editAs="oneCell">
    <xdr:from>
      <xdr:col>9</xdr:col>
      <xdr:colOff>228600</xdr:colOff>
      <xdr:row>21</xdr:row>
      <xdr:rowOff>57150</xdr:rowOff>
    </xdr:from>
    <xdr:to>
      <xdr:col>10</xdr:col>
      <xdr:colOff>219075</xdr:colOff>
      <xdr:row>26</xdr:row>
      <xdr:rowOff>47625</xdr:rowOff>
    </xdr:to>
    <xdr:pic>
      <xdr:nvPicPr>
        <xdr:cNvPr id="174099" name="Picture 19" descr="Picture2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248275" y="3524250"/>
          <a:ext cx="600075" cy="8001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590550</xdr:colOff>
      <xdr:row>12</xdr:row>
      <xdr:rowOff>123825</xdr:rowOff>
    </xdr:from>
    <xdr:to>
      <xdr:col>12</xdr:col>
      <xdr:colOff>104775</xdr:colOff>
      <xdr:row>18</xdr:row>
      <xdr:rowOff>142875</xdr:rowOff>
    </xdr:to>
    <xdr:pic>
      <xdr:nvPicPr>
        <xdr:cNvPr id="174103" name="Picture 23" descr="BkBluMed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610225" y="2133600"/>
          <a:ext cx="1343025" cy="9906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17</xdr:col>
      <xdr:colOff>361950</xdr:colOff>
      <xdr:row>5</xdr:row>
      <xdr:rowOff>0</xdr:rowOff>
    </xdr:to>
    <xdr:sp macro="" textlink="">
      <xdr:nvSpPr>
        <xdr:cNvPr id="173230" name="Rectangle 174" descr="Pink tissue paper"/>
        <xdr:cNvSpPr>
          <a:spLocks noChangeArrowheads="1"/>
        </xdr:cNvSpPr>
      </xdr:nvSpPr>
      <xdr:spPr bwMode="auto">
        <a:xfrm>
          <a:off x="9525" y="9525"/>
          <a:ext cx="11791950" cy="116205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342900</xdr:colOff>
      <xdr:row>0</xdr:row>
      <xdr:rowOff>219075</xdr:rowOff>
    </xdr:from>
    <xdr:to>
      <xdr:col>3</xdr:col>
      <xdr:colOff>361950</xdr:colOff>
      <xdr:row>5</xdr:row>
      <xdr:rowOff>38100</xdr:rowOff>
    </xdr:to>
    <xdr:pic>
      <xdr:nvPicPr>
        <xdr:cNvPr id="173057" name="Picture 1" descr="blue_parakeet_lg_clr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1126682">
          <a:off x="1019175" y="219075"/>
          <a:ext cx="1238250" cy="990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266700</xdr:colOff>
      <xdr:row>3</xdr:row>
      <xdr:rowOff>95250</xdr:rowOff>
    </xdr:from>
    <xdr:to>
      <xdr:col>4</xdr:col>
      <xdr:colOff>285750</xdr:colOff>
      <xdr:row>381</xdr:row>
      <xdr:rowOff>9525</xdr:rowOff>
    </xdr:to>
    <xdr:sp macro="" textlink="">
      <xdr:nvSpPr>
        <xdr:cNvPr id="173058" name="Line 2"/>
        <xdr:cNvSpPr>
          <a:spLocks noChangeShapeType="1"/>
        </xdr:cNvSpPr>
      </xdr:nvSpPr>
      <xdr:spPr bwMode="auto">
        <a:xfrm>
          <a:off x="2771775" y="866775"/>
          <a:ext cx="19050" cy="61198125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1</xdr:col>
      <xdr:colOff>600075</xdr:colOff>
      <xdr:row>3</xdr:row>
      <xdr:rowOff>114300</xdr:rowOff>
    </xdr:from>
    <xdr:to>
      <xdr:col>2</xdr:col>
      <xdr:colOff>9525</xdr:colOff>
      <xdr:row>381</xdr:row>
      <xdr:rowOff>19050</xdr:rowOff>
    </xdr:to>
    <xdr:sp macro="" textlink="">
      <xdr:nvSpPr>
        <xdr:cNvPr id="173059" name="Line 3"/>
        <xdr:cNvSpPr>
          <a:spLocks noChangeShapeType="1"/>
        </xdr:cNvSpPr>
      </xdr:nvSpPr>
      <xdr:spPr bwMode="auto">
        <a:xfrm>
          <a:off x="1276350" y="885825"/>
          <a:ext cx="19050" cy="61188600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6</xdr:row>
      <xdr:rowOff>19050</xdr:rowOff>
    </xdr:from>
    <xdr:to>
      <xdr:col>5</xdr:col>
      <xdr:colOff>209550</xdr:colOff>
      <xdr:row>7</xdr:row>
      <xdr:rowOff>114300</xdr:rowOff>
    </xdr:to>
    <xdr:sp macro="" textlink="">
      <xdr:nvSpPr>
        <xdr:cNvPr id="173060" name="AutoShape 4">
          <a:hlinkClick xmlns:r="http://schemas.openxmlformats.org/officeDocument/2006/relationships" r:id="rId3" tooltip="Age Calculation"/>
        </xdr:cNvPr>
        <xdr:cNvSpPr>
          <a:spLocks noChangeArrowheads="1"/>
        </xdr:cNvSpPr>
      </xdr:nvSpPr>
      <xdr:spPr bwMode="auto">
        <a:xfrm>
          <a:off x="723900" y="13525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Age Calculation</a:t>
          </a:r>
        </a:p>
      </xdr:txBody>
    </xdr:sp>
    <xdr:clientData/>
  </xdr:twoCellAnchor>
  <xdr:twoCellAnchor>
    <xdr:from>
      <xdr:col>1</xdr:col>
      <xdr:colOff>47625</xdr:colOff>
      <xdr:row>8</xdr:row>
      <xdr:rowOff>47625</xdr:rowOff>
    </xdr:from>
    <xdr:to>
      <xdr:col>5</xdr:col>
      <xdr:colOff>209550</xdr:colOff>
      <xdr:row>9</xdr:row>
      <xdr:rowOff>142875</xdr:rowOff>
    </xdr:to>
    <xdr:sp macro="" textlink="">
      <xdr:nvSpPr>
        <xdr:cNvPr id="173061" name="AutoShape 5">
          <a:hlinkClick xmlns:r="http://schemas.openxmlformats.org/officeDocument/2006/relationships" r:id="rId4" tooltip="ABS"/>
        </xdr:cNvPr>
        <xdr:cNvSpPr>
          <a:spLocks noChangeArrowheads="1"/>
        </xdr:cNvSpPr>
      </xdr:nvSpPr>
      <xdr:spPr bwMode="auto">
        <a:xfrm>
          <a:off x="723900" y="17049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ABS</a:t>
          </a:r>
        </a:p>
      </xdr:txBody>
    </xdr:sp>
    <xdr:clientData/>
  </xdr:twoCellAnchor>
  <xdr:twoCellAnchor>
    <xdr:from>
      <xdr:col>1</xdr:col>
      <xdr:colOff>57150</xdr:colOff>
      <xdr:row>10</xdr:row>
      <xdr:rowOff>66675</xdr:rowOff>
    </xdr:from>
    <xdr:to>
      <xdr:col>5</xdr:col>
      <xdr:colOff>219075</xdr:colOff>
      <xdr:row>12</xdr:row>
      <xdr:rowOff>0</xdr:rowOff>
    </xdr:to>
    <xdr:sp macro="" textlink="">
      <xdr:nvSpPr>
        <xdr:cNvPr id="173062" name="AutoShape 6">
          <a:hlinkClick xmlns:r="http://schemas.openxmlformats.org/officeDocument/2006/relationships" r:id="rId5" tooltip="AND"/>
        </xdr:cNvPr>
        <xdr:cNvSpPr>
          <a:spLocks noChangeArrowheads="1"/>
        </xdr:cNvSpPr>
      </xdr:nvSpPr>
      <xdr:spPr bwMode="auto">
        <a:xfrm>
          <a:off x="733425" y="20478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AND</a:t>
          </a:r>
        </a:p>
      </xdr:txBody>
    </xdr:sp>
    <xdr:clientData/>
  </xdr:twoCellAnchor>
  <xdr:twoCellAnchor>
    <xdr:from>
      <xdr:col>1</xdr:col>
      <xdr:colOff>47625</xdr:colOff>
      <xdr:row>12</xdr:row>
      <xdr:rowOff>85725</xdr:rowOff>
    </xdr:from>
    <xdr:to>
      <xdr:col>5</xdr:col>
      <xdr:colOff>209550</xdr:colOff>
      <xdr:row>14</xdr:row>
      <xdr:rowOff>19050</xdr:rowOff>
    </xdr:to>
    <xdr:sp macro="" textlink="">
      <xdr:nvSpPr>
        <xdr:cNvPr id="173063" name="AutoShape 7">
          <a:hlinkClick xmlns:r="http://schemas.openxmlformats.org/officeDocument/2006/relationships" r:id="rId6" tooltip="AutoSum shortcut key"/>
        </xdr:cNvPr>
        <xdr:cNvSpPr>
          <a:spLocks noChangeArrowheads="1"/>
        </xdr:cNvSpPr>
      </xdr:nvSpPr>
      <xdr:spPr bwMode="auto">
        <a:xfrm>
          <a:off x="723900" y="23907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AutoSum shortcut key</a:t>
          </a:r>
        </a:p>
      </xdr:txBody>
    </xdr:sp>
    <xdr:clientData/>
  </xdr:twoCellAnchor>
  <xdr:twoCellAnchor>
    <xdr:from>
      <xdr:col>1</xdr:col>
      <xdr:colOff>47625</xdr:colOff>
      <xdr:row>14</xdr:row>
      <xdr:rowOff>114300</xdr:rowOff>
    </xdr:from>
    <xdr:to>
      <xdr:col>5</xdr:col>
      <xdr:colOff>209550</xdr:colOff>
      <xdr:row>16</xdr:row>
      <xdr:rowOff>47625</xdr:rowOff>
    </xdr:to>
    <xdr:sp macro="" textlink="">
      <xdr:nvSpPr>
        <xdr:cNvPr id="173064" name="AutoShape 8">
          <a:hlinkClick xmlns:r="http://schemas.openxmlformats.org/officeDocument/2006/relationships" r:id="rId7" tooltip="AVERAGE"/>
        </xdr:cNvPr>
        <xdr:cNvSpPr>
          <a:spLocks noChangeArrowheads="1"/>
        </xdr:cNvSpPr>
      </xdr:nvSpPr>
      <xdr:spPr bwMode="auto">
        <a:xfrm>
          <a:off x="723900" y="27432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AVERAGE</a:t>
          </a:r>
        </a:p>
      </xdr:txBody>
    </xdr:sp>
    <xdr:clientData/>
  </xdr:twoCellAnchor>
  <xdr:twoCellAnchor>
    <xdr:from>
      <xdr:col>1</xdr:col>
      <xdr:colOff>47625</xdr:colOff>
      <xdr:row>16</xdr:row>
      <xdr:rowOff>142875</xdr:rowOff>
    </xdr:from>
    <xdr:to>
      <xdr:col>5</xdr:col>
      <xdr:colOff>209550</xdr:colOff>
      <xdr:row>18</xdr:row>
      <xdr:rowOff>76200</xdr:rowOff>
    </xdr:to>
    <xdr:sp macro="" textlink="">
      <xdr:nvSpPr>
        <xdr:cNvPr id="173065" name="AutoShape 9">
          <a:hlinkClick xmlns:r="http://schemas.openxmlformats.org/officeDocument/2006/relationships" r:id="rId8" tooltip="BIN2DEC"/>
        </xdr:cNvPr>
        <xdr:cNvSpPr>
          <a:spLocks noChangeArrowheads="1"/>
        </xdr:cNvSpPr>
      </xdr:nvSpPr>
      <xdr:spPr bwMode="auto">
        <a:xfrm>
          <a:off x="723900" y="30956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BIN2DEC</a:t>
          </a:r>
        </a:p>
      </xdr:txBody>
    </xdr:sp>
    <xdr:clientData/>
  </xdr:twoCellAnchor>
  <xdr:twoCellAnchor>
    <xdr:from>
      <xdr:col>1</xdr:col>
      <xdr:colOff>47625</xdr:colOff>
      <xdr:row>19</xdr:row>
      <xdr:rowOff>28575</xdr:rowOff>
    </xdr:from>
    <xdr:to>
      <xdr:col>5</xdr:col>
      <xdr:colOff>209550</xdr:colOff>
      <xdr:row>20</xdr:row>
      <xdr:rowOff>123825</xdr:rowOff>
    </xdr:to>
    <xdr:sp macro="" textlink="">
      <xdr:nvSpPr>
        <xdr:cNvPr id="173066" name="AutoShape 10">
          <a:hlinkClick xmlns:r="http://schemas.openxmlformats.org/officeDocument/2006/relationships" r:id="rId9" tooltip="Brackets in Formula"/>
        </xdr:cNvPr>
        <xdr:cNvSpPr>
          <a:spLocks noChangeArrowheads="1"/>
        </xdr:cNvSpPr>
      </xdr:nvSpPr>
      <xdr:spPr bwMode="auto">
        <a:xfrm>
          <a:off x="723900" y="34671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Brackets in Formula</a:t>
          </a:r>
        </a:p>
      </xdr:txBody>
    </xdr:sp>
    <xdr:clientData/>
  </xdr:twoCellAnchor>
  <xdr:twoCellAnchor>
    <xdr:from>
      <xdr:col>1</xdr:col>
      <xdr:colOff>47625</xdr:colOff>
      <xdr:row>21</xdr:row>
      <xdr:rowOff>66675</xdr:rowOff>
    </xdr:from>
    <xdr:to>
      <xdr:col>5</xdr:col>
      <xdr:colOff>209550</xdr:colOff>
      <xdr:row>23</xdr:row>
      <xdr:rowOff>0</xdr:rowOff>
    </xdr:to>
    <xdr:sp macro="" textlink="">
      <xdr:nvSpPr>
        <xdr:cNvPr id="173067" name="AutoShape 11">
          <a:hlinkClick xmlns:r="http://schemas.openxmlformats.org/officeDocument/2006/relationships" r:id="rId10" tooltip="CEILING"/>
        </xdr:cNvPr>
        <xdr:cNvSpPr>
          <a:spLocks noChangeArrowheads="1"/>
        </xdr:cNvSpPr>
      </xdr:nvSpPr>
      <xdr:spPr bwMode="auto">
        <a:xfrm>
          <a:off x="723900" y="38290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CEILING</a:t>
          </a:r>
        </a:p>
      </xdr:txBody>
    </xdr:sp>
    <xdr:clientData/>
  </xdr:twoCellAnchor>
  <xdr:twoCellAnchor>
    <xdr:from>
      <xdr:col>1</xdr:col>
      <xdr:colOff>47625</xdr:colOff>
      <xdr:row>23</xdr:row>
      <xdr:rowOff>95250</xdr:rowOff>
    </xdr:from>
    <xdr:to>
      <xdr:col>5</xdr:col>
      <xdr:colOff>209550</xdr:colOff>
      <xdr:row>25</xdr:row>
      <xdr:rowOff>28575</xdr:rowOff>
    </xdr:to>
    <xdr:sp macro="" textlink="">
      <xdr:nvSpPr>
        <xdr:cNvPr id="173068" name="AutoShape 12">
          <a:hlinkClick xmlns:r="http://schemas.openxmlformats.org/officeDocument/2006/relationships" r:id="rId11" tooltip="CELL"/>
        </xdr:cNvPr>
        <xdr:cNvSpPr>
          <a:spLocks noChangeArrowheads="1"/>
        </xdr:cNvSpPr>
      </xdr:nvSpPr>
      <xdr:spPr bwMode="auto">
        <a:xfrm>
          <a:off x="723900" y="41814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CELL</a:t>
          </a:r>
        </a:p>
      </xdr:txBody>
    </xdr:sp>
    <xdr:clientData/>
  </xdr:twoCellAnchor>
  <xdr:twoCellAnchor>
    <xdr:from>
      <xdr:col>1</xdr:col>
      <xdr:colOff>47625</xdr:colOff>
      <xdr:row>25</xdr:row>
      <xdr:rowOff>142875</xdr:rowOff>
    </xdr:from>
    <xdr:to>
      <xdr:col>5</xdr:col>
      <xdr:colOff>209550</xdr:colOff>
      <xdr:row>27</xdr:row>
      <xdr:rowOff>76200</xdr:rowOff>
    </xdr:to>
    <xdr:sp macro="" textlink="">
      <xdr:nvSpPr>
        <xdr:cNvPr id="173069" name="AutoShape 13">
          <a:hlinkClick xmlns:r="http://schemas.openxmlformats.org/officeDocument/2006/relationships" r:id="rId12" tooltip="CHAR"/>
        </xdr:cNvPr>
        <xdr:cNvSpPr>
          <a:spLocks noChangeArrowheads="1"/>
        </xdr:cNvSpPr>
      </xdr:nvSpPr>
      <xdr:spPr bwMode="auto">
        <a:xfrm>
          <a:off x="723900" y="45529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CHAR</a:t>
          </a:r>
        </a:p>
      </xdr:txBody>
    </xdr:sp>
    <xdr:clientData/>
  </xdr:twoCellAnchor>
  <xdr:twoCellAnchor>
    <xdr:from>
      <xdr:col>1</xdr:col>
      <xdr:colOff>47625</xdr:colOff>
      <xdr:row>28</xdr:row>
      <xdr:rowOff>28575</xdr:rowOff>
    </xdr:from>
    <xdr:to>
      <xdr:col>5</xdr:col>
      <xdr:colOff>209550</xdr:colOff>
      <xdr:row>29</xdr:row>
      <xdr:rowOff>123825</xdr:rowOff>
    </xdr:to>
    <xdr:sp macro="" textlink="">
      <xdr:nvSpPr>
        <xdr:cNvPr id="173070" name="AutoShape 14">
          <a:hlinkClick xmlns:r="http://schemas.openxmlformats.org/officeDocument/2006/relationships" r:id="rId13" tooltip="CHOOSE"/>
        </xdr:cNvPr>
        <xdr:cNvSpPr>
          <a:spLocks noChangeArrowheads="1"/>
        </xdr:cNvSpPr>
      </xdr:nvSpPr>
      <xdr:spPr bwMode="auto">
        <a:xfrm>
          <a:off x="723900" y="49244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CHOOSE</a:t>
          </a:r>
        </a:p>
      </xdr:txBody>
    </xdr:sp>
    <xdr:clientData/>
  </xdr:twoCellAnchor>
  <xdr:twoCellAnchor>
    <xdr:from>
      <xdr:col>1</xdr:col>
      <xdr:colOff>47625</xdr:colOff>
      <xdr:row>30</xdr:row>
      <xdr:rowOff>57150</xdr:rowOff>
    </xdr:from>
    <xdr:to>
      <xdr:col>5</xdr:col>
      <xdr:colOff>209550</xdr:colOff>
      <xdr:row>31</xdr:row>
      <xdr:rowOff>152400</xdr:rowOff>
    </xdr:to>
    <xdr:sp macro="" textlink="">
      <xdr:nvSpPr>
        <xdr:cNvPr id="173071" name="AutoShape 15">
          <a:hlinkClick xmlns:r="http://schemas.openxmlformats.org/officeDocument/2006/relationships" r:id="rId14" tooltip="CLEAN"/>
        </xdr:cNvPr>
        <xdr:cNvSpPr>
          <a:spLocks noChangeArrowheads="1"/>
        </xdr:cNvSpPr>
      </xdr:nvSpPr>
      <xdr:spPr bwMode="auto">
        <a:xfrm>
          <a:off x="723900" y="52768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CLEAN</a:t>
          </a:r>
        </a:p>
      </xdr:txBody>
    </xdr:sp>
    <xdr:clientData/>
  </xdr:twoCellAnchor>
  <xdr:twoCellAnchor>
    <xdr:from>
      <xdr:col>1</xdr:col>
      <xdr:colOff>47625</xdr:colOff>
      <xdr:row>32</xdr:row>
      <xdr:rowOff>95250</xdr:rowOff>
    </xdr:from>
    <xdr:to>
      <xdr:col>5</xdr:col>
      <xdr:colOff>209550</xdr:colOff>
      <xdr:row>34</xdr:row>
      <xdr:rowOff>28575</xdr:rowOff>
    </xdr:to>
    <xdr:sp macro="" textlink="">
      <xdr:nvSpPr>
        <xdr:cNvPr id="173072" name="AutoShape 16">
          <a:hlinkClick xmlns:r="http://schemas.openxmlformats.org/officeDocument/2006/relationships" r:id="rId15" tooltip="CODE"/>
        </xdr:cNvPr>
        <xdr:cNvSpPr>
          <a:spLocks noChangeArrowheads="1"/>
        </xdr:cNvSpPr>
      </xdr:nvSpPr>
      <xdr:spPr bwMode="auto">
        <a:xfrm>
          <a:off x="723900" y="56388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CODE</a:t>
          </a:r>
        </a:p>
      </xdr:txBody>
    </xdr:sp>
    <xdr:clientData/>
  </xdr:twoCellAnchor>
  <xdr:twoCellAnchor>
    <xdr:from>
      <xdr:col>1</xdr:col>
      <xdr:colOff>47625</xdr:colOff>
      <xdr:row>34</xdr:row>
      <xdr:rowOff>142875</xdr:rowOff>
    </xdr:from>
    <xdr:to>
      <xdr:col>5</xdr:col>
      <xdr:colOff>209550</xdr:colOff>
      <xdr:row>36</xdr:row>
      <xdr:rowOff>76200</xdr:rowOff>
    </xdr:to>
    <xdr:sp macro="" textlink="">
      <xdr:nvSpPr>
        <xdr:cNvPr id="173073" name="AutoShape 17">
          <a:hlinkClick xmlns:r="http://schemas.openxmlformats.org/officeDocument/2006/relationships" r:id="rId16" tooltip="COMBIN"/>
        </xdr:cNvPr>
        <xdr:cNvSpPr>
          <a:spLocks noChangeArrowheads="1"/>
        </xdr:cNvSpPr>
      </xdr:nvSpPr>
      <xdr:spPr bwMode="auto">
        <a:xfrm>
          <a:off x="723900" y="60102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COMBIN</a:t>
          </a:r>
        </a:p>
      </xdr:txBody>
    </xdr:sp>
    <xdr:clientData/>
  </xdr:twoCellAnchor>
  <xdr:twoCellAnchor>
    <xdr:from>
      <xdr:col>1</xdr:col>
      <xdr:colOff>47625</xdr:colOff>
      <xdr:row>37</xdr:row>
      <xdr:rowOff>28575</xdr:rowOff>
    </xdr:from>
    <xdr:to>
      <xdr:col>5</xdr:col>
      <xdr:colOff>209550</xdr:colOff>
      <xdr:row>38</xdr:row>
      <xdr:rowOff>123825</xdr:rowOff>
    </xdr:to>
    <xdr:sp macro="" textlink="">
      <xdr:nvSpPr>
        <xdr:cNvPr id="173074" name="AutoShape 18">
          <a:hlinkClick xmlns:r="http://schemas.openxmlformats.org/officeDocument/2006/relationships" r:id="rId17" tooltip="CONCATENATE"/>
        </xdr:cNvPr>
        <xdr:cNvSpPr>
          <a:spLocks noChangeArrowheads="1"/>
        </xdr:cNvSpPr>
      </xdr:nvSpPr>
      <xdr:spPr bwMode="auto">
        <a:xfrm>
          <a:off x="723900" y="63817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CONCATENATE</a:t>
          </a:r>
        </a:p>
      </xdr:txBody>
    </xdr:sp>
    <xdr:clientData/>
  </xdr:twoCellAnchor>
  <xdr:twoCellAnchor>
    <xdr:from>
      <xdr:col>1</xdr:col>
      <xdr:colOff>47625</xdr:colOff>
      <xdr:row>39</xdr:row>
      <xdr:rowOff>76200</xdr:rowOff>
    </xdr:from>
    <xdr:to>
      <xdr:col>5</xdr:col>
      <xdr:colOff>209550</xdr:colOff>
      <xdr:row>41</xdr:row>
      <xdr:rowOff>9525</xdr:rowOff>
    </xdr:to>
    <xdr:sp macro="" textlink="">
      <xdr:nvSpPr>
        <xdr:cNvPr id="173075" name="AutoShape 19">
          <a:hlinkClick xmlns:r="http://schemas.openxmlformats.org/officeDocument/2006/relationships" r:id="rId18" tooltip="CONVERT"/>
        </xdr:cNvPr>
        <xdr:cNvSpPr>
          <a:spLocks noChangeArrowheads="1"/>
        </xdr:cNvSpPr>
      </xdr:nvSpPr>
      <xdr:spPr bwMode="auto">
        <a:xfrm>
          <a:off x="723900" y="67532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CONVERT</a:t>
          </a:r>
        </a:p>
      </xdr:txBody>
    </xdr:sp>
    <xdr:clientData/>
  </xdr:twoCellAnchor>
  <xdr:twoCellAnchor>
    <xdr:from>
      <xdr:col>1</xdr:col>
      <xdr:colOff>47625</xdr:colOff>
      <xdr:row>41</xdr:row>
      <xdr:rowOff>123825</xdr:rowOff>
    </xdr:from>
    <xdr:to>
      <xdr:col>5</xdr:col>
      <xdr:colOff>209550</xdr:colOff>
      <xdr:row>43</xdr:row>
      <xdr:rowOff>57150</xdr:rowOff>
    </xdr:to>
    <xdr:sp macro="" textlink="">
      <xdr:nvSpPr>
        <xdr:cNvPr id="173076" name="AutoShape 20">
          <a:hlinkClick xmlns:r="http://schemas.openxmlformats.org/officeDocument/2006/relationships" r:id="rId19" tooltip="CORREL"/>
        </xdr:cNvPr>
        <xdr:cNvSpPr>
          <a:spLocks noChangeArrowheads="1"/>
        </xdr:cNvSpPr>
      </xdr:nvSpPr>
      <xdr:spPr bwMode="auto">
        <a:xfrm>
          <a:off x="723900" y="71247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CORREL</a:t>
          </a:r>
        </a:p>
      </xdr:txBody>
    </xdr:sp>
    <xdr:clientData/>
  </xdr:twoCellAnchor>
  <xdr:twoCellAnchor>
    <xdr:from>
      <xdr:col>1</xdr:col>
      <xdr:colOff>47625</xdr:colOff>
      <xdr:row>44</xdr:row>
      <xdr:rowOff>19050</xdr:rowOff>
    </xdr:from>
    <xdr:to>
      <xdr:col>5</xdr:col>
      <xdr:colOff>209550</xdr:colOff>
      <xdr:row>45</xdr:row>
      <xdr:rowOff>114300</xdr:rowOff>
    </xdr:to>
    <xdr:sp macro="" textlink="">
      <xdr:nvSpPr>
        <xdr:cNvPr id="173077" name="AutoShape 21">
          <a:hlinkClick xmlns:r="http://schemas.openxmlformats.org/officeDocument/2006/relationships" r:id="rId20" tooltip="COUNT"/>
        </xdr:cNvPr>
        <xdr:cNvSpPr>
          <a:spLocks noChangeArrowheads="1"/>
        </xdr:cNvSpPr>
      </xdr:nvSpPr>
      <xdr:spPr bwMode="auto">
        <a:xfrm>
          <a:off x="723900" y="75057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COUNT</a:t>
          </a:r>
        </a:p>
      </xdr:txBody>
    </xdr:sp>
    <xdr:clientData/>
  </xdr:twoCellAnchor>
  <xdr:twoCellAnchor>
    <xdr:from>
      <xdr:col>1</xdr:col>
      <xdr:colOff>47625</xdr:colOff>
      <xdr:row>46</xdr:row>
      <xdr:rowOff>66675</xdr:rowOff>
    </xdr:from>
    <xdr:to>
      <xdr:col>5</xdr:col>
      <xdr:colOff>209550</xdr:colOff>
      <xdr:row>48</xdr:row>
      <xdr:rowOff>0</xdr:rowOff>
    </xdr:to>
    <xdr:sp macro="" textlink="">
      <xdr:nvSpPr>
        <xdr:cNvPr id="173078" name="AutoShape 22">
          <a:hlinkClick xmlns:r="http://schemas.openxmlformats.org/officeDocument/2006/relationships" r:id="rId21" tooltip="COUNTA"/>
        </xdr:cNvPr>
        <xdr:cNvSpPr>
          <a:spLocks noChangeArrowheads="1"/>
        </xdr:cNvSpPr>
      </xdr:nvSpPr>
      <xdr:spPr bwMode="auto">
        <a:xfrm>
          <a:off x="723900" y="78771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COUNTA</a:t>
          </a:r>
        </a:p>
      </xdr:txBody>
    </xdr:sp>
    <xdr:clientData/>
  </xdr:twoCellAnchor>
  <xdr:twoCellAnchor>
    <xdr:from>
      <xdr:col>1</xdr:col>
      <xdr:colOff>47625</xdr:colOff>
      <xdr:row>48</xdr:row>
      <xdr:rowOff>114300</xdr:rowOff>
    </xdr:from>
    <xdr:to>
      <xdr:col>5</xdr:col>
      <xdr:colOff>209550</xdr:colOff>
      <xdr:row>50</xdr:row>
      <xdr:rowOff>47625</xdr:rowOff>
    </xdr:to>
    <xdr:sp macro="" textlink="">
      <xdr:nvSpPr>
        <xdr:cNvPr id="173079" name="AutoShape 23">
          <a:hlinkClick xmlns:r="http://schemas.openxmlformats.org/officeDocument/2006/relationships" r:id="rId22" tooltip="COUNTBLANK"/>
        </xdr:cNvPr>
        <xdr:cNvSpPr>
          <a:spLocks noChangeArrowheads="1"/>
        </xdr:cNvSpPr>
      </xdr:nvSpPr>
      <xdr:spPr bwMode="auto">
        <a:xfrm>
          <a:off x="723900" y="82486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COUNTBLANK</a:t>
          </a:r>
        </a:p>
      </xdr:txBody>
    </xdr:sp>
    <xdr:clientData/>
  </xdr:twoCellAnchor>
  <xdr:twoCellAnchor>
    <xdr:from>
      <xdr:col>1</xdr:col>
      <xdr:colOff>47625</xdr:colOff>
      <xdr:row>51</xdr:row>
      <xdr:rowOff>0</xdr:rowOff>
    </xdr:from>
    <xdr:to>
      <xdr:col>5</xdr:col>
      <xdr:colOff>209550</xdr:colOff>
      <xdr:row>52</xdr:row>
      <xdr:rowOff>95250</xdr:rowOff>
    </xdr:to>
    <xdr:sp macro="" textlink="">
      <xdr:nvSpPr>
        <xdr:cNvPr id="173080" name="AutoShape 24">
          <a:hlinkClick xmlns:r="http://schemas.openxmlformats.org/officeDocument/2006/relationships" r:id="rId23" tooltip="COUNTIF"/>
        </xdr:cNvPr>
        <xdr:cNvSpPr>
          <a:spLocks noChangeArrowheads="1"/>
        </xdr:cNvSpPr>
      </xdr:nvSpPr>
      <xdr:spPr bwMode="auto">
        <a:xfrm>
          <a:off x="723900" y="86201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COUNTIF</a:t>
          </a:r>
        </a:p>
      </xdr:txBody>
    </xdr:sp>
    <xdr:clientData/>
  </xdr:twoCellAnchor>
  <xdr:twoCellAnchor>
    <xdr:from>
      <xdr:col>1</xdr:col>
      <xdr:colOff>47625</xdr:colOff>
      <xdr:row>53</xdr:row>
      <xdr:rowOff>47625</xdr:rowOff>
    </xdr:from>
    <xdr:to>
      <xdr:col>5</xdr:col>
      <xdr:colOff>209550</xdr:colOff>
      <xdr:row>54</xdr:row>
      <xdr:rowOff>142875</xdr:rowOff>
    </xdr:to>
    <xdr:sp macro="" textlink="">
      <xdr:nvSpPr>
        <xdr:cNvPr id="173081" name="AutoShape 25">
          <a:hlinkClick xmlns:r="http://schemas.openxmlformats.org/officeDocument/2006/relationships" r:id="rId24" tooltip="DATE"/>
        </xdr:cNvPr>
        <xdr:cNvSpPr>
          <a:spLocks noChangeArrowheads="1"/>
        </xdr:cNvSpPr>
      </xdr:nvSpPr>
      <xdr:spPr bwMode="auto">
        <a:xfrm>
          <a:off x="723900" y="8991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1</xdr:col>
      <xdr:colOff>47625</xdr:colOff>
      <xdr:row>55</xdr:row>
      <xdr:rowOff>95250</xdr:rowOff>
    </xdr:from>
    <xdr:to>
      <xdr:col>5</xdr:col>
      <xdr:colOff>209550</xdr:colOff>
      <xdr:row>57</xdr:row>
      <xdr:rowOff>28575</xdr:rowOff>
    </xdr:to>
    <xdr:sp macro="" textlink="">
      <xdr:nvSpPr>
        <xdr:cNvPr id="173082" name="AutoShape 26">
          <a:hlinkClick xmlns:r="http://schemas.openxmlformats.org/officeDocument/2006/relationships" r:id="rId25" tooltip="DATEDIF"/>
        </xdr:cNvPr>
        <xdr:cNvSpPr>
          <a:spLocks noChangeArrowheads="1"/>
        </xdr:cNvSpPr>
      </xdr:nvSpPr>
      <xdr:spPr bwMode="auto">
        <a:xfrm>
          <a:off x="723900" y="93630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DATEDIF</a:t>
          </a:r>
        </a:p>
      </xdr:txBody>
    </xdr:sp>
    <xdr:clientData/>
  </xdr:twoCellAnchor>
  <xdr:twoCellAnchor>
    <xdr:from>
      <xdr:col>1</xdr:col>
      <xdr:colOff>47625</xdr:colOff>
      <xdr:row>57</xdr:row>
      <xdr:rowOff>142875</xdr:rowOff>
    </xdr:from>
    <xdr:to>
      <xdr:col>5</xdr:col>
      <xdr:colOff>209550</xdr:colOff>
      <xdr:row>59</xdr:row>
      <xdr:rowOff>76200</xdr:rowOff>
    </xdr:to>
    <xdr:sp macro="" textlink="">
      <xdr:nvSpPr>
        <xdr:cNvPr id="173083" name="AutoShape 27">
          <a:hlinkClick xmlns:r="http://schemas.openxmlformats.org/officeDocument/2006/relationships" r:id="rId26" tooltip="DATEVALUE"/>
        </xdr:cNvPr>
        <xdr:cNvSpPr>
          <a:spLocks noChangeArrowheads="1"/>
        </xdr:cNvSpPr>
      </xdr:nvSpPr>
      <xdr:spPr bwMode="auto">
        <a:xfrm>
          <a:off x="723900" y="97345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DATEVALUE</a:t>
          </a:r>
        </a:p>
      </xdr:txBody>
    </xdr:sp>
    <xdr:clientData/>
  </xdr:twoCellAnchor>
  <xdr:twoCellAnchor>
    <xdr:from>
      <xdr:col>1</xdr:col>
      <xdr:colOff>47625</xdr:colOff>
      <xdr:row>60</xdr:row>
      <xdr:rowOff>19050</xdr:rowOff>
    </xdr:from>
    <xdr:to>
      <xdr:col>5</xdr:col>
      <xdr:colOff>209550</xdr:colOff>
      <xdr:row>61</xdr:row>
      <xdr:rowOff>114300</xdr:rowOff>
    </xdr:to>
    <xdr:sp macro="" textlink="">
      <xdr:nvSpPr>
        <xdr:cNvPr id="173084" name="AutoShape 28">
          <a:hlinkClick xmlns:r="http://schemas.openxmlformats.org/officeDocument/2006/relationships" r:id="rId27" tooltip="DAVERAGE"/>
        </xdr:cNvPr>
        <xdr:cNvSpPr>
          <a:spLocks noChangeArrowheads="1"/>
        </xdr:cNvSpPr>
      </xdr:nvSpPr>
      <xdr:spPr bwMode="auto">
        <a:xfrm>
          <a:off x="723900" y="100965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DAVERAGE</a:t>
          </a:r>
        </a:p>
      </xdr:txBody>
    </xdr:sp>
    <xdr:clientData/>
  </xdr:twoCellAnchor>
  <xdr:twoCellAnchor>
    <xdr:from>
      <xdr:col>1</xdr:col>
      <xdr:colOff>47625</xdr:colOff>
      <xdr:row>62</xdr:row>
      <xdr:rowOff>57150</xdr:rowOff>
    </xdr:from>
    <xdr:to>
      <xdr:col>5</xdr:col>
      <xdr:colOff>209550</xdr:colOff>
      <xdr:row>63</xdr:row>
      <xdr:rowOff>152400</xdr:rowOff>
    </xdr:to>
    <xdr:sp macro="" textlink="">
      <xdr:nvSpPr>
        <xdr:cNvPr id="173085" name="AutoShape 29">
          <a:hlinkClick xmlns:r="http://schemas.openxmlformats.org/officeDocument/2006/relationships" r:id="rId28" tooltip="DAY"/>
        </xdr:cNvPr>
        <xdr:cNvSpPr>
          <a:spLocks noChangeArrowheads="1"/>
        </xdr:cNvSpPr>
      </xdr:nvSpPr>
      <xdr:spPr bwMode="auto">
        <a:xfrm>
          <a:off x="723900" y="104584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DAY</a:t>
          </a:r>
        </a:p>
      </xdr:txBody>
    </xdr:sp>
    <xdr:clientData/>
  </xdr:twoCellAnchor>
  <xdr:twoCellAnchor>
    <xdr:from>
      <xdr:col>1</xdr:col>
      <xdr:colOff>47625</xdr:colOff>
      <xdr:row>64</xdr:row>
      <xdr:rowOff>95250</xdr:rowOff>
    </xdr:from>
    <xdr:to>
      <xdr:col>5</xdr:col>
      <xdr:colOff>209550</xdr:colOff>
      <xdr:row>66</xdr:row>
      <xdr:rowOff>28575</xdr:rowOff>
    </xdr:to>
    <xdr:sp macro="" textlink="">
      <xdr:nvSpPr>
        <xdr:cNvPr id="173086" name="AutoShape 30">
          <a:hlinkClick xmlns:r="http://schemas.openxmlformats.org/officeDocument/2006/relationships" r:id="rId29" tooltip="DAYS360"/>
        </xdr:cNvPr>
        <xdr:cNvSpPr>
          <a:spLocks noChangeArrowheads="1"/>
        </xdr:cNvSpPr>
      </xdr:nvSpPr>
      <xdr:spPr bwMode="auto">
        <a:xfrm>
          <a:off x="723900" y="108204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DAYS360</a:t>
          </a:r>
        </a:p>
      </xdr:txBody>
    </xdr:sp>
    <xdr:clientData/>
  </xdr:twoCellAnchor>
  <xdr:twoCellAnchor>
    <xdr:from>
      <xdr:col>1</xdr:col>
      <xdr:colOff>47625</xdr:colOff>
      <xdr:row>66</xdr:row>
      <xdr:rowOff>142875</xdr:rowOff>
    </xdr:from>
    <xdr:to>
      <xdr:col>5</xdr:col>
      <xdr:colOff>209550</xdr:colOff>
      <xdr:row>68</xdr:row>
      <xdr:rowOff>76200</xdr:rowOff>
    </xdr:to>
    <xdr:sp macro="" textlink="">
      <xdr:nvSpPr>
        <xdr:cNvPr id="173087" name="AutoShape 31">
          <a:hlinkClick xmlns:r="http://schemas.openxmlformats.org/officeDocument/2006/relationships" r:id="rId30" tooltip="DB"/>
        </xdr:cNvPr>
        <xdr:cNvSpPr>
          <a:spLocks noChangeArrowheads="1"/>
        </xdr:cNvSpPr>
      </xdr:nvSpPr>
      <xdr:spPr bwMode="auto">
        <a:xfrm>
          <a:off x="723900" y="111918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DB</a:t>
          </a:r>
        </a:p>
      </xdr:txBody>
    </xdr:sp>
    <xdr:clientData/>
  </xdr:twoCellAnchor>
  <xdr:twoCellAnchor>
    <xdr:from>
      <xdr:col>1</xdr:col>
      <xdr:colOff>47625</xdr:colOff>
      <xdr:row>69</xdr:row>
      <xdr:rowOff>28575</xdr:rowOff>
    </xdr:from>
    <xdr:to>
      <xdr:col>5</xdr:col>
      <xdr:colOff>209550</xdr:colOff>
      <xdr:row>70</xdr:row>
      <xdr:rowOff>123825</xdr:rowOff>
    </xdr:to>
    <xdr:sp macro="" textlink="">
      <xdr:nvSpPr>
        <xdr:cNvPr id="173088" name="AutoShape 32">
          <a:hlinkClick xmlns:r="http://schemas.openxmlformats.org/officeDocument/2006/relationships" r:id="rId31" tooltip="DCOUNT"/>
        </xdr:cNvPr>
        <xdr:cNvSpPr>
          <a:spLocks noChangeArrowheads="1"/>
        </xdr:cNvSpPr>
      </xdr:nvSpPr>
      <xdr:spPr bwMode="auto">
        <a:xfrm>
          <a:off x="723900" y="115633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DCOUNT</a:t>
          </a:r>
        </a:p>
      </xdr:txBody>
    </xdr:sp>
    <xdr:clientData/>
  </xdr:twoCellAnchor>
  <xdr:twoCellAnchor>
    <xdr:from>
      <xdr:col>1</xdr:col>
      <xdr:colOff>47625</xdr:colOff>
      <xdr:row>71</xdr:row>
      <xdr:rowOff>85725</xdr:rowOff>
    </xdr:from>
    <xdr:to>
      <xdr:col>5</xdr:col>
      <xdr:colOff>209550</xdr:colOff>
      <xdr:row>73</xdr:row>
      <xdr:rowOff>19050</xdr:rowOff>
    </xdr:to>
    <xdr:sp macro="" textlink="">
      <xdr:nvSpPr>
        <xdr:cNvPr id="173089" name="AutoShape 33">
          <a:hlinkClick xmlns:r="http://schemas.openxmlformats.org/officeDocument/2006/relationships" r:id="rId32" tooltip="DCOUNTA"/>
        </xdr:cNvPr>
        <xdr:cNvSpPr>
          <a:spLocks noChangeArrowheads="1"/>
        </xdr:cNvSpPr>
      </xdr:nvSpPr>
      <xdr:spPr bwMode="auto">
        <a:xfrm>
          <a:off x="723900" y="119443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DCOUNTA</a:t>
          </a:r>
        </a:p>
      </xdr:txBody>
    </xdr:sp>
    <xdr:clientData/>
  </xdr:twoCellAnchor>
  <xdr:twoCellAnchor>
    <xdr:from>
      <xdr:col>1</xdr:col>
      <xdr:colOff>47625</xdr:colOff>
      <xdr:row>73</xdr:row>
      <xdr:rowOff>142875</xdr:rowOff>
    </xdr:from>
    <xdr:to>
      <xdr:col>5</xdr:col>
      <xdr:colOff>209550</xdr:colOff>
      <xdr:row>75</xdr:row>
      <xdr:rowOff>76200</xdr:rowOff>
    </xdr:to>
    <xdr:sp macro="" textlink="">
      <xdr:nvSpPr>
        <xdr:cNvPr id="173090" name="AutoShape 34">
          <a:hlinkClick xmlns:r="http://schemas.openxmlformats.org/officeDocument/2006/relationships" r:id="rId33" tooltip="DEC2BIN"/>
        </xdr:cNvPr>
        <xdr:cNvSpPr>
          <a:spLocks noChangeArrowheads="1"/>
        </xdr:cNvSpPr>
      </xdr:nvSpPr>
      <xdr:spPr bwMode="auto">
        <a:xfrm>
          <a:off x="723900" y="123253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DEC2BIN</a:t>
          </a:r>
        </a:p>
      </xdr:txBody>
    </xdr:sp>
    <xdr:clientData/>
  </xdr:twoCellAnchor>
  <xdr:twoCellAnchor>
    <xdr:from>
      <xdr:col>1</xdr:col>
      <xdr:colOff>47625</xdr:colOff>
      <xdr:row>76</xdr:row>
      <xdr:rowOff>28575</xdr:rowOff>
    </xdr:from>
    <xdr:to>
      <xdr:col>5</xdr:col>
      <xdr:colOff>209550</xdr:colOff>
      <xdr:row>77</xdr:row>
      <xdr:rowOff>123825</xdr:rowOff>
    </xdr:to>
    <xdr:sp macro="" textlink="">
      <xdr:nvSpPr>
        <xdr:cNvPr id="173091" name="AutoShape 35">
          <a:hlinkClick xmlns:r="http://schemas.openxmlformats.org/officeDocument/2006/relationships" r:id="rId34" tooltip="DEC2HEX"/>
        </xdr:cNvPr>
        <xdr:cNvSpPr>
          <a:spLocks noChangeArrowheads="1"/>
        </xdr:cNvSpPr>
      </xdr:nvSpPr>
      <xdr:spPr bwMode="auto">
        <a:xfrm>
          <a:off x="723900" y="12696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DEC2HEX</a:t>
          </a:r>
        </a:p>
      </xdr:txBody>
    </xdr:sp>
    <xdr:clientData/>
  </xdr:twoCellAnchor>
  <xdr:twoCellAnchor>
    <xdr:from>
      <xdr:col>1</xdr:col>
      <xdr:colOff>47625</xdr:colOff>
      <xdr:row>78</xdr:row>
      <xdr:rowOff>85725</xdr:rowOff>
    </xdr:from>
    <xdr:to>
      <xdr:col>5</xdr:col>
      <xdr:colOff>209550</xdr:colOff>
      <xdr:row>80</xdr:row>
      <xdr:rowOff>19050</xdr:rowOff>
    </xdr:to>
    <xdr:sp macro="" textlink="">
      <xdr:nvSpPr>
        <xdr:cNvPr id="173092" name="AutoShape 36">
          <a:hlinkClick xmlns:r="http://schemas.openxmlformats.org/officeDocument/2006/relationships" r:id="rId35" tooltip="DELTA"/>
        </xdr:cNvPr>
        <xdr:cNvSpPr>
          <a:spLocks noChangeArrowheads="1"/>
        </xdr:cNvSpPr>
      </xdr:nvSpPr>
      <xdr:spPr bwMode="auto">
        <a:xfrm>
          <a:off x="723900" y="13077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DELTA</a:t>
          </a:r>
        </a:p>
      </xdr:txBody>
    </xdr:sp>
    <xdr:clientData/>
  </xdr:twoCellAnchor>
  <xdr:twoCellAnchor>
    <xdr:from>
      <xdr:col>1</xdr:col>
      <xdr:colOff>47625</xdr:colOff>
      <xdr:row>80</xdr:row>
      <xdr:rowOff>142875</xdr:rowOff>
    </xdr:from>
    <xdr:to>
      <xdr:col>5</xdr:col>
      <xdr:colOff>209550</xdr:colOff>
      <xdr:row>82</xdr:row>
      <xdr:rowOff>76200</xdr:rowOff>
    </xdr:to>
    <xdr:sp macro="" textlink="">
      <xdr:nvSpPr>
        <xdr:cNvPr id="173093" name="AutoShape 37">
          <a:hlinkClick xmlns:r="http://schemas.openxmlformats.org/officeDocument/2006/relationships" r:id="rId36" tooltip="DGET"/>
        </xdr:cNvPr>
        <xdr:cNvSpPr>
          <a:spLocks noChangeArrowheads="1"/>
        </xdr:cNvSpPr>
      </xdr:nvSpPr>
      <xdr:spPr bwMode="auto">
        <a:xfrm>
          <a:off x="723900" y="13458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DGET</a:t>
          </a:r>
        </a:p>
      </xdr:txBody>
    </xdr:sp>
    <xdr:clientData/>
  </xdr:twoCellAnchor>
  <xdr:twoCellAnchor>
    <xdr:from>
      <xdr:col>1</xdr:col>
      <xdr:colOff>47625</xdr:colOff>
      <xdr:row>83</xdr:row>
      <xdr:rowOff>38100</xdr:rowOff>
    </xdr:from>
    <xdr:to>
      <xdr:col>5</xdr:col>
      <xdr:colOff>209550</xdr:colOff>
      <xdr:row>84</xdr:row>
      <xdr:rowOff>133350</xdr:rowOff>
    </xdr:to>
    <xdr:sp macro="" textlink="">
      <xdr:nvSpPr>
        <xdr:cNvPr id="173094" name="AutoShape 38">
          <a:hlinkClick xmlns:r="http://schemas.openxmlformats.org/officeDocument/2006/relationships" r:id="rId37" tooltip="DMAX"/>
        </xdr:cNvPr>
        <xdr:cNvSpPr>
          <a:spLocks noChangeArrowheads="1"/>
        </xdr:cNvSpPr>
      </xdr:nvSpPr>
      <xdr:spPr bwMode="auto">
        <a:xfrm>
          <a:off x="723900" y="13839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DMAX</a:t>
          </a:r>
        </a:p>
      </xdr:txBody>
    </xdr:sp>
    <xdr:clientData/>
  </xdr:twoCellAnchor>
  <xdr:twoCellAnchor>
    <xdr:from>
      <xdr:col>1</xdr:col>
      <xdr:colOff>47625</xdr:colOff>
      <xdr:row>85</xdr:row>
      <xdr:rowOff>76200</xdr:rowOff>
    </xdr:from>
    <xdr:to>
      <xdr:col>5</xdr:col>
      <xdr:colOff>209550</xdr:colOff>
      <xdr:row>87</xdr:row>
      <xdr:rowOff>9525</xdr:rowOff>
    </xdr:to>
    <xdr:sp macro="" textlink="">
      <xdr:nvSpPr>
        <xdr:cNvPr id="173095" name="AutoShape 39">
          <a:hlinkClick xmlns:r="http://schemas.openxmlformats.org/officeDocument/2006/relationships" r:id="rId38" tooltip="DMIN"/>
        </xdr:cNvPr>
        <xdr:cNvSpPr>
          <a:spLocks noChangeArrowheads="1"/>
        </xdr:cNvSpPr>
      </xdr:nvSpPr>
      <xdr:spPr bwMode="auto">
        <a:xfrm>
          <a:off x="723900" y="142017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DMIN</a:t>
          </a:r>
        </a:p>
      </xdr:txBody>
    </xdr:sp>
    <xdr:clientData/>
  </xdr:twoCellAnchor>
  <xdr:twoCellAnchor>
    <xdr:from>
      <xdr:col>1</xdr:col>
      <xdr:colOff>47625</xdr:colOff>
      <xdr:row>87</xdr:row>
      <xdr:rowOff>133350</xdr:rowOff>
    </xdr:from>
    <xdr:to>
      <xdr:col>5</xdr:col>
      <xdr:colOff>209550</xdr:colOff>
      <xdr:row>89</xdr:row>
      <xdr:rowOff>66675</xdr:rowOff>
    </xdr:to>
    <xdr:sp macro="" textlink="">
      <xdr:nvSpPr>
        <xdr:cNvPr id="173096" name="AutoShape 40">
          <a:hlinkClick xmlns:r="http://schemas.openxmlformats.org/officeDocument/2006/relationships" r:id="rId39" tooltip="DOLLAR"/>
        </xdr:cNvPr>
        <xdr:cNvSpPr>
          <a:spLocks noChangeArrowheads="1"/>
        </xdr:cNvSpPr>
      </xdr:nvSpPr>
      <xdr:spPr bwMode="auto">
        <a:xfrm>
          <a:off x="723900" y="145827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DOLLAR</a:t>
          </a:r>
        </a:p>
      </xdr:txBody>
    </xdr:sp>
    <xdr:clientData/>
  </xdr:twoCellAnchor>
  <xdr:twoCellAnchor>
    <xdr:from>
      <xdr:col>1</xdr:col>
      <xdr:colOff>47625</xdr:colOff>
      <xdr:row>90</xdr:row>
      <xdr:rowOff>38100</xdr:rowOff>
    </xdr:from>
    <xdr:to>
      <xdr:col>5</xdr:col>
      <xdr:colOff>209550</xdr:colOff>
      <xdr:row>91</xdr:row>
      <xdr:rowOff>133350</xdr:rowOff>
    </xdr:to>
    <xdr:sp macro="" textlink="">
      <xdr:nvSpPr>
        <xdr:cNvPr id="173097" name="AutoShape 41">
          <a:hlinkClick xmlns:r="http://schemas.openxmlformats.org/officeDocument/2006/relationships" r:id="rId40" tooltip="DSUM"/>
        </xdr:cNvPr>
        <xdr:cNvSpPr>
          <a:spLocks noChangeArrowheads="1"/>
        </xdr:cNvSpPr>
      </xdr:nvSpPr>
      <xdr:spPr bwMode="auto">
        <a:xfrm>
          <a:off x="723900" y="149733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DSUM</a:t>
          </a:r>
        </a:p>
      </xdr:txBody>
    </xdr:sp>
    <xdr:clientData/>
  </xdr:twoCellAnchor>
  <xdr:twoCellAnchor>
    <xdr:from>
      <xdr:col>1</xdr:col>
      <xdr:colOff>47625</xdr:colOff>
      <xdr:row>92</xdr:row>
      <xdr:rowOff>95250</xdr:rowOff>
    </xdr:from>
    <xdr:to>
      <xdr:col>5</xdr:col>
      <xdr:colOff>209550</xdr:colOff>
      <xdr:row>94</xdr:row>
      <xdr:rowOff>28575</xdr:rowOff>
    </xdr:to>
    <xdr:sp macro="" textlink="">
      <xdr:nvSpPr>
        <xdr:cNvPr id="173098" name="AutoShape 42">
          <a:hlinkClick xmlns:r="http://schemas.openxmlformats.org/officeDocument/2006/relationships" r:id="rId41" tooltip="EDATE"/>
        </xdr:cNvPr>
        <xdr:cNvSpPr>
          <a:spLocks noChangeArrowheads="1"/>
        </xdr:cNvSpPr>
      </xdr:nvSpPr>
      <xdr:spPr bwMode="auto">
        <a:xfrm>
          <a:off x="723900" y="153543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EDATE</a:t>
          </a:r>
        </a:p>
      </xdr:txBody>
    </xdr:sp>
    <xdr:clientData/>
  </xdr:twoCellAnchor>
  <xdr:twoCellAnchor>
    <xdr:from>
      <xdr:col>1</xdr:col>
      <xdr:colOff>47625</xdr:colOff>
      <xdr:row>94</xdr:row>
      <xdr:rowOff>152400</xdr:rowOff>
    </xdr:from>
    <xdr:to>
      <xdr:col>5</xdr:col>
      <xdr:colOff>209550</xdr:colOff>
      <xdr:row>96</xdr:row>
      <xdr:rowOff>85725</xdr:rowOff>
    </xdr:to>
    <xdr:sp macro="" textlink="">
      <xdr:nvSpPr>
        <xdr:cNvPr id="173099" name="AutoShape 43">
          <a:hlinkClick xmlns:r="http://schemas.openxmlformats.org/officeDocument/2006/relationships" r:id="rId42" tooltip="EOMONTH"/>
        </xdr:cNvPr>
        <xdr:cNvSpPr>
          <a:spLocks noChangeArrowheads="1"/>
        </xdr:cNvSpPr>
      </xdr:nvSpPr>
      <xdr:spPr bwMode="auto">
        <a:xfrm>
          <a:off x="723900" y="157353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EOMONTH</a:t>
          </a:r>
        </a:p>
      </xdr:txBody>
    </xdr:sp>
    <xdr:clientData/>
  </xdr:twoCellAnchor>
  <xdr:twoCellAnchor>
    <xdr:from>
      <xdr:col>1</xdr:col>
      <xdr:colOff>47625</xdr:colOff>
      <xdr:row>97</xdr:row>
      <xdr:rowOff>57150</xdr:rowOff>
    </xdr:from>
    <xdr:to>
      <xdr:col>5</xdr:col>
      <xdr:colOff>209550</xdr:colOff>
      <xdr:row>98</xdr:row>
      <xdr:rowOff>152400</xdr:rowOff>
    </xdr:to>
    <xdr:sp macro="" textlink="">
      <xdr:nvSpPr>
        <xdr:cNvPr id="173100" name="AutoShape 44">
          <a:hlinkClick xmlns:r="http://schemas.openxmlformats.org/officeDocument/2006/relationships" r:id="rId43" tooltip="ERROR.TYPE"/>
        </xdr:cNvPr>
        <xdr:cNvSpPr>
          <a:spLocks noChangeArrowheads="1"/>
        </xdr:cNvSpPr>
      </xdr:nvSpPr>
      <xdr:spPr bwMode="auto">
        <a:xfrm>
          <a:off x="723900" y="16125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ERROR.TYPE</a:t>
          </a:r>
        </a:p>
      </xdr:txBody>
    </xdr:sp>
    <xdr:clientData/>
  </xdr:twoCellAnchor>
  <xdr:twoCellAnchor>
    <xdr:from>
      <xdr:col>1</xdr:col>
      <xdr:colOff>47625</xdr:colOff>
      <xdr:row>99</xdr:row>
      <xdr:rowOff>114300</xdr:rowOff>
    </xdr:from>
    <xdr:to>
      <xdr:col>5</xdr:col>
      <xdr:colOff>209550</xdr:colOff>
      <xdr:row>101</xdr:row>
      <xdr:rowOff>47625</xdr:rowOff>
    </xdr:to>
    <xdr:sp macro="" textlink="">
      <xdr:nvSpPr>
        <xdr:cNvPr id="173101" name="AutoShape 45">
          <a:hlinkClick xmlns:r="http://schemas.openxmlformats.org/officeDocument/2006/relationships" r:id="rId44" tooltip="EVEN"/>
        </xdr:cNvPr>
        <xdr:cNvSpPr>
          <a:spLocks noChangeArrowheads="1"/>
        </xdr:cNvSpPr>
      </xdr:nvSpPr>
      <xdr:spPr bwMode="auto">
        <a:xfrm>
          <a:off x="723900" y="16506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EVEN</a:t>
          </a:r>
        </a:p>
      </xdr:txBody>
    </xdr:sp>
    <xdr:clientData/>
  </xdr:twoCellAnchor>
  <xdr:twoCellAnchor>
    <xdr:from>
      <xdr:col>1</xdr:col>
      <xdr:colOff>47625</xdr:colOff>
      <xdr:row>102</xdr:row>
      <xdr:rowOff>19050</xdr:rowOff>
    </xdr:from>
    <xdr:to>
      <xdr:col>5</xdr:col>
      <xdr:colOff>209550</xdr:colOff>
      <xdr:row>103</xdr:row>
      <xdr:rowOff>114300</xdr:rowOff>
    </xdr:to>
    <xdr:sp macro="" textlink="">
      <xdr:nvSpPr>
        <xdr:cNvPr id="173102" name="AutoShape 46">
          <a:hlinkClick xmlns:r="http://schemas.openxmlformats.org/officeDocument/2006/relationships" r:id="rId45" tooltip="EXACT"/>
        </xdr:cNvPr>
        <xdr:cNvSpPr>
          <a:spLocks noChangeArrowheads="1"/>
        </xdr:cNvSpPr>
      </xdr:nvSpPr>
      <xdr:spPr bwMode="auto">
        <a:xfrm>
          <a:off x="723900" y="168973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EXACT</a:t>
          </a:r>
        </a:p>
      </xdr:txBody>
    </xdr:sp>
    <xdr:clientData/>
  </xdr:twoCellAnchor>
  <xdr:twoCellAnchor>
    <xdr:from>
      <xdr:col>1</xdr:col>
      <xdr:colOff>47625</xdr:colOff>
      <xdr:row>104</xdr:row>
      <xdr:rowOff>85725</xdr:rowOff>
    </xdr:from>
    <xdr:to>
      <xdr:col>5</xdr:col>
      <xdr:colOff>209550</xdr:colOff>
      <xdr:row>106</xdr:row>
      <xdr:rowOff>19050</xdr:rowOff>
    </xdr:to>
    <xdr:sp macro="" textlink="">
      <xdr:nvSpPr>
        <xdr:cNvPr id="173103" name="AutoShape 47">
          <a:hlinkClick xmlns:r="http://schemas.openxmlformats.org/officeDocument/2006/relationships" r:id="rId46" tooltip="FACT"/>
        </xdr:cNvPr>
        <xdr:cNvSpPr>
          <a:spLocks noChangeArrowheads="1"/>
        </xdr:cNvSpPr>
      </xdr:nvSpPr>
      <xdr:spPr bwMode="auto">
        <a:xfrm>
          <a:off x="723900" y="172878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FACT</a:t>
          </a:r>
        </a:p>
      </xdr:txBody>
    </xdr:sp>
    <xdr:clientData/>
  </xdr:twoCellAnchor>
  <xdr:twoCellAnchor>
    <xdr:from>
      <xdr:col>1</xdr:col>
      <xdr:colOff>47625</xdr:colOff>
      <xdr:row>106</xdr:row>
      <xdr:rowOff>152400</xdr:rowOff>
    </xdr:from>
    <xdr:to>
      <xdr:col>5</xdr:col>
      <xdr:colOff>209550</xdr:colOff>
      <xdr:row>108</xdr:row>
      <xdr:rowOff>85725</xdr:rowOff>
    </xdr:to>
    <xdr:sp macro="" textlink="">
      <xdr:nvSpPr>
        <xdr:cNvPr id="173104" name="AutoShape 48">
          <a:hlinkClick xmlns:r="http://schemas.openxmlformats.org/officeDocument/2006/relationships" r:id="rId47" tooltip="Filename Formula"/>
        </xdr:cNvPr>
        <xdr:cNvSpPr>
          <a:spLocks noChangeArrowheads="1"/>
        </xdr:cNvSpPr>
      </xdr:nvSpPr>
      <xdr:spPr bwMode="auto">
        <a:xfrm>
          <a:off x="723900" y="176784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Filename Formula</a:t>
          </a:r>
        </a:p>
      </xdr:txBody>
    </xdr:sp>
    <xdr:clientData/>
  </xdr:twoCellAnchor>
  <xdr:twoCellAnchor>
    <xdr:from>
      <xdr:col>1</xdr:col>
      <xdr:colOff>47625</xdr:colOff>
      <xdr:row>109</xdr:row>
      <xdr:rowOff>47625</xdr:rowOff>
    </xdr:from>
    <xdr:to>
      <xdr:col>5</xdr:col>
      <xdr:colOff>209550</xdr:colOff>
      <xdr:row>110</xdr:row>
      <xdr:rowOff>142875</xdr:rowOff>
    </xdr:to>
    <xdr:sp macro="" textlink="">
      <xdr:nvSpPr>
        <xdr:cNvPr id="173105" name="AutoShape 49">
          <a:hlinkClick xmlns:r="http://schemas.openxmlformats.org/officeDocument/2006/relationships" r:id="rId48" tooltip="FIND"/>
        </xdr:cNvPr>
        <xdr:cNvSpPr>
          <a:spLocks noChangeArrowheads="1"/>
        </xdr:cNvSpPr>
      </xdr:nvSpPr>
      <xdr:spPr bwMode="auto">
        <a:xfrm>
          <a:off x="723900" y="180594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FIND</a:t>
          </a:r>
        </a:p>
      </xdr:txBody>
    </xdr:sp>
    <xdr:clientData/>
  </xdr:twoCellAnchor>
  <xdr:twoCellAnchor>
    <xdr:from>
      <xdr:col>1</xdr:col>
      <xdr:colOff>47625</xdr:colOff>
      <xdr:row>111</xdr:row>
      <xdr:rowOff>114300</xdr:rowOff>
    </xdr:from>
    <xdr:to>
      <xdr:col>5</xdr:col>
      <xdr:colOff>209550</xdr:colOff>
      <xdr:row>113</xdr:row>
      <xdr:rowOff>47625</xdr:rowOff>
    </xdr:to>
    <xdr:sp macro="" textlink="">
      <xdr:nvSpPr>
        <xdr:cNvPr id="173106" name="AutoShape 50">
          <a:hlinkClick xmlns:r="http://schemas.openxmlformats.org/officeDocument/2006/relationships" r:id="rId49" tooltip="FIXED"/>
        </xdr:cNvPr>
        <xdr:cNvSpPr>
          <a:spLocks noChangeArrowheads="1"/>
        </xdr:cNvSpPr>
      </xdr:nvSpPr>
      <xdr:spPr bwMode="auto">
        <a:xfrm>
          <a:off x="723900" y="184499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FIXED</a:t>
          </a:r>
        </a:p>
      </xdr:txBody>
    </xdr:sp>
    <xdr:clientData/>
  </xdr:twoCellAnchor>
  <xdr:twoCellAnchor>
    <xdr:from>
      <xdr:col>1</xdr:col>
      <xdr:colOff>47625</xdr:colOff>
      <xdr:row>114</xdr:row>
      <xdr:rowOff>19050</xdr:rowOff>
    </xdr:from>
    <xdr:to>
      <xdr:col>5</xdr:col>
      <xdr:colOff>209550</xdr:colOff>
      <xdr:row>115</xdr:row>
      <xdr:rowOff>114300</xdr:rowOff>
    </xdr:to>
    <xdr:sp macro="" textlink="">
      <xdr:nvSpPr>
        <xdr:cNvPr id="173107" name="AutoShape 51">
          <a:hlinkClick xmlns:r="http://schemas.openxmlformats.org/officeDocument/2006/relationships" r:id="rId50" tooltip="FLOOR"/>
        </xdr:cNvPr>
        <xdr:cNvSpPr>
          <a:spLocks noChangeArrowheads="1"/>
        </xdr:cNvSpPr>
      </xdr:nvSpPr>
      <xdr:spPr bwMode="auto">
        <a:xfrm>
          <a:off x="723900" y="188404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FLOOR</a:t>
          </a:r>
        </a:p>
      </xdr:txBody>
    </xdr:sp>
    <xdr:clientData/>
  </xdr:twoCellAnchor>
  <xdr:twoCellAnchor>
    <xdr:from>
      <xdr:col>1</xdr:col>
      <xdr:colOff>47625</xdr:colOff>
      <xdr:row>116</xdr:row>
      <xdr:rowOff>95250</xdr:rowOff>
    </xdr:from>
    <xdr:to>
      <xdr:col>5</xdr:col>
      <xdr:colOff>209550</xdr:colOff>
      <xdr:row>118</xdr:row>
      <xdr:rowOff>28575</xdr:rowOff>
    </xdr:to>
    <xdr:sp macro="" textlink="">
      <xdr:nvSpPr>
        <xdr:cNvPr id="173108" name="AutoShape 52">
          <a:hlinkClick xmlns:r="http://schemas.openxmlformats.org/officeDocument/2006/relationships" r:id="rId51" tooltip="FORECAST"/>
        </xdr:cNvPr>
        <xdr:cNvSpPr>
          <a:spLocks noChangeArrowheads="1"/>
        </xdr:cNvSpPr>
      </xdr:nvSpPr>
      <xdr:spPr bwMode="auto">
        <a:xfrm>
          <a:off x="723900" y="192405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FORECAST</a:t>
          </a:r>
        </a:p>
      </xdr:txBody>
    </xdr:sp>
    <xdr:clientData/>
  </xdr:twoCellAnchor>
  <xdr:twoCellAnchor>
    <xdr:from>
      <xdr:col>1</xdr:col>
      <xdr:colOff>47625</xdr:colOff>
      <xdr:row>119</xdr:row>
      <xdr:rowOff>9525</xdr:rowOff>
    </xdr:from>
    <xdr:to>
      <xdr:col>5</xdr:col>
      <xdr:colOff>209550</xdr:colOff>
      <xdr:row>120</xdr:row>
      <xdr:rowOff>104775</xdr:rowOff>
    </xdr:to>
    <xdr:sp macro="" textlink="">
      <xdr:nvSpPr>
        <xdr:cNvPr id="173109" name="AutoShape 53">
          <a:hlinkClick xmlns:r="http://schemas.openxmlformats.org/officeDocument/2006/relationships" r:id="rId52" tooltip="FREQUENCY"/>
        </xdr:cNvPr>
        <xdr:cNvSpPr>
          <a:spLocks noChangeArrowheads="1"/>
        </xdr:cNvSpPr>
      </xdr:nvSpPr>
      <xdr:spPr bwMode="auto">
        <a:xfrm>
          <a:off x="723900" y="196405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FREQUENCY</a:t>
          </a:r>
        </a:p>
      </xdr:txBody>
    </xdr:sp>
    <xdr:clientData/>
  </xdr:twoCellAnchor>
  <xdr:twoCellAnchor>
    <xdr:from>
      <xdr:col>1</xdr:col>
      <xdr:colOff>47625</xdr:colOff>
      <xdr:row>121</xdr:row>
      <xdr:rowOff>76200</xdr:rowOff>
    </xdr:from>
    <xdr:to>
      <xdr:col>5</xdr:col>
      <xdr:colOff>209550</xdr:colOff>
      <xdr:row>123</xdr:row>
      <xdr:rowOff>9525</xdr:rowOff>
    </xdr:to>
    <xdr:sp macro="" textlink="">
      <xdr:nvSpPr>
        <xdr:cNvPr id="173110" name="AutoShape 54">
          <a:hlinkClick xmlns:r="http://schemas.openxmlformats.org/officeDocument/2006/relationships" r:id="rId53" tooltip="GCD"/>
        </xdr:cNvPr>
        <xdr:cNvSpPr>
          <a:spLocks noChangeArrowheads="1"/>
        </xdr:cNvSpPr>
      </xdr:nvSpPr>
      <xdr:spPr bwMode="auto">
        <a:xfrm>
          <a:off x="723900" y="200310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GCD</a:t>
          </a:r>
        </a:p>
      </xdr:txBody>
    </xdr:sp>
    <xdr:clientData/>
  </xdr:twoCellAnchor>
  <xdr:twoCellAnchor>
    <xdr:from>
      <xdr:col>1</xdr:col>
      <xdr:colOff>47625</xdr:colOff>
      <xdr:row>123</xdr:row>
      <xdr:rowOff>133350</xdr:rowOff>
    </xdr:from>
    <xdr:to>
      <xdr:col>5</xdr:col>
      <xdr:colOff>209550</xdr:colOff>
      <xdr:row>125</xdr:row>
      <xdr:rowOff>66675</xdr:rowOff>
    </xdr:to>
    <xdr:sp macro="" textlink="">
      <xdr:nvSpPr>
        <xdr:cNvPr id="173111" name="AutoShape 55">
          <a:hlinkClick xmlns:r="http://schemas.openxmlformats.org/officeDocument/2006/relationships" r:id="rId54" tooltip="GESTEP"/>
        </xdr:cNvPr>
        <xdr:cNvSpPr>
          <a:spLocks noChangeArrowheads="1"/>
        </xdr:cNvSpPr>
      </xdr:nvSpPr>
      <xdr:spPr bwMode="auto">
        <a:xfrm>
          <a:off x="723900" y="204120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GESTEP</a:t>
          </a:r>
        </a:p>
      </xdr:txBody>
    </xdr:sp>
    <xdr:clientData/>
  </xdr:twoCellAnchor>
  <xdr:twoCellAnchor>
    <xdr:from>
      <xdr:col>1</xdr:col>
      <xdr:colOff>47625</xdr:colOff>
      <xdr:row>126</xdr:row>
      <xdr:rowOff>38100</xdr:rowOff>
    </xdr:from>
    <xdr:to>
      <xdr:col>5</xdr:col>
      <xdr:colOff>209550</xdr:colOff>
      <xdr:row>127</xdr:row>
      <xdr:rowOff>133350</xdr:rowOff>
    </xdr:to>
    <xdr:sp macro="" textlink="">
      <xdr:nvSpPr>
        <xdr:cNvPr id="173112" name="AutoShape 56"/>
        <xdr:cNvSpPr>
          <a:spLocks noChangeArrowheads="1"/>
        </xdr:cNvSpPr>
      </xdr:nvSpPr>
      <xdr:spPr bwMode="auto">
        <a:xfrm>
          <a:off x="723900" y="20802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</xdr:col>
      <xdr:colOff>47625</xdr:colOff>
      <xdr:row>128</xdr:row>
      <xdr:rowOff>95250</xdr:rowOff>
    </xdr:from>
    <xdr:to>
      <xdr:col>5</xdr:col>
      <xdr:colOff>209550</xdr:colOff>
      <xdr:row>130</xdr:row>
      <xdr:rowOff>28575</xdr:rowOff>
    </xdr:to>
    <xdr:sp macro="" textlink="">
      <xdr:nvSpPr>
        <xdr:cNvPr id="173113" name="AutoShape 57">
          <a:hlinkClick xmlns:r="http://schemas.openxmlformats.org/officeDocument/2006/relationships" r:id="rId55" tooltip="HEX2DEC"/>
        </xdr:cNvPr>
        <xdr:cNvSpPr>
          <a:spLocks noChangeArrowheads="1"/>
        </xdr:cNvSpPr>
      </xdr:nvSpPr>
      <xdr:spPr bwMode="auto">
        <a:xfrm>
          <a:off x="723900" y="21183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HEX2DEC</a:t>
          </a:r>
        </a:p>
      </xdr:txBody>
    </xdr:sp>
    <xdr:clientData/>
  </xdr:twoCellAnchor>
  <xdr:twoCellAnchor>
    <xdr:from>
      <xdr:col>1</xdr:col>
      <xdr:colOff>47625</xdr:colOff>
      <xdr:row>130</xdr:row>
      <xdr:rowOff>152400</xdr:rowOff>
    </xdr:from>
    <xdr:to>
      <xdr:col>5</xdr:col>
      <xdr:colOff>209550</xdr:colOff>
      <xdr:row>132</xdr:row>
      <xdr:rowOff>85725</xdr:rowOff>
    </xdr:to>
    <xdr:sp macro="" textlink="">
      <xdr:nvSpPr>
        <xdr:cNvPr id="173114" name="AutoShape 58">
          <a:hlinkClick xmlns:r="http://schemas.openxmlformats.org/officeDocument/2006/relationships" r:id="rId56" tooltip="HLOOKUP"/>
        </xdr:cNvPr>
        <xdr:cNvSpPr>
          <a:spLocks noChangeArrowheads="1"/>
        </xdr:cNvSpPr>
      </xdr:nvSpPr>
      <xdr:spPr bwMode="auto">
        <a:xfrm>
          <a:off x="723900" y="21564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HLOOKUP</a:t>
          </a:r>
        </a:p>
      </xdr:txBody>
    </xdr:sp>
    <xdr:clientData/>
  </xdr:twoCellAnchor>
  <xdr:twoCellAnchor>
    <xdr:from>
      <xdr:col>1</xdr:col>
      <xdr:colOff>47625</xdr:colOff>
      <xdr:row>133</xdr:row>
      <xdr:rowOff>47625</xdr:rowOff>
    </xdr:from>
    <xdr:to>
      <xdr:col>5</xdr:col>
      <xdr:colOff>209550</xdr:colOff>
      <xdr:row>134</xdr:row>
      <xdr:rowOff>142875</xdr:rowOff>
    </xdr:to>
    <xdr:sp macro="" textlink="">
      <xdr:nvSpPr>
        <xdr:cNvPr id="173115" name="AutoShape 59">
          <a:hlinkClick xmlns:r="http://schemas.openxmlformats.org/officeDocument/2006/relationships" r:id="rId57" tooltip="HOUR"/>
        </xdr:cNvPr>
        <xdr:cNvSpPr>
          <a:spLocks noChangeArrowheads="1"/>
        </xdr:cNvSpPr>
      </xdr:nvSpPr>
      <xdr:spPr bwMode="auto">
        <a:xfrm>
          <a:off x="723900" y="21945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HOUR</a:t>
          </a:r>
        </a:p>
      </xdr:txBody>
    </xdr:sp>
    <xdr:clientData/>
  </xdr:twoCellAnchor>
  <xdr:twoCellAnchor>
    <xdr:from>
      <xdr:col>1</xdr:col>
      <xdr:colOff>47625</xdr:colOff>
      <xdr:row>135</xdr:row>
      <xdr:rowOff>104775</xdr:rowOff>
    </xdr:from>
    <xdr:to>
      <xdr:col>5</xdr:col>
      <xdr:colOff>209550</xdr:colOff>
      <xdr:row>137</xdr:row>
      <xdr:rowOff>38100</xdr:rowOff>
    </xdr:to>
    <xdr:sp macro="" textlink="">
      <xdr:nvSpPr>
        <xdr:cNvPr id="173116" name="AutoShape 60">
          <a:hlinkClick xmlns:r="http://schemas.openxmlformats.org/officeDocument/2006/relationships" r:id="rId58" tooltip="IF"/>
        </xdr:cNvPr>
        <xdr:cNvSpPr>
          <a:spLocks noChangeArrowheads="1"/>
        </xdr:cNvSpPr>
      </xdr:nvSpPr>
      <xdr:spPr bwMode="auto">
        <a:xfrm>
          <a:off x="723900" y="22326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IF</a:t>
          </a:r>
        </a:p>
      </xdr:txBody>
    </xdr:sp>
    <xdr:clientData/>
  </xdr:twoCellAnchor>
  <xdr:twoCellAnchor>
    <xdr:from>
      <xdr:col>1</xdr:col>
      <xdr:colOff>47625</xdr:colOff>
      <xdr:row>138</xdr:row>
      <xdr:rowOff>19050</xdr:rowOff>
    </xdr:from>
    <xdr:to>
      <xdr:col>5</xdr:col>
      <xdr:colOff>209550</xdr:colOff>
      <xdr:row>139</xdr:row>
      <xdr:rowOff>114300</xdr:rowOff>
    </xdr:to>
    <xdr:sp macro="" textlink="">
      <xdr:nvSpPr>
        <xdr:cNvPr id="173117" name="AutoShape 61">
          <a:hlinkClick xmlns:r="http://schemas.openxmlformats.org/officeDocument/2006/relationships" r:id="rId59" tooltip="INDEX"/>
        </xdr:cNvPr>
        <xdr:cNvSpPr>
          <a:spLocks noChangeArrowheads="1"/>
        </xdr:cNvSpPr>
      </xdr:nvSpPr>
      <xdr:spPr bwMode="auto">
        <a:xfrm>
          <a:off x="723900" y="227266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INDEX</a:t>
          </a:r>
        </a:p>
      </xdr:txBody>
    </xdr:sp>
    <xdr:clientData/>
  </xdr:twoCellAnchor>
  <xdr:twoCellAnchor>
    <xdr:from>
      <xdr:col>1</xdr:col>
      <xdr:colOff>47625</xdr:colOff>
      <xdr:row>140</xdr:row>
      <xdr:rowOff>76200</xdr:rowOff>
    </xdr:from>
    <xdr:to>
      <xdr:col>5</xdr:col>
      <xdr:colOff>209550</xdr:colOff>
      <xdr:row>142</xdr:row>
      <xdr:rowOff>9525</xdr:rowOff>
    </xdr:to>
    <xdr:sp macro="" textlink="">
      <xdr:nvSpPr>
        <xdr:cNvPr id="173118" name="AutoShape 62">
          <a:hlinkClick xmlns:r="http://schemas.openxmlformats.org/officeDocument/2006/relationships" r:id="rId60" tooltip="INDIRECT"/>
        </xdr:cNvPr>
        <xdr:cNvSpPr>
          <a:spLocks noChangeArrowheads="1"/>
        </xdr:cNvSpPr>
      </xdr:nvSpPr>
      <xdr:spPr bwMode="auto">
        <a:xfrm>
          <a:off x="723900" y="231076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INDIRECT</a:t>
          </a:r>
        </a:p>
      </xdr:txBody>
    </xdr:sp>
    <xdr:clientData/>
  </xdr:twoCellAnchor>
  <xdr:twoCellAnchor>
    <xdr:from>
      <xdr:col>1</xdr:col>
      <xdr:colOff>47625</xdr:colOff>
      <xdr:row>142</xdr:row>
      <xdr:rowOff>133350</xdr:rowOff>
    </xdr:from>
    <xdr:to>
      <xdr:col>5</xdr:col>
      <xdr:colOff>209550</xdr:colOff>
      <xdr:row>144</xdr:row>
      <xdr:rowOff>66675</xdr:rowOff>
    </xdr:to>
    <xdr:sp macro="" textlink="">
      <xdr:nvSpPr>
        <xdr:cNvPr id="173119" name="AutoShape 63">
          <a:hlinkClick xmlns:r="http://schemas.openxmlformats.org/officeDocument/2006/relationships" r:id="rId61" tooltip="INFO"/>
        </xdr:cNvPr>
        <xdr:cNvSpPr>
          <a:spLocks noChangeArrowheads="1"/>
        </xdr:cNvSpPr>
      </xdr:nvSpPr>
      <xdr:spPr bwMode="auto">
        <a:xfrm>
          <a:off x="723900" y="234886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INFO</a:t>
          </a:r>
        </a:p>
      </xdr:txBody>
    </xdr:sp>
    <xdr:clientData/>
  </xdr:twoCellAnchor>
  <xdr:twoCellAnchor>
    <xdr:from>
      <xdr:col>1</xdr:col>
      <xdr:colOff>47625</xdr:colOff>
      <xdr:row>145</xdr:row>
      <xdr:rowOff>28575</xdr:rowOff>
    </xdr:from>
    <xdr:to>
      <xdr:col>5</xdr:col>
      <xdr:colOff>209550</xdr:colOff>
      <xdr:row>146</xdr:row>
      <xdr:rowOff>123825</xdr:rowOff>
    </xdr:to>
    <xdr:sp macro="" textlink="">
      <xdr:nvSpPr>
        <xdr:cNvPr id="173120" name="AutoShape 64">
          <a:hlinkClick xmlns:r="http://schemas.openxmlformats.org/officeDocument/2006/relationships" r:id="rId62" tooltip="Instant Charts"/>
        </xdr:cNvPr>
        <xdr:cNvSpPr>
          <a:spLocks noChangeArrowheads="1"/>
        </xdr:cNvSpPr>
      </xdr:nvSpPr>
      <xdr:spPr bwMode="auto">
        <a:xfrm>
          <a:off x="723900" y="238696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Instant Charts</a:t>
          </a:r>
        </a:p>
      </xdr:txBody>
    </xdr:sp>
    <xdr:clientData/>
  </xdr:twoCellAnchor>
  <xdr:twoCellAnchor>
    <xdr:from>
      <xdr:col>1</xdr:col>
      <xdr:colOff>47625</xdr:colOff>
      <xdr:row>147</xdr:row>
      <xdr:rowOff>95250</xdr:rowOff>
    </xdr:from>
    <xdr:to>
      <xdr:col>5</xdr:col>
      <xdr:colOff>209550</xdr:colOff>
      <xdr:row>149</xdr:row>
      <xdr:rowOff>28575</xdr:rowOff>
    </xdr:to>
    <xdr:sp macro="" textlink="">
      <xdr:nvSpPr>
        <xdr:cNvPr id="173121" name="AutoShape 65">
          <a:hlinkClick xmlns:r="http://schemas.openxmlformats.org/officeDocument/2006/relationships" r:id="rId63" tooltip="INT"/>
        </xdr:cNvPr>
        <xdr:cNvSpPr>
          <a:spLocks noChangeArrowheads="1"/>
        </xdr:cNvSpPr>
      </xdr:nvSpPr>
      <xdr:spPr bwMode="auto">
        <a:xfrm>
          <a:off x="723900" y="242601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INT</a:t>
          </a:r>
        </a:p>
      </xdr:txBody>
    </xdr:sp>
    <xdr:clientData/>
  </xdr:twoCellAnchor>
  <xdr:twoCellAnchor>
    <xdr:from>
      <xdr:col>1</xdr:col>
      <xdr:colOff>47625</xdr:colOff>
      <xdr:row>149</xdr:row>
      <xdr:rowOff>152400</xdr:rowOff>
    </xdr:from>
    <xdr:to>
      <xdr:col>5</xdr:col>
      <xdr:colOff>209550</xdr:colOff>
      <xdr:row>151</xdr:row>
      <xdr:rowOff>85725</xdr:rowOff>
    </xdr:to>
    <xdr:sp macro="" textlink="">
      <xdr:nvSpPr>
        <xdr:cNvPr id="173122" name="AutoShape 66">
          <a:hlinkClick xmlns:r="http://schemas.openxmlformats.org/officeDocument/2006/relationships" r:id="rId64" tooltip="ISBLANK"/>
        </xdr:cNvPr>
        <xdr:cNvSpPr>
          <a:spLocks noChangeArrowheads="1"/>
        </xdr:cNvSpPr>
      </xdr:nvSpPr>
      <xdr:spPr bwMode="auto">
        <a:xfrm>
          <a:off x="723900" y="246411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ISBLANK</a:t>
          </a:r>
        </a:p>
      </xdr:txBody>
    </xdr:sp>
    <xdr:clientData/>
  </xdr:twoCellAnchor>
  <xdr:twoCellAnchor>
    <xdr:from>
      <xdr:col>1</xdr:col>
      <xdr:colOff>47625</xdr:colOff>
      <xdr:row>152</xdr:row>
      <xdr:rowOff>57150</xdr:rowOff>
    </xdr:from>
    <xdr:to>
      <xdr:col>5</xdr:col>
      <xdr:colOff>209550</xdr:colOff>
      <xdr:row>153</xdr:row>
      <xdr:rowOff>152400</xdr:rowOff>
    </xdr:to>
    <xdr:sp macro="" textlink="">
      <xdr:nvSpPr>
        <xdr:cNvPr id="173123" name="AutoShape 67">
          <a:hlinkClick xmlns:r="http://schemas.openxmlformats.org/officeDocument/2006/relationships" r:id="rId65" tooltip="ISERR"/>
        </xdr:cNvPr>
        <xdr:cNvSpPr>
          <a:spLocks noChangeArrowheads="1"/>
        </xdr:cNvSpPr>
      </xdr:nvSpPr>
      <xdr:spPr bwMode="auto">
        <a:xfrm>
          <a:off x="723900" y="250317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ISERR</a:t>
          </a:r>
        </a:p>
      </xdr:txBody>
    </xdr:sp>
    <xdr:clientData/>
  </xdr:twoCellAnchor>
  <xdr:twoCellAnchor>
    <xdr:from>
      <xdr:col>1</xdr:col>
      <xdr:colOff>47625</xdr:colOff>
      <xdr:row>154</xdr:row>
      <xdr:rowOff>114300</xdr:rowOff>
    </xdr:from>
    <xdr:to>
      <xdr:col>5</xdr:col>
      <xdr:colOff>209550</xdr:colOff>
      <xdr:row>156</xdr:row>
      <xdr:rowOff>47625</xdr:rowOff>
    </xdr:to>
    <xdr:sp macro="" textlink="">
      <xdr:nvSpPr>
        <xdr:cNvPr id="173124" name="AutoShape 68">
          <a:hlinkClick xmlns:r="http://schemas.openxmlformats.org/officeDocument/2006/relationships" r:id="rId66" tooltip="ISERROR"/>
        </xdr:cNvPr>
        <xdr:cNvSpPr>
          <a:spLocks noChangeArrowheads="1"/>
        </xdr:cNvSpPr>
      </xdr:nvSpPr>
      <xdr:spPr bwMode="auto">
        <a:xfrm>
          <a:off x="723900" y="254127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ISERROR</a:t>
          </a:r>
        </a:p>
      </xdr:txBody>
    </xdr:sp>
    <xdr:clientData/>
  </xdr:twoCellAnchor>
  <xdr:twoCellAnchor>
    <xdr:from>
      <xdr:col>1</xdr:col>
      <xdr:colOff>47625</xdr:colOff>
      <xdr:row>157</xdr:row>
      <xdr:rowOff>28575</xdr:rowOff>
    </xdr:from>
    <xdr:to>
      <xdr:col>5</xdr:col>
      <xdr:colOff>209550</xdr:colOff>
      <xdr:row>158</xdr:row>
      <xdr:rowOff>123825</xdr:rowOff>
    </xdr:to>
    <xdr:sp macro="" textlink="">
      <xdr:nvSpPr>
        <xdr:cNvPr id="173125" name="AutoShape 69">
          <a:hlinkClick xmlns:r="http://schemas.openxmlformats.org/officeDocument/2006/relationships" r:id="rId67" tooltip="ISEVEN"/>
        </xdr:cNvPr>
        <xdr:cNvSpPr>
          <a:spLocks noChangeArrowheads="1"/>
        </xdr:cNvSpPr>
      </xdr:nvSpPr>
      <xdr:spPr bwMode="auto">
        <a:xfrm>
          <a:off x="723900" y="258127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ISEVEN</a:t>
          </a:r>
        </a:p>
      </xdr:txBody>
    </xdr:sp>
    <xdr:clientData/>
  </xdr:twoCellAnchor>
  <xdr:twoCellAnchor>
    <xdr:from>
      <xdr:col>1</xdr:col>
      <xdr:colOff>47625</xdr:colOff>
      <xdr:row>159</xdr:row>
      <xdr:rowOff>95250</xdr:rowOff>
    </xdr:from>
    <xdr:to>
      <xdr:col>5</xdr:col>
      <xdr:colOff>209550</xdr:colOff>
      <xdr:row>161</xdr:row>
      <xdr:rowOff>28575</xdr:rowOff>
    </xdr:to>
    <xdr:sp macro="" textlink="">
      <xdr:nvSpPr>
        <xdr:cNvPr id="173126" name="AutoShape 70">
          <a:hlinkClick xmlns:r="http://schemas.openxmlformats.org/officeDocument/2006/relationships" r:id="rId68" tooltip="ISLOGICAL"/>
        </xdr:cNvPr>
        <xdr:cNvSpPr>
          <a:spLocks noChangeArrowheads="1"/>
        </xdr:cNvSpPr>
      </xdr:nvSpPr>
      <xdr:spPr bwMode="auto">
        <a:xfrm>
          <a:off x="723900" y="262032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ISLOGICAL</a:t>
          </a:r>
        </a:p>
      </xdr:txBody>
    </xdr:sp>
    <xdr:clientData/>
  </xdr:twoCellAnchor>
  <xdr:twoCellAnchor>
    <xdr:from>
      <xdr:col>1</xdr:col>
      <xdr:colOff>47625</xdr:colOff>
      <xdr:row>162</xdr:row>
      <xdr:rowOff>0</xdr:rowOff>
    </xdr:from>
    <xdr:to>
      <xdr:col>5</xdr:col>
      <xdr:colOff>209550</xdr:colOff>
      <xdr:row>163</xdr:row>
      <xdr:rowOff>95250</xdr:rowOff>
    </xdr:to>
    <xdr:sp macro="" textlink="">
      <xdr:nvSpPr>
        <xdr:cNvPr id="173127" name="AutoShape 71">
          <a:hlinkClick xmlns:r="http://schemas.openxmlformats.org/officeDocument/2006/relationships" r:id="rId69" tooltip="ISNA"/>
        </xdr:cNvPr>
        <xdr:cNvSpPr>
          <a:spLocks noChangeArrowheads="1"/>
        </xdr:cNvSpPr>
      </xdr:nvSpPr>
      <xdr:spPr bwMode="auto">
        <a:xfrm>
          <a:off x="723900" y="265938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ISNA</a:t>
          </a:r>
        </a:p>
      </xdr:txBody>
    </xdr:sp>
    <xdr:clientData/>
  </xdr:twoCellAnchor>
  <xdr:twoCellAnchor>
    <xdr:from>
      <xdr:col>1</xdr:col>
      <xdr:colOff>47625</xdr:colOff>
      <xdr:row>164</xdr:row>
      <xdr:rowOff>66675</xdr:rowOff>
    </xdr:from>
    <xdr:to>
      <xdr:col>5</xdr:col>
      <xdr:colOff>209550</xdr:colOff>
      <xdr:row>166</xdr:row>
      <xdr:rowOff>0</xdr:rowOff>
    </xdr:to>
    <xdr:sp macro="" textlink="">
      <xdr:nvSpPr>
        <xdr:cNvPr id="173128" name="AutoShape 72">
          <a:hlinkClick xmlns:r="http://schemas.openxmlformats.org/officeDocument/2006/relationships" r:id="rId70" tooltip="ISNONTEXT"/>
        </xdr:cNvPr>
        <xdr:cNvSpPr>
          <a:spLocks noChangeArrowheads="1"/>
        </xdr:cNvSpPr>
      </xdr:nvSpPr>
      <xdr:spPr bwMode="auto">
        <a:xfrm>
          <a:off x="723900" y="269843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ISNONTEXT</a:t>
          </a:r>
        </a:p>
      </xdr:txBody>
    </xdr:sp>
    <xdr:clientData/>
  </xdr:twoCellAnchor>
  <xdr:twoCellAnchor>
    <xdr:from>
      <xdr:col>1</xdr:col>
      <xdr:colOff>47625</xdr:colOff>
      <xdr:row>166</xdr:row>
      <xdr:rowOff>133350</xdr:rowOff>
    </xdr:from>
    <xdr:to>
      <xdr:col>5</xdr:col>
      <xdr:colOff>209550</xdr:colOff>
      <xdr:row>168</xdr:row>
      <xdr:rowOff>66675</xdr:rowOff>
    </xdr:to>
    <xdr:sp macro="" textlink="">
      <xdr:nvSpPr>
        <xdr:cNvPr id="173129" name="AutoShape 73">
          <a:hlinkClick xmlns:r="http://schemas.openxmlformats.org/officeDocument/2006/relationships" r:id="rId71" tooltip="ISNUMBER"/>
        </xdr:cNvPr>
        <xdr:cNvSpPr>
          <a:spLocks noChangeArrowheads="1"/>
        </xdr:cNvSpPr>
      </xdr:nvSpPr>
      <xdr:spPr bwMode="auto">
        <a:xfrm>
          <a:off x="723900" y="273748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ISNUMBER</a:t>
          </a:r>
        </a:p>
      </xdr:txBody>
    </xdr:sp>
    <xdr:clientData/>
  </xdr:twoCellAnchor>
  <xdr:twoCellAnchor>
    <xdr:from>
      <xdr:col>1</xdr:col>
      <xdr:colOff>47625</xdr:colOff>
      <xdr:row>169</xdr:row>
      <xdr:rowOff>47625</xdr:rowOff>
    </xdr:from>
    <xdr:to>
      <xdr:col>5</xdr:col>
      <xdr:colOff>209550</xdr:colOff>
      <xdr:row>170</xdr:row>
      <xdr:rowOff>142875</xdr:rowOff>
    </xdr:to>
    <xdr:sp macro="" textlink="">
      <xdr:nvSpPr>
        <xdr:cNvPr id="173130" name="AutoShape 74">
          <a:hlinkClick xmlns:r="http://schemas.openxmlformats.org/officeDocument/2006/relationships" r:id="rId72" tooltip="ISODD"/>
        </xdr:cNvPr>
        <xdr:cNvSpPr>
          <a:spLocks noChangeArrowheads="1"/>
        </xdr:cNvSpPr>
      </xdr:nvSpPr>
      <xdr:spPr bwMode="auto">
        <a:xfrm>
          <a:off x="723900" y="277749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ISODD</a:t>
          </a:r>
        </a:p>
      </xdr:txBody>
    </xdr:sp>
    <xdr:clientData/>
  </xdr:twoCellAnchor>
  <xdr:twoCellAnchor>
    <xdr:from>
      <xdr:col>1</xdr:col>
      <xdr:colOff>47625</xdr:colOff>
      <xdr:row>171</xdr:row>
      <xdr:rowOff>123825</xdr:rowOff>
    </xdr:from>
    <xdr:to>
      <xdr:col>5</xdr:col>
      <xdr:colOff>209550</xdr:colOff>
      <xdr:row>173</xdr:row>
      <xdr:rowOff>57150</xdr:rowOff>
    </xdr:to>
    <xdr:sp macro="" textlink="">
      <xdr:nvSpPr>
        <xdr:cNvPr id="173131" name="AutoShape 75">
          <a:hlinkClick xmlns:r="http://schemas.openxmlformats.org/officeDocument/2006/relationships" r:id="rId73" tooltip="ISREF"/>
        </xdr:cNvPr>
        <xdr:cNvSpPr>
          <a:spLocks noChangeArrowheads="1"/>
        </xdr:cNvSpPr>
      </xdr:nvSpPr>
      <xdr:spPr bwMode="auto">
        <a:xfrm>
          <a:off x="723900" y="281749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ISREF</a:t>
          </a:r>
        </a:p>
      </xdr:txBody>
    </xdr:sp>
    <xdr:clientData/>
  </xdr:twoCellAnchor>
  <xdr:twoCellAnchor>
    <xdr:from>
      <xdr:col>1</xdr:col>
      <xdr:colOff>47625</xdr:colOff>
      <xdr:row>174</xdr:row>
      <xdr:rowOff>38100</xdr:rowOff>
    </xdr:from>
    <xdr:to>
      <xdr:col>5</xdr:col>
      <xdr:colOff>209550</xdr:colOff>
      <xdr:row>175</xdr:row>
      <xdr:rowOff>133350</xdr:rowOff>
    </xdr:to>
    <xdr:sp macro="" textlink="">
      <xdr:nvSpPr>
        <xdr:cNvPr id="173132" name="AutoShape 76">
          <a:hlinkClick xmlns:r="http://schemas.openxmlformats.org/officeDocument/2006/relationships" r:id="rId74" tooltip="ISTEXT"/>
        </xdr:cNvPr>
        <xdr:cNvSpPr>
          <a:spLocks noChangeArrowheads="1"/>
        </xdr:cNvSpPr>
      </xdr:nvSpPr>
      <xdr:spPr bwMode="auto">
        <a:xfrm>
          <a:off x="723900" y="285750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ISTEXT</a:t>
          </a:r>
        </a:p>
      </xdr:txBody>
    </xdr:sp>
    <xdr:clientData/>
  </xdr:twoCellAnchor>
  <xdr:twoCellAnchor>
    <xdr:from>
      <xdr:col>1</xdr:col>
      <xdr:colOff>47625</xdr:colOff>
      <xdr:row>176</xdr:row>
      <xdr:rowOff>104775</xdr:rowOff>
    </xdr:from>
    <xdr:to>
      <xdr:col>5</xdr:col>
      <xdr:colOff>209550</xdr:colOff>
      <xdr:row>178</xdr:row>
      <xdr:rowOff>38100</xdr:rowOff>
    </xdr:to>
    <xdr:sp macro="" textlink="">
      <xdr:nvSpPr>
        <xdr:cNvPr id="173133" name="AutoShape 77">
          <a:hlinkClick xmlns:r="http://schemas.openxmlformats.org/officeDocument/2006/relationships" r:id="rId75" tooltip="LARGE"/>
        </xdr:cNvPr>
        <xdr:cNvSpPr>
          <a:spLocks noChangeArrowheads="1"/>
        </xdr:cNvSpPr>
      </xdr:nvSpPr>
      <xdr:spPr bwMode="auto">
        <a:xfrm>
          <a:off x="723900" y="289655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LARGE</a:t>
          </a:r>
        </a:p>
      </xdr:txBody>
    </xdr:sp>
    <xdr:clientData/>
  </xdr:twoCellAnchor>
  <xdr:twoCellAnchor>
    <xdr:from>
      <xdr:col>1</xdr:col>
      <xdr:colOff>47625</xdr:colOff>
      <xdr:row>179</xdr:row>
      <xdr:rowOff>0</xdr:rowOff>
    </xdr:from>
    <xdr:to>
      <xdr:col>5</xdr:col>
      <xdr:colOff>209550</xdr:colOff>
      <xdr:row>180</xdr:row>
      <xdr:rowOff>95250</xdr:rowOff>
    </xdr:to>
    <xdr:sp macro="" textlink="">
      <xdr:nvSpPr>
        <xdr:cNvPr id="173134" name="AutoShape 78">
          <a:hlinkClick xmlns:r="http://schemas.openxmlformats.org/officeDocument/2006/relationships" r:id="rId76" tooltip="LCM"/>
        </xdr:cNvPr>
        <xdr:cNvSpPr>
          <a:spLocks noChangeArrowheads="1"/>
        </xdr:cNvSpPr>
      </xdr:nvSpPr>
      <xdr:spPr bwMode="auto">
        <a:xfrm>
          <a:off x="723900" y="293465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LCM</a:t>
          </a:r>
        </a:p>
      </xdr:txBody>
    </xdr:sp>
    <xdr:clientData/>
  </xdr:twoCellAnchor>
  <xdr:twoCellAnchor>
    <xdr:from>
      <xdr:col>1</xdr:col>
      <xdr:colOff>47625</xdr:colOff>
      <xdr:row>181</xdr:row>
      <xdr:rowOff>76200</xdr:rowOff>
    </xdr:from>
    <xdr:to>
      <xdr:col>5</xdr:col>
      <xdr:colOff>209550</xdr:colOff>
      <xdr:row>183</xdr:row>
      <xdr:rowOff>9525</xdr:rowOff>
    </xdr:to>
    <xdr:sp macro="" textlink="">
      <xdr:nvSpPr>
        <xdr:cNvPr id="173135" name="AutoShape 79">
          <a:hlinkClick xmlns:r="http://schemas.openxmlformats.org/officeDocument/2006/relationships" r:id="rId77" tooltip="LEFT"/>
        </xdr:cNvPr>
        <xdr:cNvSpPr>
          <a:spLocks noChangeArrowheads="1"/>
        </xdr:cNvSpPr>
      </xdr:nvSpPr>
      <xdr:spPr bwMode="auto">
        <a:xfrm>
          <a:off x="723900" y="297465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LEFT</a:t>
          </a:r>
        </a:p>
      </xdr:txBody>
    </xdr:sp>
    <xdr:clientData/>
  </xdr:twoCellAnchor>
  <xdr:twoCellAnchor>
    <xdr:from>
      <xdr:col>1</xdr:col>
      <xdr:colOff>47625</xdr:colOff>
      <xdr:row>183</xdr:row>
      <xdr:rowOff>142875</xdr:rowOff>
    </xdr:from>
    <xdr:to>
      <xdr:col>5</xdr:col>
      <xdr:colOff>209550</xdr:colOff>
      <xdr:row>185</xdr:row>
      <xdr:rowOff>76200</xdr:rowOff>
    </xdr:to>
    <xdr:sp macro="" textlink="">
      <xdr:nvSpPr>
        <xdr:cNvPr id="173136" name="AutoShape 80">
          <a:hlinkClick xmlns:r="http://schemas.openxmlformats.org/officeDocument/2006/relationships" r:id="rId78" tooltip="LEN"/>
        </xdr:cNvPr>
        <xdr:cNvSpPr>
          <a:spLocks noChangeArrowheads="1"/>
        </xdr:cNvSpPr>
      </xdr:nvSpPr>
      <xdr:spPr bwMode="auto">
        <a:xfrm>
          <a:off x="723900" y="301371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LEN</a:t>
          </a:r>
        </a:p>
      </xdr:txBody>
    </xdr:sp>
    <xdr:clientData/>
  </xdr:twoCellAnchor>
  <xdr:twoCellAnchor>
    <xdr:from>
      <xdr:col>1</xdr:col>
      <xdr:colOff>47625</xdr:colOff>
      <xdr:row>188</xdr:row>
      <xdr:rowOff>104775</xdr:rowOff>
    </xdr:from>
    <xdr:to>
      <xdr:col>5</xdr:col>
      <xdr:colOff>209550</xdr:colOff>
      <xdr:row>190</xdr:row>
      <xdr:rowOff>38100</xdr:rowOff>
    </xdr:to>
    <xdr:sp macro="" textlink="">
      <xdr:nvSpPr>
        <xdr:cNvPr id="173137" name="AutoShape 81">
          <a:hlinkClick xmlns:r="http://schemas.openxmlformats.org/officeDocument/2006/relationships" r:id="rId79" tooltip="LOOKUP(Vector)"/>
        </xdr:cNvPr>
        <xdr:cNvSpPr>
          <a:spLocks noChangeArrowheads="1"/>
        </xdr:cNvSpPr>
      </xdr:nvSpPr>
      <xdr:spPr bwMode="auto">
        <a:xfrm>
          <a:off x="723900" y="309086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LOOKUP(vector)</a:t>
          </a:r>
        </a:p>
      </xdr:txBody>
    </xdr:sp>
    <xdr:clientData/>
  </xdr:twoCellAnchor>
  <xdr:twoCellAnchor>
    <xdr:from>
      <xdr:col>1</xdr:col>
      <xdr:colOff>47625</xdr:colOff>
      <xdr:row>191</xdr:row>
      <xdr:rowOff>9525</xdr:rowOff>
    </xdr:from>
    <xdr:to>
      <xdr:col>5</xdr:col>
      <xdr:colOff>209550</xdr:colOff>
      <xdr:row>192</xdr:row>
      <xdr:rowOff>104775</xdr:rowOff>
    </xdr:to>
    <xdr:sp macro="" textlink="">
      <xdr:nvSpPr>
        <xdr:cNvPr id="173138" name="AutoShape 82">
          <a:hlinkClick xmlns:r="http://schemas.openxmlformats.org/officeDocument/2006/relationships" r:id="rId80" tooltip="LOWER"/>
        </xdr:cNvPr>
        <xdr:cNvSpPr>
          <a:spLocks noChangeArrowheads="1"/>
        </xdr:cNvSpPr>
      </xdr:nvSpPr>
      <xdr:spPr bwMode="auto">
        <a:xfrm>
          <a:off x="723900" y="312991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LOWER</a:t>
          </a:r>
        </a:p>
      </xdr:txBody>
    </xdr:sp>
    <xdr:clientData/>
  </xdr:twoCellAnchor>
  <xdr:twoCellAnchor>
    <xdr:from>
      <xdr:col>1</xdr:col>
      <xdr:colOff>47625</xdr:colOff>
      <xdr:row>193</xdr:row>
      <xdr:rowOff>85725</xdr:rowOff>
    </xdr:from>
    <xdr:to>
      <xdr:col>5</xdr:col>
      <xdr:colOff>209550</xdr:colOff>
      <xdr:row>195</xdr:row>
      <xdr:rowOff>19050</xdr:rowOff>
    </xdr:to>
    <xdr:sp macro="" textlink="">
      <xdr:nvSpPr>
        <xdr:cNvPr id="173139" name="AutoShape 83">
          <a:hlinkClick xmlns:r="http://schemas.openxmlformats.org/officeDocument/2006/relationships" r:id="rId81" tooltip="MATCH"/>
        </xdr:cNvPr>
        <xdr:cNvSpPr>
          <a:spLocks noChangeArrowheads="1"/>
        </xdr:cNvSpPr>
      </xdr:nvSpPr>
      <xdr:spPr bwMode="auto">
        <a:xfrm>
          <a:off x="723900" y="316992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MATCH</a:t>
          </a:r>
        </a:p>
      </xdr:txBody>
    </xdr:sp>
    <xdr:clientData/>
  </xdr:twoCellAnchor>
  <xdr:twoCellAnchor>
    <xdr:from>
      <xdr:col>1</xdr:col>
      <xdr:colOff>47625</xdr:colOff>
      <xdr:row>195</xdr:row>
      <xdr:rowOff>142875</xdr:rowOff>
    </xdr:from>
    <xdr:to>
      <xdr:col>5</xdr:col>
      <xdr:colOff>209550</xdr:colOff>
      <xdr:row>197</xdr:row>
      <xdr:rowOff>76200</xdr:rowOff>
    </xdr:to>
    <xdr:sp macro="" textlink="">
      <xdr:nvSpPr>
        <xdr:cNvPr id="173140" name="AutoShape 84">
          <a:hlinkClick xmlns:r="http://schemas.openxmlformats.org/officeDocument/2006/relationships" r:id="rId82" tooltip="MAX"/>
        </xdr:cNvPr>
        <xdr:cNvSpPr>
          <a:spLocks noChangeArrowheads="1"/>
        </xdr:cNvSpPr>
      </xdr:nvSpPr>
      <xdr:spPr bwMode="auto">
        <a:xfrm>
          <a:off x="723900" y="320802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MAX</a:t>
          </a:r>
        </a:p>
      </xdr:txBody>
    </xdr:sp>
    <xdr:clientData/>
  </xdr:twoCellAnchor>
  <xdr:twoCellAnchor>
    <xdr:from>
      <xdr:col>1</xdr:col>
      <xdr:colOff>47625</xdr:colOff>
      <xdr:row>198</xdr:row>
      <xdr:rowOff>47625</xdr:rowOff>
    </xdr:from>
    <xdr:to>
      <xdr:col>5</xdr:col>
      <xdr:colOff>209550</xdr:colOff>
      <xdr:row>199</xdr:row>
      <xdr:rowOff>142875</xdr:rowOff>
    </xdr:to>
    <xdr:sp macro="" textlink="">
      <xdr:nvSpPr>
        <xdr:cNvPr id="173141" name="AutoShape 85">
          <a:hlinkClick xmlns:r="http://schemas.openxmlformats.org/officeDocument/2006/relationships" r:id="rId83" tooltip="MEDIAN"/>
        </xdr:cNvPr>
        <xdr:cNvSpPr>
          <a:spLocks noChangeArrowheads="1"/>
        </xdr:cNvSpPr>
      </xdr:nvSpPr>
      <xdr:spPr bwMode="auto">
        <a:xfrm>
          <a:off x="723900" y="324707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MEDIAN</a:t>
          </a:r>
        </a:p>
      </xdr:txBody>
    </xdr:sp>
    <xdr:clientData/>
  </xdr:twoCellAnchor>
  <xdr:twoCellAnchor>
    <xdr:from>
      <xdr:col>1</xdr:col>
      <xdr:colOff>47625</xdr:colOff>
      <xdr:row>200</xdr:row>
      <xdr:rowOff>114300</xdr:rowOff>
    </xdr:from>
    <xdr:to>
      <xdr:col>5</xdr:col>
      <xdr:colOff>209550</xdr:colOff>
      <xdr:row>202</xdr:row>
      <xdr:rowOff>47625</xdr:rowOff>
    </xdr:to>
    <xdr:sp macro="" textlink="">
      <xdr:nvSpPr>
        <xdr:cNvPr id="173142" name="AutoShape 86">
          <a:hlinkClick xmlns:r="http://schemas.openxmlformats.org/officeDocument/2006/relationships" r:id="rId84" tooltip="MID"/>
        </xdr:cNvPr>
        <xdr:cNvSpPr>
          <a:spLocks noChangeArrowheads="1"/>
        </xdr:cNvSpPr>
      </xdr:nvSpPr>
      <xdr:spPr bwMode="auto">
        <a:xfrm>
          <a:off x="723900" y="328612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MID</a:t>
          </a:r>
        </a:p>
      </xdr:txBody>
    </xdr:sp>
    <xdr:clientData/>
  </xdr:twoCellAnchor>
  <xdr:twoCellAnchor>
    <xdr:from>
      <xdr:col>1</xdr:col>
      <xdr:colOff>47625</xdr:colOff>
      <xdr:row>203</xdr:row>
      <xdr:rowOff>19050</xdr:rowOff>
    </xdr:from>
    <xdr:to>
      <xdr:col>5</xdr:col>
      <xdr:colOff>209550</xdr:colOff>
      <xdr:row>204</xdr:row>
      <xdr:rowOff>114300</xdr:rowOff>
    </xdr:to>
    <xdr:sp macro="" textlink="">
      <xdr:nvSpPr>
        <xdr:cNvPr id="173143" name="AutoShape 87">
          <a:hlinkClick xmlns:r="http://schemas.openxmlformats.org/officeDocument/2006/relationships" r:id="rId85" tooltip="MIN"/>
        </xdr:cNvPr>
        <xdr:cNvSpPr>
          <a:spLocks noChangeArrowheads="1"/>
        </xdr:cNvSpPr>
      </xdr:nvSpPr>
      <xdr:spPr bwMode="auto">
        <a:xfrm>
          <a:off x="723900" y="332517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MIN</a:t>
          </a:r>
        </a:p>
      </xdr:txBody>
    </xdr:sp>
    <xdr:clientData/>
  </xdr:twoCellAnchor>
  <xdr:twoCellAnchor>
    <xdr:from>
      <xdr:col>1</xdr:col>
      <xdr:colOff>47625</xdr:colOff>
      <xdr:row>205</xdr:row>
      <xdr:rowOff>95250</xdr:rowOff>
    </xdr:from>
    <xdr:to>
      <xdr:col>5</xdr:col>
      <xdr:colOff>209550</xdr:colOff>
      <xdr:row>207</xdr:row>
      <xdr:rowOff>28575</xdr:rowOff>
    </xdr:to>
    <xdr:sp macro="" textlink="">
      <xdr:nvSpPr>
        <xdr:cNvPr id="173144" name="AutoShape 88">
          <a:hlinkClick xmlns:r="http://schemas.openxmlformats.org/officeDocument/2006/relationships" r:id="rId86" tooltip="MINUTE"/>
        </xdr:cNvPr>
        <xdr:cNvSpPr>
          <a:spLocks noChangeArrowheads="1"/>
        </xdr:cNvSpPr>
      </xdr:nvSpPr>
      <xdr:spPr bwMode="auto">
        <a:xfrm>
          <a:off x="723900" y="33651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MINUTE</a:t>
          </a:r>
        </a:p>
      </xdr:txBody>
    </xdr:sp>
    <xdr:clientData/>
  </xdr:twoCellAnchor>
  <xdr:twoCellAnchor>
    <xdr:from>
      <xdr:col>1</xdr:col>
      <xdr:colOff>66675</xdr:colOff>
      <xdr:row>186</xdr:row>
      <xdr:rowOff>57150</xdr:rowOff>
    </xdr:from>
    <xdr:to>
      <xdr:col>5</xdr:col>
      <xdr:colOff>228600</xdr:colOff>
      <xdr:row>187</xdr:row>
      <xdr:rowOff>152400</xdr:rowOff>
    </xdr:to>
    <xdr:sp macro="" textlink="">
      <xdr:nvSpPr>
        <xdr:cNvPr id="173145" name="AutoShape 89">
          <a:hlinkClick xmlns:r="http://schemas.openxmlformats.org/officeDocument/2006/relationships" r:id="rId87"/>
        </xdr:cNvPr>
        <xdr:cNvSpPr>
          <a:spLocks noChangeArrowheads="1"/>
        </xdr:cNvSpPr>
      </xdr:nvSpPr>
      <xdr:spPr bwMode="auto">
        <a:xfrm>
          <a:off x="742950" y="305371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LOOKUP(Array)</a:t>
          </a:r>
        </a:p>
      </xdr:txBody>
    </xdr:sp>
    <xdr:clientData/>
  </xdr:twoCellAnchor>
  <xdr:twoCellAnchor>
    <xdr:from>
      <xdr:col>1</xdr:col>
      <xdr:colOff>47625</xdr:colOff>
      <xdr:row>208</xdr:row>
      <xdr:rowOff>38100</xdr:rowOff>
    </xdr:from>
    <xdr:to>
      <xdr:col>5</xdr:col>
      <xdr:colOff>209550</xdr:colOff>
      <xdr:row>209</xdr:row>
      <xdr:rowOff>133350</xdr:rowOff>
    </xdr:to>
    <xdr:sp macro="" textlink="">
      <xdr:nvSpPr>
        <xdr:cNvPr id="173146" name="AutoShape 90">
          <a:hlinkClick xmlns:r="http://schemas.openxmlformats.org/officeDocument/2006/relationships" r:id="rId88" tooltip="MMULT"/>
        </xdr:cNvPr>
        <xdr:cNvSpPr>
          <a:spLocks noChangeArrowheads="1"/>
        </xdr:cNvSpPr>
      </xdr:nvSpPr>
      <xdr:spPr bwMode="auto">
        <a:xfrm>
          <a:off x="723900" y="340804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MMULT</a:t>
          </a:r>
        </a:p>
      </xdr:txBody>
    </xdr:sp>
    <xdr:clientData/>
  </xdr:twoCellAnchor>
  <xdr:twoCellAnchor>
    <xdr:from>
      <xdr:col>1</xdr:col>
      <xdr:colOff>47625</xdr:colOff>
      <xdr:row>210</xdr:row>
      <xdr:rowOff>104775</xdr:rowOff>
    </xdr:from>
    <xdr:to>
      <xdr:col>5</xdr:col>
      <xdr:colOff>209550</xdr:colOff>
      <xdr:row>212</xdr:row>
      <xdr:rowOff>38100</xdr:rowOff>
    </xdr:to>
    <xdr:sp macro="" textlink="">
      <xdr:nvSpPr>
        <xdr:cNvPr id="173147" name="AutoShape 91">
          <a:hlinkClick xmlns:r="http://schemas.openxmlformats.org/officeDocument/2006/relationships" r:id="rId89" tooltip="MOD"/>
        </xdr:cNvPr>
        <xdr:cNvSpPr>
          <a:spLocks noChangeArrowheads="1"/>
        </xdr:cNvSpPr>
      </xdr:nvSpPr>
      <xdr:spPr bwMode="auto">
        <a:xfrm>
          <a:off x="723900" y="344709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MOD</a:t>
          </a:r>
        </a:p>
      </xdr:txBody>
    </xdr:sp>
    <xdr:clientData/>
  </xdr:twoCellAnchor>
  <xdr:twoCellAnchor>
    <xdr:from>
      <xdr:col>1</xdr:col>
      <xdr:colOff>47625</xdr:colOff>
      <xdr:row>213</xdr:row>
      <xdr:rowOff>9525</xdr:rowOff>
    </xdr:from>
    <xdr:to>
      <xdr:col>5</xdr:col>
      <xdr:colOff>209550</xdr:colOff>
      <xdr:row>214</xdr:row>
      <xdr:rowOff>104775</xdr:rowOff>
    </xdr:to>
    <xdr:sp macro="" textlink="">
      <xdr:nvSpPr>
        <xdr:cNvPr id="173148" name="AutoShape 92">
          <a:hlinkClick xmlns:r="http://schemas.openxmlformats.org/officeDocument/2006/relationships" r:id="rId90" tooltip="MODE"/>
        </xdr:cNvPr>
        <xdr:cNvSpPr>
          <a:spLocks noChangeArrowheads="1"/>
        </xdr:cNvSpPr>
      </xdr:nvSpPr>
      <xdr:spPr bwMode="auto">
        <a:xfrm>
          <a:off x="723900" y="348615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MODE</a:t>
          </a:r>
        </a:p>
      </xdr:txBody>
    </xdr:sp>
    <xdr:clientData/>
  </xdr:twoCellAnchor>
  <xdr:twoCellAnchor>
    <xdr:from>
      <xdr:col>1</xdr:col>
      <xdr:colOff>47625</xdr:colOff>
      <xdr:row>215</xdr:row>
      <xdr:rowOff>76200</xdr:rowOff>
    </xdr:from>
    <xdr:to>
      <xdr:col>5</xdr:col>
      <xdr:colOff>209550</xdr:colOff>
      <xdr:row>217</xdr:row>
      <xdr:rowOff>9525</xdr:rowOff>
    </xdr:to>
    <xdr:sp macro="" textlink="">
      <xdr:nvSpPr>
        <xdr:cNvPr id="173149" name="AutoShape 93">
          <a:hlinkClick xmlns:r="http://schemas.openxmlformats.org/officeDocument/2006/relationships" r:id="rId91" tooltip="MONTH"/>
        </xdr:cNvPr>
        <xdr:cNvSpPr>
          <a:spLocks noChangeArrowheads="1"/>
        </xdr:cNvSpPr>
      </xdr:nvSpPr>
      <xdr:spPr bwMode="auto">
        <a:xfrm>
          <a:off x="723900" y="352520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MONTH</a:t>
          </a:r>
        </a:p>
      </xdr:txBody>
    </xdr:sp>
    <xdr:clientData/>
  </xdr:twoCellAnchor>
  <xdr:twoCellAnchor>
    <xdr:from>
      <xdr:col>1</xdr:col>
      <xdr:colOff>47625</xdr:colOff>
      <xdr:row>217</xdr:row>
      <xdr:rowOff>142875</xdr:rowOff>
    </xdr:from>
    <xdr:to>
      <xdr:col>5</xdr:col>
      <xdr:colOff>209550</xdr:colOff>
      <xdr:row>219</xdr:row>
      <xdr:rowOff>76200</xdr:rowOff>
    </xdr:to>
    <xdr:sp macro="" textlink="">
      <xdr:nvSpPr>
        <xdr:cNvPr id="173150" name="AutoShape 94">
          <a:hlinkClick xmlns:r="http://schemas.openxmlformats.org/officeDocument/2006/relationships" r:id="rId92" tooltip="MROUND"/>
        </xdr:cNvPr>
        <xdr:cNvSpPr>
          <a:spLocks noChangeArrowheads="1"/>
        </xdr:cNvSpPr>
      </xdr:nvSpPr>
      <xdr:spPr bwMode="auto">
        <a:xfrm>
          <a:off x="723900" y="356425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MROUND</a:t>
          </a:r>
        </a:p>
      </xdr:txBody>
    </xdr:sp>
    <xdr:clientData/>
  </xdr:twoCellAnchor>
  <xdr:twoCellAnchor>
    <xdr:from>
      <xdr:col>1</xdr:col>
      <xdr:colOff>47625</xdr:colOff>
      <xdr:row>220</xdr:row>
      <xdr:rowOff>66675</xdr:rowOff>
    </xdr:from>
    <xdr:to>
      <xdr:col>5</xdr:col>
      <xdr:colOff>209550</xdr:colOff>
      <xdr:row>222</xdr:row>
      <xdr:rowOff>0</xdr:rowOff>
    </xdr:to>
    <xdr:sp macro="" textlink="">
      <xdr:nvSpPr>
        <xdr:cNvPr id="173151" name="AutoShape 95">
          <a:hlinkClick xmlns:r="http://schemas.openxmlformats.org/officeDocument/2006/relationships" r:id="rId93" tooltip="N"/>
        </xdr:cNvPr>
        <xdr:cNvSpPr>
          <a:spLocks noChangeArrowheads="1"/>
        </xdr:cNvSpPr>
      </xdr:nvSpPr>
      <xdr:spPr bwMode="auto">
        <a:xfrm>
          <a:off x="723900" y="360521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1</xdr:col>
      <xdr:colOff>47625</xdr:colOff>
      <xdr:row>222</xdr:row>
      <xdr:rowOff>123825</xdr:rowOff>
    </xdr:from>
    <xdr:to>
      <xdr:col>5</xdr:col>
      <xdr:colOff>209550</xdr:colOff>
      <xdr:row>224</xdr:row>
      <xdr:rowOff>57150</xdr:rowOff>
    </xdr:to>
    <xdr:sp macro="" textlink="">
      <xdr:nvSpPr>
        <xdr:cNvPr id="173152" name="AutoShape 96">
          <a:hlinkClick xmlns:r="http://schemas.openxmlformats.org/officeDocument/2006/relationships" r:id="rId94" tooltip="NA"/>
        </xdr:cNvPr>
        <xdr:cNvSpPr>
          <a:spLocks noChangeArrowheads="1"/>
        </xdr:cNvSpPr>
      </xdr:nvSpPr>
      <xdr:spPr bwMode="auto">
        <a:xfrm>
          <a:off x="723900" y="364331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NA</a:t>
          </a:r>
        </a:p>
      </xdr:txBody>
    </xdr:sp>
    <xdr:clientData/>
  </xdr:twoCellAnchor>
  <xdr:twoCellAnchor>
    <xdr:from>
      <xdr:col>1</xdr:col>
      <xdr:colOff>47625</xdr:colOff>
      <xdr:row>225</xdr:row>
      <xdr:rowOff>47625</xdr:rowOff>
    </xdr:from>
    <xdr:to>
      <xdr:col>5</xdr:col>
      <xdr:colOff>209550</xdr:colOff>
      <xdr:row>226</xdr:row>
      <xdr:rowOff>142875</xdr:rowOff>
    </xdr:to>
    <xdr:sp macro="" textlink="">
      <xdr:nvSpPr>
        <xdr:cNvPr id="173153" name="AutoShape 97">
          <a:hlinkClick xmlns:r="http://schemas.openxmlformats.org/officeDocument/2006/relationships" r:id="rId95" tooltip="NETWORKDAYS"/>
        </xdr:cNvPr>
        <xdr:cNvSpPr>
          <a:spLocks noChangeArrowheads="1"/>
        </xdr:cNvSpPr>
      </xdr:nvSpPr>
      <xdr:spPr bwMode="auto">
        <a:xfrm>
          <a:off x="723900" y="368427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NETWORKDAYS</a:t>
          </a:r>
        </a:p>
      </xdr:txBody>
    </xdr:sp>
    <xdr:clientData/>
  </xdr:twoCellAnchor>
  <xdr:twoCellAnchor>
    <xdr:from>
      <xdr:col>1</xdr:col>
      <xdr:colOff>47625</xdr:colOff>
      <xdr:row>227</xdr:row>
      <xdr:rowOff>123825</xdr:rowOff>
    </xdr:from>
    <xdr:to>
      <xdr:col>5</xdr:col>
      <xdr:colOff>209550</xdr:colOff>
      <xdr:row>229</xdr:row>
      <xdr:rowOff>57150</xdr:rowOff>
    </xdr:to>
    <xdr:sp macro="" textlink="">
      <xdr:nvSpPr>
        <xdr:cNvPr id="173154" name="AutoShape 98">
          <a:hlinkClick xmlns:r="http://schemas.openxmlformats.org/officeDocument/2006/relationships" r:id="rId96" tooltip="NOT"/>
        </xdr:cNvPr>
        <xdr:cNvSpPr>
          <a:spLocks noChangeArrowheads="1"/>
        </xdr:cNvSpPr>
      </xdr:nvSpPr>
      <xdr:spPr bwMode="auto">
        <a:xfrm>
          <a:off x="723900" y="372427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NOT</a:t>
          </a:r>
        </a:p>
      </xdr:txBody>
    </xdr:sp>
    <xdr:clientData/>
  </xdr:twoCellAnchor>
  <xdr:twoCellAnchor>
    <xdr:from>
      <xdr:col>1</xdr:col>
      <xdr:colOff>47625</xdr:colOff>
      <xdr:row>230</xdr:row>
      <xdr:rowOff>38100</xdr:rowOff>
    </xdr:from>
    <xdr:to>
      <xdr:col>5</xdr:col>
      <xdr:colOff>209550</xdr:colOff>
      <xdr:row>231</xdr:row>
      <xdr:rowOff>133350</xdr:rowOff>
    </xdr:to>
    <xdr:sp macro="" textlink="">
      <xdr:nvSpPr>
        <xdr:cNvPr id="173155" name="AutoShape 99">
          <a:hlinkClick xmlns:r="http://schemas.openxmlformats.org/officeDocument/2006/relationships" r:id="rId97" tooltip="NOW"/>
        </xdr:cNvPr>
        <xdr:cNvSpPr>
          <a:spLocks noChangeArrowheads="1"/>
        </xdr:cNvSpPr>
      </xdr:nvSpPr>
      <xdr:spPr bwMode="auto">
        <a:xfrm>
          <a:off x="723900" y="376428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NOW</a:t>
          </a:r>
        </a:p>
      </xdr:txBody>
    </xdr:sp>
    <xdr:clientData/>
  </xdr:twoCellAnchor>
  <xdr:twoCellAnchor>
    <xdr:from>
      <xdr:col>1</xdr:col>
      <xdr:colOff>47625</xdr:colOff>
      <xdr:row>232</xdr:row>
      <xdr:rowOff>114300</xdr:rowOff>
    </xdr:from>
    <xdr:to>
      <xdr:col>5</xdr:col>
      <xdr:colOff>209550</xdr:colOff>
      <xdr:row>234</xdr:row>
      <xdr:rowOff>47625</xdr:rowOff>
    </xdr:to>
    <xdr:sp macro="" textlink="">
      <xdr:nvSpPr>
        <xdr:cNvPr id="173156" name="AutoShape 100">
          <a:hlinkClick xmlns:r="http://schemas.openxmlformats.org/officeDocument/2006/relationships" r:id="rId98" tooltip="ODD"/>
        </xdr:cNvPr>
        <xdr:cNvSpPr>
          <a:spLocks noChangeArrowheads="1"/>
        </xdr:cNvSpPr>
      </xdr:nvSpPr>
      <xdr:spPr bwMode="auto">
        <a:xfrm>
          <a:off x="723900" y="380428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ODD</a:t>
          </a:r>
        </a:p>
      </xdr:txBody>
    </xdr:sp>
    <xdr:clientData/>
  </xdr:twoCellAnchor>
  <xdr:twoCellAnchor>
    <xdr:from>
      <xdr:col>1</xdr:col>
      <xdr:colOff>47625</xdr:colOff>
      <xdr:row>235</xdr:row>
      <xdr:rowOff>28575</xdr:rowOff>
    </xdr:from>
    <xdr:to>
      <xdr:col>5</xdr:col>
      <xdr:colOff>209550</xdr:colOff>
      <xdr:row>236</xdr:row>
      <xdr:rowOff>123825</xdr:rowOff>
    </xdr:to>
    <xdr:sp macro="" textlink="">
      <xdr:nvSpPr>
        <xdr:cNvPr id="173157" name="AutoShape 101">
          <a:hlinkClick xmlns:r="http://schemas.openxmlformats.org/officeDocument/2006/relationships" r:id="rId99" tooltip="OR"/>
        </xdr:cNvPr>
        <xdr:cNvSpPr>
          <a:spLocks noChangeArrowheads="1"/>
        </xdr:cNvSpPr>
      </xdr:nvSpPr>
      <xdr:spPr bwMode="auto">
        <a:xfrm>
          <a:off x="723900" y="384429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OR</a:t>
          </a:r>
        </a:p>
      </xdr:txBody>
    </xdr:sp>
    <xdr:clientData/>
  </xdr:twoCellAnchor>
  <xdr:twoCellAnchor>
    <xdr:from>
      <xdr:col>1</xdr:col>
      <xdr:colOff>47625</xdr:colOff>
      <xdr:row>237</xdr:row>
      <xdr:rowOff>95250</xdr:rowOff>
    </xdr:from>
    <xdr:to>
      <xdr:col>5</xdr:col>
      <xdr:colOff>209550</xdr:colOff>
      <xdr:row>239</xdr:row>
      <xdr:rowOff>28575</xdr:rowOff>
    </xdr:to>
    <xdr:sp macro="" textlink="">
      <xdr:nvSpPr>
        <xdr:cNvPr id="173158" name="AutoShape 102">
          <a:hlinkClick xmlns:r="http://schemas.openxmlformats.org/officeDocument/2006/relationships" r:id="rId100" tooltip="Ordering Stock"/>
        </xdr:cNvPr>
        <xdr:cNvSpPr>
          <a:spLocks noChangeArrowheads="1"/>
        </xdr:cNvSpPr>
      </xdr:nvSpPr>
      <xdr:spPr bwMode="auto">
        <a:xfrm>
          <a:off x="723900" y="388334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Ordering Stock</a:t>
          </a:r>
        </a:p>
      </xdr:txBody>
    </xdr:sp>
    <xdr:clientData/>
  </xdr:twoCellAnchor>
  <xdr:twoCellAnchor>
    <xdr:from>
      <xdr:col>1</xdr:col>
      <xdr:colOff>47625</xdr:colOff>
      <xdr:row>240</xdr:row>
      <xdr:rowOff>28575</xdr:rowOff>
    </xdr:from>
    <xdr:to>
      <xdr:col>5</xdr:col>
      <xdr:colOff>209550</xdr:colOff>
      <xdr:row>241</xdr:row>
      <xdr:rowOff>123825</xdr:rowOff>
    </xdr:to>
    <xdr:sp macro="" textlink="">
      <xdr:nvSpPr>
        <xdr:cNvPr id="173159" name="AutoShape 103">
          <a:hlinkClick xmlns:r="http://schemas.openxmlformats.org/officeDocument/2006/relationships" r:id="rId101" tooltip="Percentages"/>
        </xdr:cNvPr>
        <xdr:cNvSpPr>
          <a:spLocks noChangeArrowheads="1"/>
        </xdr:cNvSpPr>
      </xdr:nvSpPr>
      <xdr:spPr bwMode="auto">
        <a:xfrm>
          <a:off x="723900" y="392525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Percentages</a:t>
          </a:r>
        </a:p>
      </xdr:txBody>
    </xdr:sp>
    <xdr:clientData/>
  </xdr:twoCellAnchor>
  <xdr:twoCellAnchor>
    <xdr:from>
      <xdr:col>1</xdr:col>
      <xdr:colOff>47625</xdr:colOff>
      <xdr:row>242</xdr:row>
      <xdr:rowOff>104775</xdr:rowOff>
    </xdr:from>
    <xdr:to>
      <xdr:col>5</xdr:col>
      <xdr:colOff>209550</xdr:colOff>
      <xdr:row>244</xdr:row>
      <xdr:rowOff>38100</xdr:rowOff>
    </xdr:to>
    <xdr:sp macro="" textlink="">
      <xdr:nvSpPr>
        <xdr:cNvPr id="173160" name="AutoShape 104">
          <a:hlinkClick xmlns:r="http://schemas.openxmlformats.org/officeDocument/2006/relationships" r:id="rId102" tooltip="PERMUT"/>
        </xdr:cNvPr>
        <xdr:cNvSpPr>
          <a:spLocks noChangeArrowheads="1"/>
        </xdr:cNvSpPr>
      </xdr:nvSpPr>
      <xdr:spPr bwMode="auto">
        <a:xfrm>
          <a:off x="723900" y="396525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PERMUT</a:t>
          </a:r>
        </a:p>
      </xdr:txBody>
    </xdr:sp>
    <xdr:clientData/>
  </xdr:twoCellAnchor>
  <xdr:twoCellAnchor>
    <xdr:from>
      <xdr:col>1</xdr:col>
      <xdr:colOff>47625</xdr:colOff>
      <xdr:row>245</xdr:row>
      <xdr:rowOff>19050</xdr:rowOff>
    </xdr:from>
    <xdr:to>
      <xdr:col>5</xdr:col>
      <xdr:colOff>209550</xdr:colOff>
      <xdr:row>246</xdr:row>
      <xdr:rowOff>114300</xdr:rowOff>
    </xdr:to>
    <xdr:sp macro="" textlink="">
      <xdr:nvSpPr>
        <xdr:cNvPr id="173161" name="AutoShape 105">
          <a:hlinkClick xmlns:r="http://schemas.openxmlformats.org/officeDocument/2006/relationships" r:id="rId103" tooltip="PI"/>
        </xdr:cNvPr>
        <xdr:cNvSpPr>
          <a:spLocks noChangeArrowheads="1"/>
        </xdr:cNvSpPr>
      </xdr:nvSpPr>
      <xdr:spPr bwMode="auto">
        <a:xfrm>
          <a:off x="723900" y="400526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PI</a:t>
          </a:r>
        </a:p>
      </xdr:txBody>
    </xdr:sp>
    <xdr:clientData/>
  </xdr:twoCellAnchor>
  <xdr:twoCellAnchor>
    <xdr:from>
      <xdr:col>1</xdr:col>
      <xdr:colOff>47625</xdr:colOff>
      <xdr:row>247</xdr:row>
      <xdr:rowOff>95250</xdr:rowOff>
    </xdr:from>
    <xdr:to>
      <xdr:col>5</xdr:col>
      <xdr:colOff>209550</xdr:colOff>
      <xdr:row>249</xdr:row>
      <xdr:rowOff>28575</xdr:rowOff>
    </xdr:to>
    <xdr:sp macro="" textlink="">
      <xdr:nvSpPr>
        <xdr:cNvPr id="173162" name="AutoShape 106">
          <a:hlinkClick xmlns:r="http://schemas.openxmlformats.org/officeDocument/2006/relationships" r:id="rId104" tooltip="POWER"/>
        </xdr:cNvPr>
        <xdr:cNvSpPr>
          <a:spLocks noChangeArrowheads="1"/>
        </xdr:cNvSpPr>
      </xdr:nvSpPr>
      <xdr:spPr bwMode="auto">
        <a:xfrm>
          <a:off x="723900" y="404526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POWER</a:t>
          </a:r>
        </a:p>
      </xdr:txBody>
    </xdr:sp>
    <xdr:clientData/>
  </xdr:twoCellAnchor>
  <xdr:twoCellAnchor>
    <xdr:from>
      <xdr:col>1</xdr:col>
      <xdr:colOff>47625</xdr:colOff>
      <xdr:row>250</xdr:row>
      <xdr:rowOff>19050</xdr:rowOff>
    </xdr:from>
    <xdr:to>
      <xdr:col>5</xdr:col>
      <xdr:colOff>209550</xdr:colOff>
      <xdr:row>251</xdr:row>
      <xdr:rowOff>114300</xdr:rowOff>
    </xdr:to>
    <xdr:sp macro="" textlink="">
      <xdr:nvSpPr>
        <xdr:cNvPr id="173163" name="AutoShape 107">
          <a:hlinkClick xmlns:r="http://schemas.openxmlformats.org/officeDocument/2006/relationships" r:id="rId105" tooltip="PRODUCT"/>
        </xdr:cNvPr>
        <xdr:cNvSpPr>
          <a:spLocks noChangeArrowheads="1"/>
        </xdr:cNvSpPr>
      </xdr:nvSpPr>
      <xdr:spPr bwMode="auto">
        <a:xfrm>
          <a:off x="723900" y="408622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PRODUCT</a:t>
          </a:r>
        </a:p>
      </xdr:txBody>
    </xdr:sp>
    <xdr:clientData/>
  </xdr:twoCellAnchor>
  <xdr:twoCellAnchor>
    <xdr:from>
      <xdr:col>1</xdr:col>
      <xdr:colOff>47625</xdr:colOff>
      <xdr:row>252</xdr:row>
      <xdr:rowOff>104775</xdr:rowOff>
    </xdr:from>
    <xdr:to>
      <xdr:col>5</xdr:col>
      <xdr:colOff>209550</xdr:colOff>
      <xdr:row>254</xdr:row>
      <xdr:rowOff>38100</xdr:rowOff>
    </xdr:to>
    <xdr:sp macro="" textlink="">
      <xdr:nvSpPr>
        <xdr:cNvPr id="173164" name="AutoShape 108"/>
        <xdr:cNvSpPr>
          <a:spLocks noChangeArrowheads="1"/>
        </xdr:cNvSpPr>
      </xdr:nvSpPr>
      <xdr:spPr bwMode="auto">
        <a:xfrm>
          <a:off x="723900" y="41271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</xdr:col>
      <xdr:colOff>47625</xdr:colOff>
      <xdr:row>255</xdr:row>
      <xdr:rowOff>28575</xdr:rowOff>
    </xdr:from>
    <xdr:to>
      <xdr:col>5</xdr:col>
      <xdr:colOff>209550</xdr:colOff>
      <xdr:row>256</xdr:row>
      <xdr:rowOff>123825</xdr:rowOff>
    </xdr:to>
    <xdr:sp macro="" textlink="">
      <xdr:nvSpPr>
        <xdr:cNvPr id="173165" name="AutoShape 109">
          <a:hlinkClick xmlns:r="http://schemas.openxmlformats.org/officeDocument/2006/relationships" r:id="rId106" tooltip="PROPER"/>
        </xdr:cNvPr>
        <xdr:cNvSpPr>
          <a:spLocks noChangeArrowheads="1"/>
        </xdr:cNvSpPr>
      </xdr:nvSpPr>
      <xdr:spPr bwMode="auto">
        <a:xfrm>
          <a:off x="723900" y="416814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PROPER</a:t>
          </a:r>
        </a:p>
      </xdr:txBody>
    </xdr:sp>
    <xdr:clientData/>
  </xdr:twoCellAnchor>
  <xdr:twoCellAnchor>
    <xdr:from>
      <xdr:col>1</xdr:col>
      <xdr:colOff>47625</xdr:colOff>
      <xdr:row>257</xdr:row>
      <xdr:rowOff>104775</xdr:rowOff>
    </xdr:from>
    <xdr:to>
      <xdr:col>5</xdr:col>
      <xdr:colOff>209550</xdr:colOff>
      <xdr:row>259</xdr:row>
      <xdr:rowOff>38100</xdr:rowOff>
    </xdr:to>
    <xdr:sp macro="" textlink="">
      <xdr:nvSpPr>
        <xdr:cNvPr id="173166" name="AutoShape 110">
          <a:hlinkClick xmlns:r="http://schemas.openxmlformats.org/officeDocument/2006/relationships" r:id="rId107" tooltip="QUARTILE"/>
        </xdr:cNvPr>
        <xdr:cNvSpPr>
          <a:spLocks noChangeArrowheads="1"/>
        </xdr:cNvSpPr>
      </xdr:nvSpPr>
      <xdr:spPr bwMode="auto">
        <a:xfrm>
          <a:off x="723900" y="420814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QUARTILE</a:t>
          </a:r>
        </a:p>
      </xdr:txBody>
    </xdr:sp>
    <xdr:clientData/>
  </xdr:twoCellAnchor>
  <xdr:twoCellAnchor>
    <xdr:from>
      <xdr:col>1</xdr:col>
      <xdr:colOff>47625</xdr:colOff>
      <xdr:row>260</xdr:row>
      <xdr:rowOff>38100</xdr:rowOff>
    </xdr:from>
    <xdr:to>
      <xdr:col>5</xdr:col>
      <xdr:colOff>209550</xdr:colOff>
      <xdr:row>261</xdr:row>
      <xdr:rowOff>133350</xdr:rowOff>
    </xdr:to>
    <xdr:sp macro="" textlink="">
      <xdr:nvSpPr>
        <xdr:cNvPr id="173167" name="AutoShape 111">
          <a:hlinkClick xmlns:r="http://schemas.openxmlformats.org/officeDocument/2006/relationships" r:id="rId108" tooltip="QUOTIENT"/>
        </xdr:cNvPr>
        <xdr:cNvSpPr>
          <a:spLocks noChangeArrowheads="1"/>
        </xdr:cNvSpPr>
      </xdr:nvSpPr>
      <xdr:spPr bwMode="auto">
        <a:xfrm>
          <a:off x="723900" y="425005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QUOTIENT</a:t>
          </a:r>
        </a:p>
      </xdr:txBody>
    </xdr:sp>
    <xdr:clientData/>
  </xdr:twoCellAnchor>
  <xdr:twoCellAnchor>
    <xdr:from>
      <xdr:col>1</xdr:col>
      <xdr:colOff>47625</xdr:colOff>
      <xdr:row>262</xdr:row>
      <xdr:rowOff>104775</xdr:rowOff>
    </xdr:from>
    <xdr:to>
      <xdr:col>5</xdr:col>
      <xdr:colOff>209550</xdr:colOff>
      <xdr:row>264</xdr:row>
      <xdr:rowOff>38100</xdr:rowOff>
    </xdr:to>
    <xdr:sp macro="" textlink="">
      <xdr:nvSpPr>
        <xdr:cNvPr id="173168" name="AutoShape 112">
          <a:hlinkClick xmlns:r="http://schemas.openxmlformats.org/officeDocument/2006/relationships" r:id="rId109" tooltip="RAND"/>
        </xdr:cNvPr>
        <xdr:cNvSpPr>
          <a:spLocks noChangeArrowheads="1"/>
        </xdr:cNvSpPr>
      </xdr:nvSpPr>
      <xdr:spPr bwMode="auto">
        <a:xfrm>
          <a:off x="723900" y="428910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RAND</a:t>
          </a:r>
        </a:p>
      </xdr:txBody>
    </xdr:sp>
    <xdr:clientData/>
  </xdr:twoCellAnchor>
  <xdr:twoCellAnchor>
    <xdr:from>
      <xdr:col>1</xdr:col>
      <xdr:colOff>47625</xdr:colOff>
      <xdr:row>265</xdr:row>
      <xdr:rowOff>0</xdr:rowOff>
    </xdr:from>
    <xdr:to>
      <xdr:col>5</xdr:col>
      <xdr:colOff>209550</xdr:colOff>
      <xdr:row>266</xdr:row>
      <xdr:rowOff>95250</xdr:rowOff>
    </xdr:to>
    <xdr:sp macro="" textlink="">
      <xdr:nvSpPr>
        <xdr:cNvPr id="173169" name="AutoShape 113">
          <a:hlinkClick xmlns:r="http://schemas.openxmlformats.org/officeDocument/2006/relationships" r:id="rId110" tooltip="RANDBETWEEN"/>
        </xdr:cNvPr>
        <xdr:cNvSpPr>
          <a:spLocks noChangeArrowheads="1"/>
        </xdr:cNvSpPr>
      </xdr:nvSpPr>
      <xdr:spPr bwMode="auto">
        <a:xfrm>
          <a:off x="723900" y="432720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RANDBETWEEN</a:t>
          </a:r>
        </a:p>
      </xdr:txBody>
    </xdr:sp>
    <xdr:clientData/>
  </xdr:twoCellAnchor>
  <xdr:twoCellAnchor>
    <xdr:from>
      <xdr:col>1</xdr:col>
      <xdr:colOff>47625</xdr:colOff>
      <xdr:row>267</xdr:row>
      <xdr:rowOff>66675</xdr:rowOff>
    </xdr:from>
    <xdr:to>
      <xdr:col>5</xdr:col>
      <xdr:colOff>209550</xdr:colOff>
      <xdr:row>269</xdr:row>
      <xdr:rowOff>0</xdr:rowOff>
    </xdr:to>
    <xdr:sp macro="" textlink="">
      <xdr:nvSpPr>
        <xdr:cNvPr id="173170" name="AutoShape 114">
          <a:hlinkClick xmlns:r="http://schemas.openxmlformats.org/officeDocument/2006/relationships" r:id="rId111" tooltip="RANK"/>
        </xdr:cNvPr>
        <xdr:cNvSpPr>
          <a:spLocks noChangeArrowheads="1"/>
        </xdr:cNvSpPr>
      </xdr:nvSpPr>
      <xdr:spPr bwMode="auto">
        <a:xfrm>
          <a:off x="723900" y="43662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RANK</a:t>
          </a:r>
        </a:p>
      </xdr:txBody>
    </xdr:sp>
    <xdr:clientData/>
  </xdr:twoCellAnchor>
  <xdr:twoCellAnchor>
    <xdr:from>
      <xdr:col>1</xdr:col>
      <xdr:colOff>47625</xdr:colOff>
      <xdr:row>269</xdr:row>
      <xdr:rowOff>114300</xdr:rowOff>
    </xdr:from>
    <xdr:to>
      <xdr:col>5</xdr:col>
      <xdr:colOff>209550</xdr:colOff>
      <xdr:row>271</xdr:row>
      <xdr:rowOff>47625</xdr:rowOff>
    </xdr:to>
    <xdr:sp macro="" textlink="">
      <xdr:nvSpPr>
        <xdr:cNvPr id="173171" name="AutoShape 115">
          <a:hlinkClick xmlns:r="http://schemas.openxmlformats.org/officeDocument/2006/relationships" r:id="rId112" tooltip="REPLACE"/>
        </xdr:cNvPr>
        <xdr:cNvSpPr>
          <a:spLocks noChangeArrowheads="1"/>
        </xdr:cNvSpPr>
      </xdr:nvSpPr>
      <xdr:spPr bwMode="auto">
        <a:xfrm>
          <a:off x="723900" y="440340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REPLACE</a:t>
          </a:r>
        </a:p>
      </xdr:txBody>
    </xdr:sp>
    <xdr:clientData/>
  </xdr:twoCellAnchor>
  <xdr:twoCellAnchor>
    <xdr:from>
      <xdr:col>1</xdr:col>
      <xdr:colOff>47625</xdr:colOff>
      <xdr:row>272</xdr:row>
      <xdr:rowOff>28575</xdr:rowOff>
    </xdr:from>
    <xdr:to>
      <xdr:col>5</xdr:col>
      <xdr:colOff>209550</xdr:colOff>
      <xdr:row>273</xdr:row>
      <xdr:rowOff>123825</xdr:rowOff>
    </xdr:to>
    <xdr:sp macro="" textlink="">
      <xdr:nvSpPr>
        <xdr:cNvPr id="173172" name="AutoShape 116">
          <a:hlinkClick xmlns:r="http://schemas.openxmlformats.org/officeDocument/2006/relationships" r:id="rId113" tooltip="REPT"/>
        </xdr:cNvPr>
        <xdr:cNvSpPr>
          <a:spLocks noChangeArrowheads="1"/>
        </xdr:cNvSpPr>
      </xdr:nvSpPr>
      <xdr:spPr bwMode="auto">
        <a:xfrm>
          <a:off x="723900" y="444341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REPT</a:t>
          </a:r>
        </a:p>
      </xdr:txBody>
    </xdr:sp>
    <xdr:clientData/>
  </xdr:twoCellAnchor>
  <xdr:twoCellAnchor>
    <xdr:from>
      <xdr:col>1</xdr:col>
      <xdr:colOff>47625</xdr:colOff>
      <xdr:row>274</xdr:row>
      <xdr:rowOff>95250</xdr:rowOff>
    </xdr:from>
    <xdr:to>
      <xdr:col>5</xdr:col>
      <xdr:colOff>209550</xdr:colOff>
      <xdr:row>276</xdr:row>
      <xdr:rowOff>28575</xdr:rowOff>
    </xdr:to>
    <xdr:sp macro="" textlink="">
      <xdr:nvSpPr>
        <xdr:cNvPr id="173173" name="AutoShape 117">
          <a:hlinkClick xmlns:r="http://schemas.openxmlformats.org/officeDocument/2006/relationships" r:id="rId114" tooltip="RIGHT"/>
        </xdr:cNvPr>
        <xdr:cNvSpPr>
          <a:spLocks noChangeArrowheads="1"/>
        </xdr:cNvSpPr>
      </xdr:nvSpPr>
      <xdr:spPr bwMode="auto">
        <a:xfrm>
          <a:off x="723900" y="448246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RIGHT</a:t>
          </a:r>
        </a:p>
      </xdr:txBody>
    </xdr:sp>
    <xdr:clientData/>
  </xdr:twoCellAnchor>
  <xdr:twoCellAnchor>
    <xdr:from>
      <xdr:col>1</xdr:col>
      <xdr:colOff>47625</xdr:colOff>
      <xdr:row>277</xdr:row>
      <xdr:rowOff>19050</xdr:rowOff>
    </xdr:from>
    <xdr:to>
      <xdr:col>5</xdr:col>
      <xdr:colOff>209550</xdr:colOff>
      <xdr:row>278</xdr:row>
      <xdr:rowOff>114300</xdr:rowOff>
    </xdr:to>
    <xdr:sp macro="" textlink="">
      <xdr:nvSpPr>
        <xdr:cNvPr id="173174" name="AutoShape 118">
          <a:hlinkClick xmlns:r="http://schemas.openxmlformats.org/officeDocument/2006/relationships" r:id="rId115" tooltip="ROMAN"/>
        </xdr:cNvPr>
        <xdr:cNvSpPr>
          <a:spLocks noChangeArrowheads="1"/>
        </xdr:cNvSpPr>
      </xdr:nvSpPr>
      <xdr:spPr bwMode="auto">
        <a:xfrm>
          <a:off x="723900" y="452342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ROMAN</a:t>
          </a:r>
        </a:p>
      </xdr:txBody>
    </xdr:sp>
    <xdr:clientData/>
  </xdr:twoCellAnchor>
  <xdr:twoCellAnchor>
    <xdr:from>
      <xdr:col>1</xdr:col>
      <xdr:colOff>47625</xdr:colOff>
      <xdr:row>279</xdr:row>
      <xdr:rowOff>104775</xdr:rowOff>
    </xdr:from>
    <xdr:to>
      <xdr:col>5</xdr:col>
      <xdr:colOff>209550</xdr:colOff>
      <xdr:row>281</xdr:row>
      <xdr:rowOff>38100</xdr:rowOff>
    </xdr:to>
    <xdr:sp macro="" textlink="">
      <xdr:nvSpPr>
        <xdr:cNvPr id="173175" name="AutoShape 119">
          <a:hlinkClick xmlns:r="http://schemas.openxmlformats.org/officeDocument/2006/relationships" r:id="rId116" tooltip="ROUND"/>
        </xdr:cNvPr>
        <xdr:cNvSpPr>
          <a:spLocks noChangeArrowheads="1"/>
        </xdr:cNvSpPr>
      </xdr:nvSpPr>
      <xdr:spPr bwMode="auto">
        <a:xfrm>
          <a:off x="723900" y="456438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ROUND</a:t>
          </a:r>
        </a:p>
      </xdr:txBody>
    </xdr:sp>
    <xdr:clientData/>
  </xdr:twoCellAnchor>
  <xdr:twoCellAnchor>
    <xdr:from>
      <xdr:col>1</xdr:col>
      <xdr:colOff>47625</xdr:colOff>
      <xdr:row>282</xdr:row>
      <xdr:rowOff>19050</xdr:rowOff>
    </xdr:from>
    <xdr:to>
      <xdr:col>5</xdr:col>
      <xdr:colOff>209550</xdr:colOff>
      <xdr:row>283</xdr:row>
      <xdr:rowOff>114300</xdr:rowOff>
    </xdr:to>
    <xdr:sp macro="" textlink="">
      <xdr:nvSpPr>
        <xdr:cNvPr id="173176" name="AutoShape 120">
          <a:hlinkClick xmlns:r="http://schemas.openxmlformats.org/officeDocument/2006/relationships" r:id="rId117" tooltip="ROUNDDOWN"/>
        </xdr:cNvPr>
        <xdr:cNvSpPr>
          <a:spLocks noChangeArrowheads="1"/>
        </xdr:cNvSpPr>
      </xdr:nvSpPr>
      <xdr:spPr bwMode="auto">
        <a:xfrm>
          <a:off x="723900" y="460438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ROUNDDOWN</a:t>
          </a:r>
        </a:p>
      </xdr:txBody>
    </xdr:sp>
    <xdr:clientData/>
  </xdr:twoCellAnchor>
  <xdr:twoCellAnchor>
    <xdr:from>
      <xdr:col>1</xdr:col>
      <xdr:colOff>47625</xdr:colOff>
      <xdr:row>284</xdr:row>
      <xdr:rowOff>76200</xdr:rowOff>
    </xdr:from>
    <xdr:to>
      <xdr:col>5</xdr:col>
      <xdr:colOff>209550</xdr:colOff>
      <xdr:row>286</xdr:row>
      <xdr:rowOff>9525</xdr:rowOff>
    </xdr:to>
    <xdr:sp macro="" textlink="">
      <xdr:nvSpPr>
        <xdr:cNvPr id="173177" name="AutoShape 121">
          <a:hlinkClick xmlns:r="http://schemas.openxmlformats.org/officeDocument/2006/relationships" r:id="rId118" tooltip="ROUNDUP"/>
        </xdr:cNvPr>
        <xdr:cNvSpPr>
          <a:spLocks noChangeArrowheads="1"/>
        </xdr:cNvSpPr>
      </xdr:nvSpPr>
      <xdr:spPr bwMode="auto">
        <a:xfrm>
          <a:off x="723900" y="464248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ROUNDUP</a:t>
          </a:r>
        </a:p>
      </xdr:txBody>
    </xdr:sp>
    <xdr:clientData/>
  </xdr:twoCellAnchor>
  <xdr:twoCellAnchor>
    <xdr:from>
      <xdr:col>1</xdr:col>
      <xdr:colOff>47625</xdr:colOff>
      <xdr:row>286</xdr:row>
      <xdr:rowOff>142875</xdr:rowOff>
    </xdr:from>
    <xdr:to>
      <xdr:col>5</xdr:col>
      <xdr:colOff>209550</xdr:colOff>
      <xdr:row>288</xdr:row>
      <xdr:rowOff>76200</xdr:rowOff>
    </xdr:to>
    <xdr:sp macro="" textlink="">
      <xdr:nvSpPr>
        <xdr:cNvPr id="173178" name="AutoShape 122">
          <a:hlinkClick xmlns:r="http://schemas.openxmlformats.org/officeDocument/2006/relationships" r:id="rId119" tooltip="SECOND"/>
        </xdr:cNvPr>
        <xdr:cNvSpPr>
          <a:spLocks noChangeArrowheads="1"/>
        </xdr:cNvSpPr>
      </xdr:nvSpPr>
      <xdr:spPr bwMode="auto">
        <a:xfrm>
          <a:off x="723900" y="468153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SECOND</a:t>
          </a:r>
        </a:p>
      </xdr:txBody>
    </xdr:sp>
    <xdr:clientData/>
  </xdr:twoCellAnchor>
  <xdr:twoCellAnchor>
    <xdr:from>
      <xdr:col>1</xdr:col>
      <xdr:colOff>47625</xdr:colOff>
      <xdr:row>289</xdr:row>
      <xdr:rowOff>47625</xdr:rowOff>
    </xdr:from>
    <xdr:to>
      <xdr:col>5</xdr:col>
      <xdr:colOff>209550</xdr:colOff>
      <xdr:row>290</xdr:row>
      <xdr:rowOff>142875</xdr:rowOff>
    </xdr:to>
    <xdr:sp macro="" textlink="">
      <xdr:nvSpPr>
        <xdr:cNvPr id="173179" name="AutoShape 123">
          <a:hlinkClick xmlns:r="http://schemas.openxmlformats.org/officeDocument/2006/relationships" r:id="rId120" tooltip="Show All Formula"/>
        </xdr:cNvPr>
        <xdr:cNvSpPr>
          <a:spLocks noChangeArrowheads="1"/>
        </xdr:cNvSpPr>
      </xdr:nvSpPr>
      <xdr:spPr bwMode="auto">
        <a:xfrm>
          <a:off x="723900" y="472059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Show All Formula</a:t>
          </a:r>
        </a:p>
      </xdr:txBody>
    </xdr:sp>
    <xdr:clientData/>
  </xdr:twoCellAnchor>
  <xdr:twoCellAnchor>
    <xdr:from>
      <xdr:col>1</xdr:col>
      <xdr:colOff>47625</xdr:colOff>
      <xdr:row>291</xdr:row>
      <xdr:rowOff>104775</xdr:rowOff>
    </xdr:from>
    <xdr:to>
      <xdr:col>5</xdr:col>
      <xdr:colOff>209550</xdr:colOff>
      <xdr:row>293</xdr:row>
      <xdr:rowOff>38100</xdr:rowOff>
    </xdr:to>
    <xdr:sp macro="" textlink="">
      <xdr:nvSpPr>
        <xdr:cNvPr id="173180" name="AutoShape 124">
          <a:hlinkClick xmlns:r="http://schemas.openxmlformats.org/officeDocument/2006/relationships" r:id="rId121" tooltip="SIGN"/>
        </xdr:cNvPr>
        <xdr:cNvSpPr>
          <a:spLocks noChangeArrowheads="1"/>
        </xdr:cNvSpPr>
      </xdr:nvSpPr>
      <xdr:spPr bwMode="auto">
        <a:xfrm>
          <a:off x="723900" y="475869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SIGN</a:t>
          </a:r>
        </a:p>
      </xdr:txBody>
    </xdr:sp>
    <xdr:clientData/>
  </xdr:twoCellAnchor>
  <xdr:twoCellAnchor>
    <xdr:from>
      <xdr:col>1</xdr:col>
      <xdr:colOff>47625</xdr:colOff>
      <xdr:row>294</xdr:row>
      <xdr:rowOff>19050</xdr:rowOff>
    </xdr:from>
    <xdr:to>
      <xdr:col>5</xdr:col>
      <xdr:colOff>209550</xdr:colOff>
      <xdr:row>295</xdr:row>
      <xdr:rowOff>114300</xdr:rowOff>
    </xdr:to>
    <xdr:sp macro="" textlink="">
      <xdr:nvSpPr>
        <xdr:cNvPr id="173181" name="AutoShape 125">
          <a:hlinkClick xmlns:r="http://schemas.openxmlformats.org/officeDocument/2006/relationships" r:id="rId122" tooltip="SLN"/>
        </xdr:cNvPr>
        <xdr:cNvSpPr>
          <a:spLocks noChangeArrowheads="1"/>
        </xdr:cNvSpPr>
      </xdr:nvSpPr>
      <xdr:spPr bwMode="auto">
        <a:xfrm>
          <a:off x="723900" y="479869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SLN</a:t>
          </a:r>
        </a:p>
      </xdr:txBody>
    </xdr:sp>
    <xdr:clientData/>
  </xdr:twoCellAnchor>
  <xdr:twoCellAnchor>
    <xdr:from>
      <xdr:col>1</xdr:col>
      <xdr:colOff>47625</xdr:colOff>
      <xdr:row>296</xdr:row>
      <xdr:rowOff>95250</xdr:rowOff>
    </xdr:from>
    <xdr:to>
      <xdr:col>5</xdr:col>
      <xdr:colOff>209550</xdr:colOff>
      <xdr:row>298</xdr:row>
      <xdr:rowOff>28575</xdr:rowOff>
    </xdr:to>
    <xdr:sp macro="" textlink="">
      <xdr:nvSpPr>
        <xdr:cNvPr id="173182" name="AutoShape 126">
          <a:hlinkClick xmlns:r="http://schemas.openxmlformats.org/officeDocument/2006/relationships" r:id="rId123" tooltip="SMALL"/>
        </xdr:cNvPr>
        <xdr:cNvSpPr>
          <a:spLocks noChangeArrowheads="1"/>
        </xdr:cNvSpPr>
      </xdr:nvSpPr>
      <xdr:spPr bwMode="auto">
        <a:xfrm>
          <a:off x="723900" y="483870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SMALL</a:t>
          </a:r>
        </a:p>
      </xdr:txBody>
    </xdr:sp>
    <xdr:clientData/>
  </xdr:twoCellAnchor>
  <xdr:twoCellAnchor>
    <xdr:from>
      <xdr:col>1</xdr:col>
      <xdr:colOff>47625</xdr:colOff>
      <xdr:row>299</xdr:row>
      <xdr:rowOff>19050</xdr:rowOff>
    </xdr:from>
    <xdr:to>
      <xdr:col>5</xdr:col>
      <xdr:colOff>209550</xdr:colOff>
      <xdr:row>300</xdr:row>
      <xdr:rowOff>114300</xdr:rowOff>
    </xdr:to>
    <xdr:sp macro="" textlink="">
      <xdr:nvSpPr>
        <xdr:cNvPr id="173183" name="AutoShape 127">
          <a:hlinkClick xmlns:r="http://schemas.openxmlformats.org/officeDocument/2006/relationships" r:id="rId124" tooltip="Split ForenameSurname"/>
        </xdr:cNvPr>
        <xdr:cNvSpPr>
          <a:spLocks noChangeArrowheads="1"/>
        </xdr:cNvSpPr>
      </xdr:nvSpPr>
      <xdr:spPr bwMode="auto">
        <a:xfrm>
          <a:off x="723900" y="487965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Split Forename Surname</a:t>
          </a:r>
        </a:p>
      </xdr:txBody>
    </xdr:sp>
    <xdr:clientData/>
  </xdr:twoCellAnchor>
  <xdr:twoCellAnchor>
    <xdr:from>
      <xdr:col>1</xdr:col>
      <xdr:colOff>47625</xdr:colOff>
      <xdr:row>301</xdr:row>
      <xdr:rowOff>104775</xdr:rowOff>
    </xdr:from>
    <xdr:to>
      <xdr:col>5</xdr:col>
      <xdr:colOff>209550</xdr:colOff>
      <xdr:row>303</xdr:row>
      <xdr:rowOff>38100</xdr:rowOff>
    </xdr:to>
    <xdr:sp macro="" textlink="">
      <xdr:nvSpPr>
        <xdr:cNvPr id="173184" name="AutoShape 128">
          <a:hlinkClick xmlns:r="http://schemas.openxmlformats.org/officeDocument/2006/relationships" r:id="rId125" tooltip="STDEV"/>
        </xdr:cNvPr>
        <xdr:cNvSpPr>
          <a:spLocks noChangeArrowheads="1"/>
        </xdr:cNvSpPr>
      </xdr:nvSpPr>
      <xdr:spPr bwMode="auto">
        <a:xfrm>
          <a:off x="723900" y="492061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STDEV</a:t>
          </a:r>
        </a:p>
      </xdr:txBody>
    </xdr:sp>
    <xdr:clientData/>
  </xdr:twoCellAnchor>
  <xdr:twoCellAnchor>
    <xdr:from>
      <xdr:col>1</xdr:col>
      <xdr:colOff>47625</xdr:colOff>
      <xdr:row>304</xdr:row>
      <xdr:rowOff>19050</xdr:rowOff>
    </xdr:from>
    <xdr:to>
      <xdr:col>5</xdr:col>
      <xdr:colOff>209550</xdr:colOff>
      <xdr:row>305</xdr:row>
      <xdr:rowOff>114300</xdr:rowOff>
    </xdr:to>
    <xdr:sp macro="" textlink="">
      <xdr:nvSpPr>
        <xdr:cNvPr id="173185" name="AutoShape 129">
          <a:hlinkClick xmlns:r="http://schemas.openxmlformats.org/officeDocument/2006/relationships" r:id="rId126" tooltip="STDEVP"/>
        </xdr:cNvPr>
        <xdr:cNvSpPr>
          <a:spLocks noChangeArrowheads="1"/>
        </xdr:cNvSpPr>
      </xdr:nvSpPr>
      <xdr:spPr bwMode="auto">
        <a:xfrm>
          <a:off x="723900" y="496062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STDEVP</a:t>
          </a:r>
        </a:p>
      </xdr:txBody>
    </xdr:sp>
    <xdr:clientData/>
  </xdr:twoCellAnchor>
  <xdr:twoCellAnchor>
    <xdr:from>
      <xdr:col>1</xdr:col>
      <xdr:colOff>47625</xdr:colOff>
      <xdr:row>306</xdr:row>
      <xdr:rowOff>76200</xdr:rowOff>
    </xdr:from>
    <xdr:to>
      <xdr:col>5</xdr:col>
      <xdr:colOff>209550</xdr:colOff>
      <xdr:row>308</xdr:row>
      <xdr:rowOff>9525</xdr:rowOff>
    </xdr:to>
    <xdr:sp macro="" textlink="">
      <xdr:nvSpPr>
        <xdr:cNvPr id="173186" name="AutoShape 130">
          <a:hlinkClick xmlns:r="http://schemas.openxmlformats.org/officeDocument/2006/relationships" r:id="rId127" tooltip="SUBSTITUTE"/>
        </xdr:cNvPr>
        <xdr:cNvSpPr>
          <a:spLocks noChangeArrowheads="1"/>
        </xdr:cNvSpPr>
      </xdr:nvSpPr>
      <xdr:spPr bwMode="auto">
        <a:xfrm>
          <a:off x="723900" y="499872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SUBSTITUTE</a:t>
          </a:r>
        </a:p>
      </xdr:txBody>
    </xdr:sp>
    <xdr:clientData/>
  </xdr:twoCellAnchor>
  <xdr:twoCellAnchor>
    <xdr:from>
      <xdr:col>1</xdr:col>
      <xdr:colOff>47625</xdr:colOff>
      <xdr:row>308</xdr:row>
      <xdr:rowOff>142875</xdr:rowOff>
    </xdr:from>
    <xdr:to>
      <xdr:col>5</xdr:col>
      <xdr:colOff>209550</xdr:colOff>
      <xdr:row>310</xdr:row>
      <xdr:rowOff>76200</xdr:rowOff>
    </xdr:to>
    <xdr:sp macro="" textlink="">
      <xdr:nvSpPr>
        <xdr:cNvPr id="173187" name="AutoShape 131"/>
        <xdr:cNvSpPr>
          <a:spLocks noChangeArrowheads="1"/>
        </xdr:cNvSpPr>
      </xdr:nvSpPr>
      <xdr:spPr bwMode="auto">
        <a:xfrm>
          <a:off x="723900" y="503777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</xdr:col>
      <xdr:colOff>47625</xdr:colOff>
      <xdr:row>311</xdr:row>
      <xdr:rowOff>57150</xdr:rowOff>
    </xdr:from>
    <xdr:to>
      <xdr:col>5</xdr:col>
      <xdr:colOff>209550</xdr:colOff>
      <xdr:row>312</xdr:row>
      <xdr:rowOff>152400</xdr:rowOff>
    </xdr:to>
    <xdr:sp macro="" textlink="">
      <xdr:nvSpPr>
        <xdr:cNvPr id="173188" name="AutoShape 132">
          <a:hlinkClick xmlns:r="http://schemas.openxmlformats.org/officeDocument/2006/relationships" r:id="rId128" tooltip="SUM"/>
        </xdr:cNvPr>
        <xdr:cNvSpPr>
          <a:spLocks noChangeArrowheads="1"/>
        </xdr:cNvSpPr>
      </xdr:nvSpPr>
      <xdr:spPr bwMode="auto">
        <a:xfrm>
          <a:off x="723900" y="507777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SUM</a:t>
          </a:r>
        </a:p>
      </xdr:txBody>
    </xdr:sp>
    <xdr:clientData/>
  </xdr:twoCellAnchor>
  <xdr:twoCellAnchor>
    <xdr:from>
      <xdr:col>1</xdr:col>
      <xdr:colOff>47625</xdr:colOff>
      <xdr:row>313</xdr:row>
      <xdr:rowOff>133350</xdr:rowOff>
    </xdr:from>
    <xdr:to>
      <xdr:col>5</xdr:col>
      <xdr:colOff>209550</xdr:colOff>
      <xdr:row>315</xdr:row>
      <xdr:rowOff>66675</xdr:rowOff>
    </xdr:to>
    <xdr:sp macro="" textlink="">
      <xdr:nvSpPr>
        <xdr:cNvPr id="173189" name="AutoShape 133">
          <a:hlinkClick xmlns:r="http://schemas.openxmlformats.org/officeDocument/2006/relationships" r:id="rId129" tooltip="SUMas Running Total"/>
        </xdr:cNvPr>
        <xdr:cNvSpPr>
          <a:spLocks noChangeArrowheads="1"/>
        </xdr:cNvSpPr>
      </xdr:nvSpPr>
      <xdr:spPr bwMode="auto">
        <a:xfrm>
          <a:off x="723900" y="511778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SUM as Running Total</a:t>
          </a:r>
        </a:p>
      </xdr:txBody>
    </xdr:sp>
    <xdr:clientData/>
  </xdr:twoCellAnchor>
  <xdr:twoCellAnchor>
    <xdr:from>
      <xdr:col>1</xdr:col>
      <xdr:colOff>47625</xdr:colOff>
      <xdr:row>316</xdr:row>
      <xdr:rowOff>38100</xdr:rowOff>
    </xdr:from>
    <xdr:to>
      <xdr:col>5</xdr:col>
      <xdr:colOff>209550</xdr:colOff>
      <xdr:row>317</xdr:row>
      <xdr:rowOff>133350</xdr:rowOff>
    </xdr:to>
    <xdr:sp macro="" textlink="">
      <xdr:nvSpPr>
        <xdr:cNvPr id="173190" name="AutoShape 134">
          <a:hlinkClick xmlns:r="http://schemas.openxmlformats.org/officeDocument/2006/relationships" r:id="rId130" tooltip="SUM using names"/>
        </xdr:cNvPr>
        <xdr:cNvSpPr>
          <a:spLocks noChangeArrowheads="1"/>
        </xdr:cNvSpPr>
      </xdr:nvSpPr>
      <xdr:spPr bwMode="auto">
        <a:xfrm>
          <a:off x="723900" y="515683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SUM using names</a:t>
          </a:r>
        </a:p>
      </xdr:txBody>
    </xdr:sp>
    <xdr:clientData/>
  </xdr:twoCellAnchor>
  <xdr:twoCellAnchor>
    <xdr:from>
      <xdr:col>1</xdr:col>
      <xdr:colOff>47625</xdr:colOff>
      <xdr:row>318</xdr:row>
      <xdr:rowOff>95250</xdr:rowOff>
    </xdr:from>
    <xdr:to>
      <xdr:col>5</xdr:col>
      <xdr:colOff>209550</xdr:colOff>
      <xdr:row>320</xdr:row>
      <xdr:rowOff>28575</xdr:rowOff>
    </xdr:to>
    <xdr:sp macro="" textlink="">
      <xdr:nvSpPr>
        <xdr:cNvPr id="173191" name="AutoShape 135">
          <a:hlinkClick xmlns:r="http://schemas.openxmlformats.org/officeDocument/2006/relationships" r:id="rId131" tooltip="SUM with OFFSET"/>
        </xdr:cNvPr>
        <xdr:cNvSpPr>
          <a:spLocks noChangeArrowheads="1"/>
        </xdr:cNvSpPr>
      </xdr:nvSpPr>
      <xdr:spPr bwMode="auto">
        <a:xfrm>
          <a:off x="723900" y="519493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SUM with OFFSET</a:t>
          </a:r>
        </a:p>
      </xdr:txBody>
    </xdr:sp>
    <xdr:clientData/>
  </xdr:twoCellAnchor>
  <xdr:twoCellAnchor>
    <xdr:from>
      <xdr:col>1</xdr:col>
      <xdr:colOff>47625</xdr:colOff>
      <xdr:row>321</xdr:row>
      <xdr:rowOff>9525</xdr:rowOff>
    </xdr:from>
    <xdr:to>
      <xdr:col>5</xdr:col>
      <xdr:colOff>209550</xdr:colOff>
      <xdr:row>322</xdr:row>
      <xdr:rowOff>104775</xdr:rowOff>
    </xdr:to>
    <xdr:sp macro="" textlink="">
      <xdr:nvSpPr>
        <xdr:cNvPr id="173192" name="AutoShape 136">
          <a:hlinkClick xmlns:r="http://schemas.openxmlformats.org/officeDocument/2006/relationships" r:id="rId132" tooltip="SUMIF"/>
        </xdr:cNvPr>
        <xdr:cNvSpPr>
          <a:spLocks noChangeArrowheads="1"/>
        </xdr:cNvSpPr>
      </xdr:nvSpPr>
      <xdr:spPr bwMode="auto">
        <a:xfrm>
          <a:off x="723900" y="523494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SUMIF</a:t>
          </a:r>
        </a:p>
      </xdr:txBody>
    </xdr:sp>
    <xdr:clientData/>
  </xdr:twoCellAnchor>
  <xdr:twoCellAnchor>
    <xdr:from>
      <xdr:col>1</xdr:col>
      <xdr:colOff>47625</xdr:colOff>
      <xdr:row>323</xdr:row>
      <xdr:rowOff>95250</xdr:rowOff>
    </xdr:from>
    <xdr:to>
      <xdr:col>5</xdr:col>
      <xdr:colOff>209550</xdr:colOff>
      <xdr:row>325</xdr:row>
      <xdr:rowOff>28575</xdr:rowOff>
    </xdr:to>
    <xdr:sp macro="" textlink="">
      <xdr:nvSpPr>
        <xdr:cNvPr id="173193" name="AutoShape 137">
          <a:hlinkClick xmlns:r="http://schemas.openxmlformats.org/officeDocument/2006/relationships" r:id="rId133" tooltip="SUMPRODUCT"/>
        </xdr:cNvPr>
        <xdr:cNvSpPr>
          <a:spLocks noChangeArrowheads="1"/>
        </xdr:cNvSpPr>
      </xdr:nvSpPr>
      <xdr:spPr bwMode="auto">
        <a:xfrm>
          <a:off x="723900" y="527589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SUMPRODUCT</a:t>
          </a:r>
        </a:p>
      </xdr:txBody>
    </xdr:sp>
    <xdr:clientData/>
  </xdr:twoCellAnchor>
  <xdr:twoCellAnchor>
    <xdr:from>
      <xdr:col>1</xdr:col>
      <xdr:colOff>47625</xdr:colOff>
      <xdr:row>326</xdr:row>
      <xdr:rowOff>9525</xdr:rowOff>
    </xdr:from>
    <xdr:to>
      <xdr:col>5</xdr:col>
      <xdr:colOff>209550</xdr:colOff>
      <xdr:row>327</xdr:row>
      <xdr:rowOff>104775</xdr:rowOff>
    </xdr:to>
    <xdr:sp macro="" textlink="">
      <xdr:nvSpPr>
        <xdr:cNvPr id="173194" name="AutoShape 138">
          <a:hlinkClick xmlns:r="http://schemas.openxmlformats.org/officeDocument/2006/relationships" r:id="rId134" tooltip="SYD"/>
        </xdr:cNvPr>
        <xdr:cNvSpPr>
          <a:spLocks noChangeArrowheads="1"/>
        </xdr:cNvSpPr>
      </xdr:nvSpPr>
      <xdr:spPr bwMode="auto">
        <a:xfrm>
          <a:off x="723900" y="531590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SYD</a:t>
          </a:r>
        </a:p>
      </xdr:txBody>
    </xdr:sp>
    <xdr:clientData/>
  </xdr:twoCellAnchor>
  <xdr:twoCellAnchor>
    <xdr:from>
      <xdr:col>1</xdr:col>
      <xdr:colOff>47625</xdr:colOff>
      <xdr:row>328</xdr:row>
      <xdr:rowOff>85725</xdr:rowOff>
    </xdr:from>
    <xdr:to>
      <xdr:col>5</xdr:col>
      <xdr:colOff>209550</xdr:colOff>
      <xdr:row>330</xdr:row>
      <xdr:rowOff>19050</xdr:rowOff>
    </xdr:to>
    <xdr:sp macro="" textlink="">
      <xdr:nvSpPr>
        <xdr:cNvPr id="173195" name="AutoShape 139">
          <a:hlinkClick xmlns:r="http://schemas.openxmlformats.org/officeDocument/2006/relationships" r:id="rId135" tooltip="T"/>
        </xdr:cNvPr>
        <xdr:cNvSpPr>
          <a:spLocks noChangeArrowheads="1"/>
        </xdr:cNvSpPr>
      </xdr:nvSpPr>
      <xdr:spPr bwMode="auto">
        <a:xfrm>
          <a:off x="723900" y="535590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</a:t>
          </a:r>
        </a:p>
      </xdr:txBody>
    </xdr:sp>
    <xdr:clientData/>
  </xdr:twoCellAnchor>
  <xdr:twoCellAnchor>
    <xdr:from>
      <xdr:col>1</xdr:col>
      <xdr:colOff>47625</xdr:colOff>
      <xdr:row>330</xdr:row>
      <xdr:rowOff>152400</xdr:rowOff>
    </xdr:from>
    <xdr:to>
      <xdr:col>5</xdr:col>
      <xdr:colOff>209550</xdr:colOff>
      <xdr:row>332</xdr:row>
      <xdr:rowOff>85725</xdr:rowOff>
    </xdr:to>
    <xdr:sp macro="" textlink="">
      <xdr:nvSpPr>
        <xdr:cNvPr id="173196" name="AutoShape 140">
          <a:hlinkClick xmlns:r="http://schemas.openxmlformats.org/officeDocument/2006/relationships" r:id="rId136" tooltip="TEXT"/>
        </xdr:cNvPr>
        <xdr:cNvSpPr>
          <a:spLocks noChangeArrowheads="1"/>
        </xdr:cNvSpPr>
      </xdr:nvSpPr>
      <xdr:spPr bwMode="auto">
        <a:xfrm>
          <a:off x="723900" y="539496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TEXT</a:t>
          </a:r>
        </a:p>
      </xdr:txBody>
    </xdr:sp>
    <xdr:clientData/>
  </xdr:twoCellAnchor>
  <xdr:twoCellAnchor>
    <xdr:from>
      <xdr:col>1</xdr:col>
      <xdr:colOff>47625</xdr:colOff>
      <xdr:row>333</xdr:row>
      <xdr:rowOff>57150</xdr:rowOff>
    </xdr:from>
    <xdr:to>
      <xdr:col>5</xdr:col>
      <xdr:colOff>209550</xdr:colOff>
      <xdr:row>334</xdr:row>
      <xdr:rowOff>152400</xdr:rowOff>
    </xdr:to>
    <xdr:sp macro="" textlink="">
      <xdr:nvSpPr>
        <xdr:cNvPr id="173197" name="AutoShape 141">
          <a:hlinkClick xmlns:r="http://schemas.openxmlformats.org/officeDocument/2006/relationships" r:id="rId137" tooltip="TIME"/>
        </xdr:cNvPr>
        <xdr:cNvSpPr>
          <a:spLocks noChangeArrowheads="1"/>
        </xdr:cNvSpPr>
      </xdr:nvSpPr>
      <xdr:spPr bwMode="auto">
        <a:xfrm>
          <a:off x="723900" y="543401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TIME</a:t>
          </a:r>
        </a:p>
      </xdr:txBody>
    </xdr:sp>
    <xdr:clientData/>
  </xdr:twoCellAnchor>
  <xdr:twoCellAnchor>
    <xdr:from>
      <xdr:col>1</xdr:col>
      <xdr:colOff>47625</xdr:colOff>
      <xdr:row>335</xdr:row>
      <xdr:rowOff>123825</xdr:rowOff>
    </xdr:from>
    <xdr:to>
      <xdr:col>5</xdr:col>
      <xdr:colOff>209550</xdr:colOff>
      <xdr:row>337</xdr:row>
      <xdr:rowOff>57150</xdr:rowOff>
    </xdr:to>
    <xdr:sp macro="" textlink="">
      <xdr:nvSpPr>
        <xdr:cNvPr id="173198" name="AutoShape 142">
          <a:hlinkClick xmlns:r="http://schemas.openxmlformats.org/officeDocument/2006/relationships" r:id="rId138" tooltip="Time Calculation"/>
        </xdr:cNvPr>
        <xdr:cNvSpPr>
          <a:spLocks noChangeArrowheads="1"/>
        </xdr:cNvSpPr>
      </xdr:nvSpPr>
      <xdr:spPr bwMode="auto">
        <a:xfrm>
          <a:off x="723900" y="547306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TIME Calculation</a:t>
          </a:r>
        </a:p>
      </xdr:txBody>
    </xdr:sp>
    <xdr:clientData/>
  </xdr:twoCellAnchor>
  <xdr:twoCellAnchor>
    <xdr:from>
      <xdr:col>1</xdr:col>
      <xdr:colOff>47625</xdr:colOff>
      <xdr:row>338</xdr:row>
      <xdr:rowOff>47625</xdr:rowOff>
    </xdr:from>
    <xdr:to>
      <xdr:col>5</xdr:col>
      <xdr:colOff>209550</xdr:colOff>
      <xdr:row>339</xdr:row>
      <xdr:rowOff>142875</xdr:rowOff>
    </xdr:to>
    <xdr:sp macro="" textlink="">
      <xdr:nvSpPr>
        <xdr:cNvPr id="173199" name="AutoShape 143">
          <a:hlinkClick xmlns:r="http://schemas.openxmlformats.org/officeDocument/2006/relationships" r:id="rId139" tooltip="Time Sheet"/>
        </xdr:cNvPr>
        <xdr:cNvSpPr>
          <a:spLocks noChangeArrowheads="1"/>
        </xdr:cNvSpPr>
      </xdr:nvSpPr>
      <xdr:spPr bwMode="auto">
        <a:xfrm>
          <a:off x="723900" y="551402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</xdr:col>
      <xdr:colOff>47625</xdr:colOff>
      <xdr:row>340</xdr:row>
      <xdr:rowOff>123825</xdr:rowOff>
    </xdr:from>
    <xdr:to>
      <xdr:col>5</xdr:col>
      <xdr:colOff>209550</xdr:colOff>
      <xdr:row>342</xdr:row>
      <xdr:rowOff>57150</xdr:rowOff>
    </xdr:to>
    <xdr:sp macro="" textlink="">
      <xdr:nvSpPr>
        <xdr:cNvPr id="173200" name="AutoShape 144">
          <a:hlinkClick xmlns:r="http://schemas.openxmlformats.org/officeDocument/2006/relationships" r:id="rId140" tooltip="TIMEVALUE"/>
        </xdr:cNvPr>
        <xdr:cNvSpPr>
          <a:spLocks noChangeArrowheads="1"/>
        </xdr:cNvSpPr>
      </xdr:nvSpPr>
      <xdr:spPr bwMode="auto">
        <a:xfrm>
          <a:off x="723900" y="555402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TIMEVALUE</a:t>
          </a:r>
        </a:p>
      </xdr:txBody>
    </xdr:sp>
    <xdr:clientData/>
  </xdr:twoCellAnchor>
  <xdr:twoCellAnchor>
    <xdr:from>
      <xdr:col>1</xdr:col>
      <xdr:colOff>47625</xdr:colOff>
      <xdr:row>343</xdr:row>
      <xdr:rowOff>47625</xdr:rowOff>
    </xdr:from>
    <xdr:to>
      <xdr:col>5</xdr:col>
      <xdr:colOff>209550</xdr:colOff>
      <xdr:row>344</xdr:row>
      <xdr:rowOff>142875</xdr:rowOff>
    </xdr:to>
    <xdr:sp macro="" textlink="">
      <xdr:nvSpPr>
        <xdr:cNvPr id="173201" name="AutoShape 145">
          <a:hlinkClick xmlns:r="http://schemas.openxmlformats.org/officeDocument/2006/relationships" r:id="rId141" tooltip="TODAY"/>
        </xdr:cNvPr>
        <xdr:cNvSpPr>
          <a:spLocks noChangeArrowheads="1"/>
        </xdr:cNvSpPr>
      </xdr:nvSpPr>
      <xdr:spPr bwMode="auto">
        <a:xfrm>
          <a:off x="723900" y="559498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TODAY</a:t>
          </a:r>
        </a:p>
      </xdr:txBody>
    </xdr:sp>
    <xdr:clientData/>
  </xdr:twoCellAnchor>
  <xdr:twoCellAnchor>
    <xdr:from>
      <xdr:col>1</xdr:col>
      <xdr:colOff>47625</xdr:colOff>
      <xdr:row>345</xdr:row>
      <xdr:rowOff>114300</xdr:rowOff>
    </xdr:from>
    <xdr:to>
      <xdr:col>5</xdr:col>
      <xdr:colOff>209550</xdr:colOff>
      <xdr:row>347</xdr:row>
      <xdr:rowOff>47625</xdr:rowOff>
    </xdr:to>
    <xdr:sp macro="" textlink="">
      <xdr:nvSpPr>
        <xdr:cNvPr id="173202" name="AutoShape 146">
          <a:hlinkClick xmlns:r="http://schemas.openxmlformats.org/officeDocument/2006/relationships" r:id="rId142" tooltip="TRANSPOSE"/>
        </xdr:cNvPr>
        <xdr:cNvSpPr>
          <a:spLocks noChangeArrowheads="1"/>
        </xdr:cNvSpPr>
      </xdr:nvSpPr>
      <xdr:spPr bwMode="auto">
        <a:xfrm>
          <a:off x="723900" y="563403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TRANSPOSE</a:t>
          </a:r>
        </a:p>
      </xdr:txBody>
    </xdr:sp>
    <xdr:clientData/>
  </xdr:twoCellAnchor>
  <xdr:twoCellAnchor>
    <xdr:from>
      <xdr:col>1</xdr:col>
      <xdr:colOff>47625</xdr:colOff>
      <xdr:row>348</xdr:row>
      <xdr:rowOff>28575</xdr:rowOff>
    </xdr:from>
    <xdr:to>
      <xdr:col>5</xdr:col>
      <xdr:colOff>209550</xdr:colOff>
      <xdr:row>349</xdr:row>
      <xdr:rowOff>123825</xdr:rowOff>
    </xdr:to>
    <xdr:sp macro="" textlink="">
      <xdr:nvSpPr>
        <xdr:cNvPr id="173203" name="AutoShape 147">
          <a:hlinkClick xmlns:r="http://schemas.openxmlformats.org/officeDocument/2006/relationships" r:id="rId143" tooltip="TREND"/>
        </xdr:cNvPr>
        <xdr:cNvSpPr>
          <a:spLocks noChangeArrowheads="1"/>
        </xdr:cNvSpPr>
      </xdr:nvSpPr>
      <xdr:spPr bwMode="auto">
        <a:xfrm>
          <a:off x="723900" y="567404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TREND</a:t>
          </a:r>
        </a:p>
      </xdr:txBody>
    </xdr:sp>
    <xdr:clientData/>
  </xdr:twoCellAnchor>
  <xdr:twoCellAnchor>
    <xdr:from>
      <xdr:col>1</xdr:col>
      <xdr:colOff>47625</xdr:colOff>
      <xdr:row>350</xdr:row>
      <xdr:rowOff>123825</xdr:rowOff>
    </xdr:from>
    <xdr:to>
      <xdr:col>5</xdr:col>
      <xdr:colOff>209550</xdr:colOff>
      <xdr:row>352</xdr:row>
      <xdr:rowOff>57150</xdr:rowOff>
    </xdr:to>
    <xdr:sp macro="" textlink="">
      <xdr:nvSpPr>
        <xdr:cNvPr id="173204" name="AutoShape 148">
          <a:hlinkClick xmlns:r="http://schemas.openxmlformats.org/officeDocument/2006/relationships" r:id="rId144" tooltip="TRIM"/>
        </xdr:cNvPr>
        <xdr:cNvSpPr>
          <a:spLocks noChangeArrowheads="1"/>
        </xdr:cNvSpPr>
      </xdr:nvSpPr>
      <xdr:spPr bwMode="auto">
        <a:xfrm>
          <a:off x="723900" y="571595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TRIM</a:t>
          </a:r>
        </a:p>
      </xdr:txBody>
    </xdr:sp>
    <xdr:clientData/>
  </xdr:twoCellAnchor>
  <xdr:twoCellAnchor>
    <xdr:from>
      <xdr:col>1</xdr:col>
      <xdr:colOff>47625</xdr:colOff>
      <xdr:row>353</xdr:row>
      <xdr:rowOff>38100</xdr:rowOff>
    </xdr:from>
    <xdr:to>
      <xdr:col>5</xdr:col>
      <xdr:colOff>209550</xdr:colOff>
      <xdr:row>354</xdr:row>
      <xdr:rowOff>133350</xdr:rowOff>
    </xdr:to>
    <xdr:sp macro="" textlink="">
      <xdr:nvSpPr>
        <xdr:cNvPr id="173205" name="AutoShape 149">
          <a:hlinkClick xmlns:r="http://schemas.openxmlformats.org/officeDocument/2006/relationships" r:id="rId145" tooltip="TRUNC"/>
        </xdr:cNvPr>
        <xdr:cNvSpPr>
          <a:spLocks noChangeArrowheads="1"/>
        </xdr:cNvSpPr>
      </xdr:nvSpPr>
      <xdr:spPr bwMode="auto">
        <a:xfrm>
          <a:off x="723900" y="575595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TRUNC</a:t>
          </a:r>
        </a:p>
      </xdr:txBody>
    </xdr:sp>
    <xdr:clientData/>
  </xdr:twoCellAnchor>
  <xdr:twoCellAnchor>
    <xdr:from>
      <xdr:col>1</xdr:col>
      <xdr:colOff>47625</xdr:colOff>
      <xdr:row>355</xdr:row>
      <xdr:rowOff>114300</xdr:rowOff>
    </xdr:from>
    <xdr:to>
      <xdr:col>5</xdr:col>
      <xdr:colOff>209550</xdr:colOff>
      <xdr:row>357</xdr:row>
      <xdr:rowOff>47625</xdr:rowOff>
    </xdr:to>
    <xdr:sp macro="" textlink="">
      <xdr:nvSpPr>
        <xdr:cNvPr id="173206" name="AutoShape 150"/>
        <xdr:cNvSpPr>
          <a:spLocks noChangeArrowheads="1"/>
        </xdr:cNvSpPr>
      </xdr:nvSpPr>
      <xdr:spPr bwMode="auto">
        <a:xfrm>
          <a:off x="723900" y="579596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</xdr:col>
      <xdr:colOff>47625</xdr:colOff>
      <xdr:row>358</xdr:row>
      <xdr:rowOff>38100</xdr:rowOff>
    </xdr:from>
    <xdr:to>
      <xdr:col>5</xdr:col>
      <xdr:colOff>209550</xdr:colOff>
      <xdr:row>359</xdr:row>
      <xdr:rowOff>133350</xdr:rowOff>
    </xdr:to>
    <xdr:sp macro="" textlink="">
      <xdr:nvSpPr>
        <xdr:cNvPr id="173207" name="AutoShape 151">
          <a:hlinkClick xmlns:r="http://schemas.openxmlformats.org/officeDocument/2006/relationships" r:id="rId146" tooltip="UPPER"/>
        </xdr:cNvPr>
        <xdr:cNvSpPr>
          <a:spLocks noChangeArrowheads="1"/>
        </xdr:cNvSpPr>
      </xdr:nvSpPr>
      <xdr:spPr bwMode="auto">
        <a:xfrm>
          <a:off x="723900" y="583692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UPPER</a:t>
          </a:r>
        </a:p>
      </xdr:txBody>
    </xdr:sp>
    <xdr:clientData/>
  </xdr:twoCellAnchor>
  <xdr:twoCellAnchor>
    <xdr:from>
      <xdr:col>1</xdr:col>
      <xdr:colOff>47625</xdr:colOff>
      <xdr:row>360</xdr:row>
      <xdr:rowOff>104775</xdr:rowOff>
    </xdr:from>
    <xdr:to>
      <xdr:col>5</xdr:col>
      <xdr:colOff>209550</xdr:colOff>
      <xdr:row>362</xdr:row>
      <xdr:rowOff>38100</xdr:rowOff>
    </xdr:to>
    <xdr:sp macro="" textlink="">
      <xdr:nvSpPr>
        <xdr:cNvPr id="173208" name="AutoShape 152">
          <a:hlinkClick xmlns:r="http://schemas.openxmlformats.org/officeDocument/2006/relationships" r:id="rId147" tooltip="VALUE"/>
        </xdr:cNvPr>
        <xdr:cNvSpPr>
          <a:spLocks noChangeArrowheads="1"/>
        </xdr:cNvSpPr>
      </xdr:nvSpPr>
      <xdr:spPr bwMode="auto">
        <a:xfrm>
          <a:off x="723900" y="587597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VALUE</a:t>
          </a:r>
        </a:p>
      </xdr:txBody>
    </xdr:sp>
    <xdr:clientData/>
  </xdr:twoCellAnchor>
  <xdr:twoCellAnchor>
    <xdr:from>
      <xdr:col>1</xdr:col>
      <xdr:colOff>47625</xdr:colOff>
      <xdr:row>363</xdr:row>
      <xdr:rowOff>9525</xdr:rowOff>
    </xdr:from>
    <xdr:to>
      <xdr:col>5</xdr:col>
      <xdr:colOff>209550</xdr:colOff>
      <xdr:row>364</xdr:row>
      <xdr:rowOff>104775</xdr:rowOff>
    </xdr:to>
    <xdr:sp macro="" textlink="">
      <xdr:nvSpPr>
        <xdr:cNvPr id="173209" name="AutoShape 153">
          <a:hlinkClick xmlns:r="http://schemas.openxmlformats.org/officeDocument/2006/relationships" r:id="rId148" tooltip="VAR"/>
        </xdr:cNvPr>
        <xdr:cNvSpPr>
          <a:spLocks noChangeArrowheads="1"/>
        </xdr:cNvSpPr>
      </xdr:nvSpPr>
      <xdr:spPr bwMode="auto">
        <a:xfrm>
          <a:off x="723900" y="591502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VAR</a:t>
          </a:r>
        </a:p>
      </xdr:txBody>
    </xdr:sp>
    <xdr:clientData/>
  </xdr:twoCellAnchor>
  <xdr:twoCellAnchor>
    <xdr:from>
      <xdr:col>1</xdr:col>
      <xdr:colOff>47625</xdr:colOff>
      <xdr:row>365</xdr:row>
      <xdr:rowOff>76200</xdr:rowOff>
    </xdr:from>
    <xdr:to>
      <xdr:col>5</xdr:col>
      <xdr:colOff>209550</xdr:colOff>
      <xdr:row>367</xdr:row>
      <xdr:rowOff>9525</xdr:rowOff>
    </xdr:to>
    <xdr:sp macro="" textlink="">
      <xdr:nvSpPr>
        <xdr:cNvPr id="173210" name="AutoShape 154">
          <a:hlinkClick xmlns:r="http://schemas.openxmlformats.org/officeDocument/2006/relationships" r:id="rId149" tooltip="VARP"/>
        </xdr:cNvPr>
        <xdr:cNvSpPr>
          <a:spLocks noChangeArrowheads="1"/>
        </xdr:cNvSpPr>
      </xdr:nvSpPr>
      <xdr:spPr bwMode="auto">
        <a:xfrm>
          <a:off x="723900" y="595407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VARP</a:t>
          </a:r>
        </a:p>
      </xdr:txBody>
    </xdr:sp>
    <xdr:clientData/>
  </xdr:twoCellAnchor>
  <xdr:twoCellAnchor>
    <xdr:from>
      <xdr:col>1</xdr:col>
      <xdr:colOff>47625</xdr:colOff>
      <xdr:row>367</xdr:row>
      <xdr:rowOff>142875</xdr:rowOff>
    </xdr:from>
    <xdr:to>
      <xdr:col>5</xdr:col>
      <xdr:colOff>209550</xdr:colOff>
      <xdr:row>369</xdr:row>
      <xdr:rowOff>76200</xdr:rowOff>
    </xdr:to>
    <xdr:sp macro="" textlink="">
      <xdr:nvSpPr>
        <xdr:cNvPr id="173211" name="AutoShape 155">
          <a:hlinkClick xmlns:r="http://schemas.openxmlformats.org/officeDocument/2006/relationships" r:id="rId150" tooltip="VLOOKUP"/>
        </xdr:cNvPr>
        <xdr:cNvSpPr>
          <a:spLocks noChangeArrowheads="1"/>
        </xdr:cNvSpPr>
      </xdr:nvSpPr>
      <xdr:spPr bwMode="auto">
        <a:xfrm>
          <a:off x="723900" y="5993130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VLOOKUP</a:t>
          </a:r>
        </a:p>
      </xdr:txBody>
    </xdr:sp>
    <xdr:clientData/>
  </xdr:twoCellAnchor>
  <xdr:twoCellAnchor>
    <xdr:from>
      <xdr:col>1</xdr:col>
      <xdr:colOff>47625</xdr:colOff>
      <xdr:row>370</xdr:row>
      <xdr:rowOff>66675</xdr:rowOff>
    </xdr:from>
    <xdr:to>
      <xdr:col>5</xdr:col>
      <xdr:colOff>209550</xdr:colOff>
      <xdr:row>372</xdr:row>
      <xdr:rowOff>0</xdr:rowOff>
    </xdr:to>
    <xdr:sp macro="" textlink="">
      <xdr:nvSpPr>
        <xdr:cNvPr id="173212" name="AutoShape 156">
          <a:hlinkClick xmlns:r="http://schemas.openxmlformats.org/officeDocument/2006/relationships" r:id="rId151" tooltip="WEEKDAY"/>
        </xdr:cNvPr>
        <xdr:cNvSpPr>
          <a:spLocks noChangeArrowheads="1"/>
        </xdr:cNvSpPr>
      </xdr:nvSpPr>
      <xdr:spPr bwMode="auto">
        <a:xfrm>
          <a:off x="723900" y="6034087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WEEKDAY</a:t>
          </a:r>
        </a:p>
      </xdr:txBody>
    </xdr:sp>
    <xdr:clientData/>
  </xdr:twoCellAnchor>
  <xdr:twoCellAnchor>
    <xdr:from>
      <xdr:col>1</xdr:col>
      <xdr:colOff>47625</xdr:colOff>
      <xdr:row>372</xdr:row>
      <xdr:rowOff>152400</xdr:rowOff>
    </xdr:from>
    <xdr:to>
      <xdr:col>5</xdr:col>
      <xdr:colOff>209550</xdr:colOff>
      <xdr:row>374</xdr:row>
      <xdr:rowOff>85725</xdr:rowOff>
    </xdr:to>
    <xdr:sp macro="" textlink="">
      <xdr:nvSpPr>
        <xdr:cNvPr id="173213" name="AutoShape 157">
          <a:hlinkClick xmlns:r="http://schemas.openxmlformats.org/officeDocument/2006/relationships" r:id="rId152" tooltip="WORKDAY"/>
        </xdr:cNvPr>
        <xdr:cNvSpPr>
          <a:spLocks noChangeArrowheads="1"/>
        </xdr:cNvSpPr>
      </xdr:nvSpPr>
      <xdr:spPr bwMode="auto">
        <a:xfrm>
          <a:off x="723900" y="607504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WORKDAY</a:t>
          </a:r>
        </a:p>
      </xdr:txBody>
    </xdr:sp>
    <xdr:clientData/>
  </xdr:twoCellAnchor>
  <xdr:twoCellAnchor>
    <xdr:from>
      <xdr:col>1</xdr:col>
      <xdr:colOff>47625</xdr:colOff>
      <xdr:row>375</xdr:row>
      <xdr:rowOff>76200</xdr:rowOff>
    </xdr:from>
    <xdr:to>
      <xdr:col>5</xdr:col>
      <xdr:colOff>209550</xdr:colOff>
      <xdr:row>377</xdr:row>
      <xdr:rowOff>9525</xdr:rowOff>
    </xdr:to>
    <xdr:sp macro="" textlink="">
      <xdr:nvSpPr>
        <xdr:cNvPr id="173214" name="AutoShape 158">
          <a:hlinkClick xmlns:r="http://schemas.openxmlformats.org/officeDocument/2006/relationships" r:id="rId153" tooltip="YEAR"/>
        </xdr:cNvPr>
        <xdr:cNvSpPr>
          <a:spLocks noChangeArrowheads="1"/>
        </xdr:cNvSpPr>
      </xdr:nvSpPr>
      <xdr:spPr bwMode="auto">
        <a:xfrm>
          <a:off x="723900" y="61160025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YEAR</a:t>
          </a:r>
        </a:p>
      </xdr:txBody>
    </xdr:sp>
    <xdr:clientData/>
  </xdr:twoCellAnchor>
  <xdr:twoCellAnchor>
    <xdr:from>
      <xdr:col>1</xdr:col>
      <xdr:colOff>47625</xdr:colOff>
      <xdr:row>377</xdr:row>
      <xdr:rowOff>142875</xdr:rowOff>
    </xdr:from>
    <xdr:to>
      <xdr:col>5</xdr:col>
      <xdr:colOff>209550</xdr:colOff>
      <xdr:row>379</xdr:row>
      <xdr:rowOff>76200</xdr:rowOff>
    </xdr:to>
    <xdr:sp macro="" textlink="">
      <xdr:nvSpPr>
        <xdr:cNvPr id="173215" name="AutoShape 159">
          <a:hlinkClick xmlns:r="http://schemas.openxmlformats.org/officeDocument/2006/relationships" r:id="rId154" tooltip="YEARFRAC"/>
        </xdr:cNvPr>
        <xdr:cNvSpPr>
          <a:spLocks noChangeArrowheads="1"/>
        </xdr:cNvSpPr>
      </xdr:nvSpPr>
      <xdr:spPr bwMode="auto">
        <a:xfrm>
          <a:off x="723900" y="61550550"/>
          <a:ext cx="2600325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800000"/>
              </a:solidFill>
              <a:latin typeface="Arial"/>
              <a:cs typeface="Arial"/>
            </a:rPr>
            <a:t>YEARFRAC</a:t>
          </a:r>
        </a:p>
      </xdr:txBody>
    </xdr:sp>
    <xdr:clientData/>
  </xdr:twoCellAnchor>
  <xdr:twoCellAnchor>
    <xdr:from>
      <xdr:col>5</xdr:col>
      <xdr:colOff>95250</xdr:colOff>
      <xdr:row>0</xdr:row>
      <xdr:rowOff>161925</xdr:rowOff>
    </xdr:from>
    <xdr:to>
      <xdr:col>11</xdr:col>
      <xdr:colOff>114300</xdr:colOff>
      <xdr:row>2</xdr:row>
      <xdr:rowOff>152400</xdr:rowOff>
    </xdr:to>
    <xdr:sp macro="" textlink="">
      <xdr:nvSpPr>
        <xdr:cNvPr id="173216" name="WordArt 160"/>
        <xdr:cNvSpPr>
          <a:spLocks noChangeArrowheads="1" noChangeShapeType="1" noTextEdit="1"/>
        </xdr:cNvSpPr>
      </xdr:nvSpPr>
      <xdr:spPr bwMode="auto">
        <a:xfrm>
          <a:off x="3209925" y="161925"/>
          <a:ext cx="3676650" cy="6000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PerspectiveBottom"/>
            <a:lightRig rig="legacyFlat3" dir="t"/>
          </a:scene3d>
          <a:sp3d extrusionH="887400" prstMaterial="legacyMatte">
            <a:extrusionClr>
              <a:srgbClr val="666699"/>
            </a:extrusionClr>
          </a:sp3d>
        </a:bodyPr>
        <a:lstStyle/>
        <a:p>
          <a:pPr algn="ctr" rtl="0"/>
          <a:r>
            <a:rPr lang="en-US" sz="3600" kern="10" spc="0">
              <a:ln w="12700">
                <a:round/>
                <a:headEnd/>
                <a:tailEnd/>
              </a:ln>
              <a:gradFill rotWithShape="1">
                <a:gsLst>
                  <a:gs pos="0">
                    <a:srgbClr val="666699"/>
                  </a:gs>
                  <a:gs pos="100000">
                    <a:srgbClr val="FFFFFF"/>
                  </a:gs>
                </a:gsLst>
                <a:lin ang="5400000" scaled="1"/>
              </a:gradFill>
              <a:effectLst/>
              <a:latin typeface="Arial Black"/>
            </a:rPr>
            <a:t>Excel  Formulae</a:t>
          </a:r>
        </a:p>
      </xdr:txBody>
    </xdr:sp>
    <xdr:clientData/>
  </xdr:twoCellAnchor>
  <xdr:twoCellAnchor>
    <xdr:from>
      <xdr:col>1</xdr:col>
      <xdr:colOff>571500</xdr:colOff>
      <xdr:row>2</xdr:row>
      <xdr:rowOff>95250</xdr:rowOff>
    </xdr:from>
    <xdr:to>
      <xdr:col>3</xdr:col>
      <xdr:colOff>123825</xdr:colOff>
      <xdr:row>3</xdr:row>
      <xdr:rowOff>152400</xdr:rowOff>
    </xdr:to>
    <xdr:sp macro="" textlink="">
      <xdr:nvSpPr>
        <xdr:cNvPr id="173217" name="Line 161"/>
        <xdr:cNvSpPr>
          <a:spLocks noChangeShapeType="1"/>
        </xdr:cNvSpPr>
      </xdr:nvSpPr>
      <xdr:spPr bwMode="auto">
        <a:xfrm flipV="1">
          <a:off x="1247775" y="704850"/>
          <a:ext cx="771525" cy="219075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2</xdr:row>
      <xdr:rowOff>95250</xdr:rowOff>
    </xdr:from>
    <xdr:to>
      <xdr:col>4</xdr:col>
      <xdr:colOff>295275</xdr:colOff>
      <xdr:row>3</xdr:row>
      <xdr:rowOff>133350</xdr:rowOff>
    </xdr:to>
    <xdr:sp macro="" textlink="">
      <xdr:nvSpPr>
        <xdr:cNvPr id="173218" name="Line 162"/>
        <xdr:cNvSpPr>
          <a:spLocks noChangeShapeType="1"/>
        </xdr:cNvSpPr>
      </xdr:nvSpPr>
      <xdr:spPr bwMode="auto">
        <a:xfrm>
          <a:off x="2019300" y="704850"/>
          <a:ext cx="781050" cy="200025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2</xdr:row>
      <xdr:rowOff>57150</xdr:rowOff>
    </xdr:from>
    <xdr:to>
      <xdr:col>3</xdr:col>
      <xdr:colOff>219075</xdr:colOff>
      <xdr:row>3</xdr:row>
      <xdr:rowOff>0</xdr:rowOff>
    </xdr:to>
    <xdr:sp macro="" textlink="">
      <xdr:nvSpPr>
        <xdr:cNvPr id="173219" name="Oval 163"/>
        <xdr:cNvSpPr>
          <a:spLocks noChangeArrowheads="1"/>
        </xdr:cNvSpPr>
      </xdr:nvSpPr>
      <xdr:spPr bwMode="auto">
        <a:xfrm>
          <a:off x="2019300" y="666750"/>
          <a:ext cx="95250" cy="104775"/>
        </a:xfrm>
        <a:prstGeom prst="ellipse">
          <a:avLst/>
        </a:prstGeom>
        <a:solidFill>
          <a:srgbClr val="800000"/>
        </a:solidFill>
        <a:ln w="9525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1</xdr:col>
      <xdr:colOff>447675</xdr:colOff>
      <xdr:row>380</xdr:row>
      <xdr:rowOff>142875</xdr:rowOff>
    </xdr:from>
    <xdr:to>
      <xdr:col>4</xdr:col>
      <xdr:colOff>466725</xdr:colOff>
      <xdr:row>380</xdr:row>
      <xdr:rowOff>142875</xdr:rowOff>
    </xdr:to>
    <xdr:sp macro="" textlink="">
      <xdr:nvSpPr>
        <xdr:cNvPr id="173220" name="Line 164"/>
        <xdr:cNvSpPr>
          <a:spLocks noChangeShapeType="1"/>
        </xdr:cNvSpPr>
      </xdr:nvSpPr>
      <xdr:spPr bwMode="auto">
        <a:xfrm>
          <a:off x="1123950" y="62036325"/>
          <a:ext cx="1847850" cy="0"/>
        </a:xfrm>
        <a:prstGeom prst="line">
          <a:avLst/>
        </a:prstGeom>
        <a:noFill/>
        <a:ln w="76200">
          <a:solidFill>
            <a:srgbClr val="8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381</xdr:row>
      <xdr:rowOff>19050</xdr:rowOff>
    </xdr:from>
    <xdr:to>
      <xdr:col>4</xdr:col>
      <xdr:colOff>238125</xdr:colOff>
      <xdr:row>384</xdr:row>
      <xdr:rowOff>123825</xdr:rowOff>
    </xdr:to>
    <xdr:sp macro="" textlink="">
      <xdr:nvSpPr>
        <xdr:cNvPr id="173221" name="AutoShape 165"/>
        <xdr:cNvSpPr>
          <a:spLocks noChangeArrowheads="1"/>
        </xdr:cNvSpPr>
      </xdr:nvSpPr>
      <xdr:spPr bwMode="auto">
        <a:xfrm flipV="1">
          <a:off x="1323975" y="62074425"/>
          <a:ext cx="1419225" cy="590550"/>
        </a:xfrm>
        <a:prstGeom prst="triangle">
          <a:avLst>
            <a:gd name="adj" fmla="val 50000"/>
          </a:avLst>
        </a:prstGeom>
        <a:solidFill>
          <a:srgbClr val="800000"/>
        </a:solidFill>
        <a:ln w="9525">
          <a:solidFill>
            <a:srgbClr val="8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381</xdr:row>
      <xdr:rowOff>38100</xdr:rowOff>
    </xdr:from>
    <xdr:to>
      <xdr:col>3</xdr:col>
      <xdr:colOff>342900</xdr:colOff>
      <xdr:row>383</xdr:row>
      <xdr:rowOff>95250</xdr:rowOff>
    </xdr:to>
    <xdr:sp macro="" textlink="">
      <xdr:nvSpPr>
        <xdr:cNvPr id="173222" name="AutoShape 166"/>
        <xdr:cNvSpPr>
          <a:spLocks noChangeArrowheads="1"/>
        </xdr:cNvSpPr>
      </xdr:nvSpPr>
      <xdr:spPr bwMode="auto">
        <a:xfrm>
          <a:off x="1876425" y="62093475"/>
          <a:ext cx="361950" cy="381000"/>
        </a:xfrm>
        <a:prstGeom prst="star24">
          <a:avLst>
            <a:gd name="adj" fmla="val 37500"/>
          </a:avLst>
        </a:prstGeom>
        <a:gradFill rotWithShape="1">
          <a:gsLst>
            <a:gs pos="0">
              <a:srgbClr val="FFFF99"/>
            </a:gs>
            <a:gs pos="100000">
              <a:srgbClr val="FF0000"/>
            </a:gs>
          </a:gsLst>
          <a:path path="shape">
            <a:fillToRect l="50000" t="50000" r="50000" b="50000"/>
          </a:path>
        </a:gradFill>
        <a:ln w="9525">
          <a:solidFill>
            <a:srgbClr val="FFFF99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</xdr:colOff>
      <xdr:row>381</xdr:row>
      <xdr:rowOff>152400</xdr:rowOff>
    </xdr:from>
    <xdr:to>
      <xdr:col>3</xdr:col>
      <xdr:colOff>333375</xdr:colOff>
      <xdr:row>382</xdr:row>
      <xdr:rowOff>152400</xdr:rowOff>
    </xdr:to>
    <xdr:sp macro="" textlink="">
      <xdr:nvSpPr>
        <xdr:cNvPr id="173223" name="Rectangle 167"/>
        <xdr:cNvSpPr>
          <a:spLocks noChangeArrowheads="1"/>
        </xdr:cNvSpPr>
      </xdr:nvSpPr>
      <xdr:spPr bwMode="auto">
        <a:xfrm>
          <a:off x="1933575" y="62207775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FF6600"/>
              </a:solidFill>
              <a:latin typeface="Arial"/>
              <a:cs typeface="Arial"/>
            </a:rPr>
            <a:t>OMs</a:t>
          </a:r>
        </a:p>
      </xdr:txBody>
    </xdr:sp>
    <xdr:clientData/>
  </xdr:twoCellAnchor>
  <xdr:twoCellAnchor>
    <xdr:from>
      <xdr:col>7</xdr:col>
      <xdr:colOff>57150</xdr:colOff>
      <xdr:row>3</xdr:row>
      <xdr:rowOff>171450</xdr:rowOff>
    </xdr:from>
    <xdr:to>
      <xdr:col>9</xdr:col>
      <xdr:colOff>371475</xdr:colOff>
      <xdr:row>4</xdr:row>
      <xdr:rowOff>161925</xdr:rowOff>
    </xdr:to>
    <xdr:sp macro="" textlink="">
      <xdr:nvSpPr>
        <xdr:cNvPr id="173224" name="Rectangle 168">
          <a:hlinkClick xmlns:r="http://schemas.openxmlformats.org/officeDocument/2006/relationships" r:id="rId155"/>
        </xdr:cNvPr>
        <xdr:cNvSpPr>
          <a:spLocks noChangeArrowheads="1"/>
        </xdr:cNvSpPr>
      </xdr:nvSpPr>
      <xdr:spPr bwMode="auto">
        <a:xfrm>
          <a:off x="4391025" y="942975"/>
          <a:ext cx="15335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r>
            <a:rPr lang="en-US" sz="1200" b="1" i="0" strike="noStrike">
              <a:solidFill>
                <a:srgbClr val="000080"/>
              </a:solidFill>
              <a:latin typeface="Arial"/>
              <a:cs typeface="Arial"/>
            </a:rPr>
            <a:t>www.sanketham.tk</a:t>
          </a:r>
        </a:p>
      </xdr:txBody>
    </xdr:sp>
    <xdr:clientData/>
  </xdr:twoCellAnchor>
  <xdr:twoCellAnchor>
    <xdr:from>
      <xdr:col>0</xdr:col>
      <xdr:colOff>123825</xdr:colOff>
      <xdr:row>0</xdr:row>
      <xdr:rowOff>152400</xdr:rowOff>
    </xdr:from>
    <xdr:to>
      <xdr:col>1</xdr:col>
      <xdr:colOff>390525</xdr:colOff>
      <xdr:row>1</xdr:row>
      <xdr:rowOff>133350</xdr:rowOff>
    </xdr:to>
    <xdr:sp macro="" textlink="">
      <xdr:nvSpPr>
        <xdr:cNvPr id="173225" name="AutoShape 169">
          <a:hlinkClick xmlns:r="http://schemas.openxmlformats.org/officeDocument/2006/relationships" r:id="rId156" tooltip="Home"/>
        </xdr:cNvPr>
        <xdr:cNvSpPr>
          <a:spLocks noChangeArrowheads="1"/>
        </xdr:cNvSpPr>
      </xdr:nvSpPr>
      <xdr:spPr bwMode="auto">
        <a:xfrm>
          <a:off x="123825" y="1524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Home</a:t>
          </a:r>
        </a:p>
      </xdr:txBody>
    </xdr:sp>
    <xdr:clientData fPrintsWithSheet="0"/>
  </xdr:twoCellAnchor>
  <xdr:twoCellAnchor>
    <xdr:from>
      <xdr:col>12</xdr:col>
      <xdr:colOff>1514475</xdr:colOff>
      <xdr:row>2</xdr:row>
      <xdr:rowOff>85725</xdr:rowOff>
    </xdr:from>
    <xdr:to>
      <xdr:col>12</xdr:col>
      <xdr:colOff>1514475</xdr:colOff>
      <xdr:row>4</xdr:row>
      <xdr:rowOff>142875</xdr:rowOff>
    </xdr:to>
    <xdr:sp macro="" textlink="">
      <xdr:nvSpPr>
        <xdr:cNvPr id="173227" name="Line 171">
          <a:hlinkClick xmlns:r="http://schemas.openxmlformats.org/officeDocument/2006/relationships" r:id="rId157" tooltip="Last Formula"/>
        </xdr:cNvPr>
        <xdr:cNvSpPr>
          <a:spLocks noChangeShapeType="1"/>
        </xdr:cNvSpPr>
      </xdr:nvSpPr>
      <xdr:spPr bwMode="auto">
        <a:xfrm>
          <a:off x="8896350" y="695325"/>
          <a:ext cx="0" cy="419100"/>
        </a:xfrm>
        <a:prstGeom prst="line">
          <a:avLst/>
        </a:prstGeom>
        <a:noFill/>
        <a:ln w="762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285750</xdr:colOff>
      <xdr:row>2</xdr:row>
      <xdr:rowOff>133350</xdr:rowOff>
    </xdr:from>
    <xdr:to>
      <xdr:col>0</xdr:col>
      <xdr:colOff>285750</xdr:colOff>
      <xdr:row>4</xdr:row>
      <xdr:rowOff>180975</xdr:rowOff>
    </xdr:to>
    <xdr:sp macro="" textlink="">
      <xdr:nvSpPr>
        <xdr:cNvPr id="173228" name="Line 172">
          <a:hlinkClick xmlns:r="http://schemas.openxmlformats.org/officeDocument/2006/relationships" r:id="rId157" tooltip="Last Formula"/>
        </xdr:cNvPr>
        <xdr:cNvSpPr>
          <a:spLocks noChangeShapeType="1"/>
        </xdr:cNvSpPr>
      </xdr:nvSpPr>
      <xdr:spPr bwMode="auto">
        <a:xfrm>
          <a:off x="285750" y="742950"/>
          <a:ext cx="0" cy="409575"/>
        </a:xfrm>
        <a:prstGeom prst="line">
          <a:avLst/>
        </a:prstGeom>
        <a:noFill/>
        <a:ln w="762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11</xdr:col>
      <xdr:colOff>152400</xdr:colOff>
      <xdr:row>0</xdr:row>
      <xdr:rowOff>0</xdr:rowOff>
    </xdr:from>
    <xdr:to>
      <xdr:col>12</xdr:col>
      <xdr:colOff>885825</xdr:colOff>
      <xdr:row>4</xdr:row>
      <xdr:rowOff>19050</xdr:rowOff>
    </xdr:to>
    <xdr:pic>
      <xdr:nvPicPr>
        <xdr:cNvPr id="173229" name="Picture 173" descr="BkBluMed"/>
        <xdr:cNvPicPr>
          <a:picLocks noChangeAspect="1" noChangeArrowheads="1"/>
        </xdr:cNvPicPr>
      </xdr:nvPicPr>
      <xdr:blipFill>
        <a:blip xmlns:r="http://schemas.openxmlformats.org/officeDocument/2006/relationships" r:embed="rId158"/>
        <a:srcRect/>
        <a:stretch>
          <a:fillRect/>
        </a:stretch>
      </xdr:blipFill>
      <xdr:spPr bwMode="auto">
        <a:xfrm>
          <a:off x="6924675" y="0"/>
          <a:ext cx="1343025" cy="990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295275</xdr:colOff>
      <xdr:row>380</xdr:row>
      <xdr:rowOff>76200</xdr:rowOff>
    </xdr:from>
    <xdr:to>
      <xdr:col>0</xdr:col>
      <xdr:colOff>295275</xdr:colOff>
      <xdr:row>383</xdr:row>
      <xdr:rowOff>9525</xdr:rowOff>
    </xdr:to>
    <xdr:sp macro="" textlink="">
      <xdr:nvSpPr>
        <xdr:cNvPr id="173231" name="Line 175">
          <a:hlinkClick xmlns:r="http://schemas.openxmlformats.org/officeDocument/2006/relationships" r:id="rId159" tooltip="Top"/>
        </xdr:cNvPr>
        <xdr:cNvSpPr>
          <a:spLocks noChangeShapeType="1"/>
        </xdr:cNvSpPr>
      </xdr:nvSpPr>
      <xdr:spPr bwMode="auto">
        <a:xfrm flipV="1">
          <a:off x="295275" y="61969650"/>
          <a:ext cx="0" cy="419100"/>
        </a:xfrm>
        <a:prstGeom prst="line">
          <a:avLst/>
        </a:prstGeom>
        <a:noFill/>
        <a:ln w="762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295275</xdr:colOff>
      <xdr:row>763</xdr:row>
      <xdr:rowOff>114300</xdr:rowOff>
    </xdr:from>
    <xdr:to>
      <xdr:col>12</xdr:col>
      <xdr:colOff>295275</xdr:colOff>
      <xdr:row>765</xdr:row>
      <xdr:rowOff>114300</xdr:rowOff>
    </xdr:to>
    <xdr:sp macro="" textlink="">
      <xdr:nvSpPr>
        <xdr:cNvPr id="173232" name="Line 176"/>
        <xdr:cNvSpPr>
          <a:spLocks noChangeShapeType="1"/>
        </xdr:cNvSpPr>
      </xdr:nvSpPr>
      <xdr:spPr bwMode="auto">
        <a:xfrm flipV="1">
          <a:off x="7677150" y="124025025"/>
          <a:ext cx="0" cy="323850"/>
        </a:xfrm>
        <a:prstGeom prst="line">
          <a:avLst/>
        </a:prstGeom>
        <a:noFill/>
        <a:ln w="571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1514475</xdr:colOff>
      <xdr:row>380</xdr:row>
      <xdr:rowOff>76200</xdr:rowOff>
    </xdr:from>
    <xdr:to>
      <xdr:col>12</xdr:col>
      <xdr:colOff>1514475</xdr:colOff>
      <xdr:row>383</xdr:row>
      <xdr:rowOff>9525</xdr:rowOff>
    </xdr:to>
    <xdr:sp macro="" textlink="">
      <xdr:nvSpPr>
        <xdr:cNvPr id="173233" name="Line 177">
          <a:hlinkClick xmlns:r="http://schemas.openxmlformats.org/officeDocument/2006/relationships" r:id="rId159" tooltip="Top"/>
        </xdr:cNvPr>
        <xdr:cNvSpPr>
          <a:spLocks noChangeShapeType="1"/>
        </xdr:cNvSpPr>
      </xdr:nvSpPr>
      <xdr:spPr bwMode="auto">
        <a:xfrm flipV="1">
          <a:off x="8896350" y="61969650"/>
          <a:ext cx="0" cy="419100"/>
        </a:xfrm>
        <a:prstGeom prst="line">
          <a:avLst/>
        </a:prstGeom>
        <a:noFill/>
        <a:ln w="762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95250</xdr:rowOff>
    </xdr:from>
    <xdr:to>
      <xdr:col>5</xdr:col>
      <xdr:colOff>819150</xdr:colOff>
      <xdr:row>0</xdr:row>
      <xdr:rowOff>476250</xdr:rowOff>
    </xdr:to>
    <xdr:sp macro="" textlink="">
      <xdr:nvSpPr>
        <xdr:cNvPr id="171012" name="WordArt 4"/>
        <xdr:cNvSpPr>
          <a:spLocks noChangeArrowheads="1" noChangeShapeType="1" noTextEdit="1"/>
        </xdr:cNvSpPr>
      </xdr:nvSpPr>
      <xdr:spPr bwMode="auto">
        <a:xfrm>
          <a:off x="1838325" y="95250"/>
          <a:ext cx="22479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YEARFRAC</a:t>
          </a:r>
        </a:p>
      </xdr:txBody>
    </xdr:sp>
    <xdr:clientData/>
  </xdr:twoCellAnchor>
  <xdr:twoCellAnchor>
    <xdr:from>
      <xdr:col>1</xdr:col>
      <xdr:colOff>361950</xdr:colOff>
      <xdr:row>0</xdr:row>
      <xdr:rowOff>95250</xdr:rowOff>
    </xdr:from>
    <xdr:to>
      <xdr:col>2</xdr:col>
      <xdr:colOff>695325</xdr:colOff>
      <xdr:row>0</xdr:row>
      <xdr:rowOff>390525</xdr:rowOff>
    </xdr:to>
    <xdr:sp macro="" textlink="">
      <xdr:nvSpPr>
        <xdr:cNvPr id="17101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6197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95250</xdr:rowOff>
    </xdr:from>
    <xdr:to>
      <xdr:col>6</xdr:col>
      <xdr:colOff>95250</xdr:colOff>
      <xdr:row>0</xdr:row>
      <xdr:rowOff>476250</xdr:rowOff>
    </xdr:to>
    <xdr:sp macro="" textlink="">
      <xdr:nvSpPr>
        <xdr:cNvPr id="169988" name="WordArt 4"/>
        <xdr:cNvSpPr>
          <a:spLocks noChangeArrowheads="1" noChangeShapeType="1" noTextEdit="1"/>
        </xdr:cNvSpPr>
      </xdr:nvSpPr>
      <xdr:spPr bwMode="auto">
        <a:xfrm>
          <a:off x="1962150" y="95250"/>
          <a:ext cx="15049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YEAR</a:t>
          </a:r>
        </a:p>
      </xdr:txBody>
    </xdr:sp>
    <xdr:clientData/>
  </xdr:twoCellAnchor>
  <xdr:twoCellAnchor>
    <xdr:from>
      <xdr:col>1</xdr:col>
      <xdr:colOff>514350</xdr:colOff>
      <xdr:row>0</xdr:row>
      <xdr:rowOff>95250</xdr:rowOff>
    </xdr:from>
    <xdr:to>
      <xdr:col>3</xdr:col>
      <xdr:colOff>238125</xdr:colOff>
      <xdr:row>0</xdr:row>
      <xdr:rowOff>390525</xdr:rowOff>
    </xdr:to>
    <xdr:sp macro="" textlink="">
      <xdr:nvSpPr>
        <xdr:cNvPr id="16998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858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0</xdr:row>
      <xdr:rowOff>66675</xdr:rowOff>
    </xdr:from>
    <xdr:to>
      <xdr:col>6</xdr:col>
      <xdr:colOff>381000</xdr:colOff>
      <xdr:row>0</xdr:row>
      <xdr:rowOff>447675</xdr:rowOff>
    </xdr:to>
    <xdr:sp macro="" textlink="">
      <xdr:nvSpPr>
        <xdr:cNvPr id="168964" name="WordArt 4"/>
        <xdr:cNvSpPr>
          <a:spLocks noChangeArrowheads="1" noChangeShapeType="1" noTextEdit="1"/>
        </xdr:cNvSpPr>
      </xdr:nvSpPr>
      <xdr:spPr bwMode="auto">
        <a:xfrm>
          <a:off x="1952625" y="66675"/>
          <a:ext cx="23145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WORKDAY</a:t>
          </a:r>
        </a:p>
      </xdr:txBody>
    </xdr:sp>
    <xdr:clientData/>
  </xdr:twoCellAnchor>
  <xdr:twoCellAnchor>
    <xdr:from>
      <xdr:col>1</xdr:col>
      <xdr:colOff>495300</xdr:colOff>
      <xdr:row>0</xdr:row>
      <xdr:rowOff>66675</xdr:rowOff>
    </xdr:from>
    <xdr:to>
      <xdr:col>3</xdr:col>
      <xdr:colOff>542925</xdr:colOff>
      <xdr:row>0</xdr:row>
      <xdr:rowOff>361950</xdr:rowOff>
    </xdr:to>
    <xdr:sp macro="" textlink="">
      <xdr:nvSpPr>
        <xdr:cNvPr id="16896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76275" y="666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0</xdr:row>
      <xdr:rowOff>95250</xdr:rowOff>
    </xdr:from>
    <xdr:to>
      <xdr:col>6</xdr:col>
      <xdr:colOff>161925</xdr:colOff>
      <xdr:row>0</xdr:row>
      <xdr:rowOff>476250</xdr:rowOff>
    </xdr:to>
    <xdr:sp macro="" textlink="">
      <xdr:nvSpPr>
        <xdr:cNvPr id="167940" name="WordArt 4"/>
        <xdr:cNvSpPr>
          <a:spLocks noChangeArrowheads="1" noChangeShapeType="1" noTextEdit="1"/>
        </xdr:cNvSpPr>
      </xdr:nvSpPr>
      <xdr:spPr bwMode="auto">
        <a:xfrm>
          <a:off x="2095500" y="95250"/>
          <a:ext cx="21812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WEEKDAY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133350</xdr:colOff>
      <xdr:row>0</xdr:row>
      <xdr:rowOff>390525</xdr:rowOff>
    </xdr:to>
    <xdr:sp macro="" textlink="">
      <xdr:nvSpPr>
        <xdr:cNvPr id="16794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95250</xdr:rowOff>
    </xdr:from>
    <xdr:to>
      <xdr:col>7</xdr:col>
      <xdr:colOff>314325</xdr:colOff>
      <xdr:row>0</xdr:row>
      <xdr:rowOff>476250</xdr:rowOff>
    </xdr:to>
    <xdr:sp macro="" textlink="">
      <xdr:nvSpPr>
        <xdr:cNvPr id="166916" name="WordArt 4"/>
        <xdr:cNvSpPr>
          <a:spLocks noChangeArrowheads="1" noChangeShapeType="1" noTextEdit="1"/>
        </xdr:cNvSpPr>
      </xdr:nvSpPr>
      <xdr:spPr bwMode="auto">
        <a:xfrm>
          <a:off x="1714500" y="95250"/>
          <a:ext cx="24384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VLOOKUP</a:t>
          </a:r>
        </a:p>
      </xdr:txBody>
    </xdr:sp>
    <xdr:clientData/>
  </xdr:twoCellAnchor>
  <xdr:twoCellAnchor>
    <xdr:from>
      <xdr:col>1</xdr:col>
      <xdr:colOff>257175</xdr:colOff>
      <xdr:row>0</xdr:row>
      <xdr:rowOff>95250</xdr:rowOff>
    </xdr:from>
    <xdr:to>
      <xdr:col>2</xdr:col>
      <xdr:colOff>590550</xdr:colOff>
      <xdr:row>0</xdr:row>
      <xdr:rowOff>390525</xdr:rowOff>
    </xdr:to>
    <xdr:sp macro="" textlink="">
      <xdr:nvSpPr>
        <xdr:cNvPr id="16691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38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6</xdr:col>
      <xdr:colOff>295275</xdr:colOff>
      <xdr:row>0</xdr:row>
      <xdr:rowOff>476250</xdr:rowOff>
    </xdr:to>
    <xdr:sp macro="" textlink="">
      <xdr:nvSpPr>
        <xdr:cNvPr id="165892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VARP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6589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6</xdr:col>
      <xdr:colOff>295275</xdr:colOff>
      <xdr:row>0</xdr:row>
      <xdr:rowOff>476250</xdr:rowOff>
    </xdr:to>
    <xdr:sp macro="" textlink="">
      <xdr:nvSpPr>
        <xdr:cNvPr id="164868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VAR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6486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1695450</xdr:colOff>
      <xdr:row>0</xdr:row>
      <xdr:rowOff>95250</xdr:rowOff>
    </xdr:from>
    <xdr:to>
      <xdr:col>4</xdr:col>
      <xdr:colOff>447675</xdr:colOff>
      <xdr:row>0</xdr:row>
      <xdr:rowOff>476250</xdr:rowOff>
    </xdr:to>
    <xdr:sp macro="" textlink="">
      <xdr:nvSpPr>
        <xdr:cNvPr id="163844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VALUE</a:t>
          </a:r>
        </a:p>
      </xdr:txBody>
    </xdr:sp>
    <xdr:clientData/>
  </xdr:twoCellAnchor>
  <xdr:twoCellAnchor>
    <xdr:from>
      <xdr:col>2</xdr:col>
      <xdr:colOff>419100</xdr:colOff>
      <xdr:row>0</xdr:row>
      <xdr:rowOff>95250</xdr:rowOff>
    </xdr:from>
    <xdr:to>
      <xdr:col>2</xdr:col>
      <xdr:colOff>1362075</xdr:colOff>
      <xdr:row>0</xdr:row>
      <xdr:rowOff>390525</xdr:rowOff>
    </xdr:to>
    <xdr:sp macro="" textlink="">
      <xdr:nvSpPr>
        <xdr:cNvPr id="16384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95250</xdr:rowOff>
    </xdr:from>
    <xdr:to>
      <xdr:col>4</xdr:col>
      <xdr:colOff>504825</xdr:colOff>
      <xdr:row>0</xdr:row>
      <xdr:rowOff>476250</xdr:rowOff>
    </xdr:to>
    <xdr:sp macro="" textlink="">
      <xdr:nvSpPr>
        <xdr:cNvPr id="162820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UPPER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2</xdr:col>
      <xdr:colOff>971550</xdr:colOff>
      <xdr:row>0</xdr:row>
      <xdr:rowOff>390525</xdr:rowOff>
    </xdr:to>
    <xdr:sp macro="" textlink="">
      <xdr:nvSpPr>
        <xdr:cNvPr id="16282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95250</xdr:rowOff>
    </xdr:from>
    <xdr:to>
      <xdr:col>6</xdr:col>
      <xdr:colOff>247650</xdr:colOff>
      <xdr:row>0</xdr:row>
      <xdr:rowOff>476250</xdr:rowOff>
    </xdr:to>
    <xdr:sp macro="" textlink="">
      <xdr:nvSpPr>
        <xdr:cNvPr id="161796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TRUNC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6179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95250</xdr:rowOff>
    </xdr:from>
    <xdr:to>
      <xdr:col>5</xdr:col>
      <xdr:colOff>219075</xdr:colOff>
      <xdr:row>0</xdr:row>
      <xdr:rowOff>476250</xdr:rowOff>
    </xdr:to>
    <xdr:sp macro="" textlink="">
      <xdr:nvSpPr>
        <xdr:cNvPr id="160772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TRIM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2</xdr:col>
      <xdr:colOff>971550</xdr:colOff>
      <xdr:row>0</xdr:row>
      <xdr:rowOff>390525</xdr:rowOff>
    </xdr:to>
    <xdr:sp macro="" textlink="">
      <xdr:nvSpPr>
        <xdr:cNvPr id="16077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6</xdr:col>
      <xdr:colOff>533400</xdr:colOff>
      <xdr:row>0</xdr:row>
      <xdr:rowOff>476250</xdr:rowOff>
    </xdr:to>
    <xdr:sp macro="" textlink="">
      <xdr:nvSpPr>
        <xdr:cNvPr id="159748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6668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TREND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5974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8</xdr:col>
      <xdr:colOff>76200</xdr:colOff>
      <xdr:row>0</xdr:row>
      <xdr:rowOff>476250</xdr:rowOff>
    </xdr:to>
    <xdr:sp macro="" textlink="">
      <xdr:nvSpPr>
        <xdr:cNvPr id="158724" name="WordArt 4"/>
        <xdr:cNvSpPr>
          <a:spLocks noChangeArrowheads="1" noChangeShapeType="1" noTextEdit="1"/>
        </xdr:cNvSpPr>
      </xdr:nvSpPr>
      <xdr:spPr bwMode="auto">
        <a:xfrm>
          <a:off x="2095500" y="95250"/>
          <a:ext cx="24288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TRANSPOSE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5872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95250</xdr:rowOff>
    </xdr:from>
    <xdr:to>
      <xdr:col>5</xdr:col>
      <xdr:colOff>352425</xdr:colOff>
      <xdr:row>0</xdr:row>
      <xdr:rowOff>476250</xdr:rowOff>
    </xdr:to>
    <xdr:sp macro="" textlink="">
      <xdr:nvSpPr>
        <xdr:cNvPr id="157700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7335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TODAY()</a:t>
          </a:r>
        </a:p>
      </xdr:txBody>
    </xdr:sp>
    <xdr:clientData/>
  </xdr:twoCellAnchor>
  <xdr:twoCellAnchor>
    <xdr:from>
      <xdr:col>2</xdr:col>
      <xdr:colOff>0</xdr:colOff>
      <xdr:row>0</xdr:row>
      <xdr:rowOff>95250</xdr:rowOff>
    </xdr:from>
    <xdr:to>
      <xdr:col>3</xdr:col>
      <xdr:colOff>219075</xdr:colOff>
      <xdr:row>0</xdr:row>
      <xdr:rowOff>390525</xdr:rowOff>
    </xdr:to>
    <xdr:sp macro="" textlink="">
      <xdr:nvSpPr>
        <xdr:cNvPr id="15770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95250</xdr:rowOff>
    </xdr:from>
    <xdr:to>
      <xdr:col>5</xdr:col>
      <xdr:colOff>590550</xdr:colOff>
      <xdr:row>0</xdr:row>
      <xdr:rowOff>476250</xdr:rowOff>
    </xdr:to>
    <xdr:sp macro="" textlink="">
      <xdr:nvSpPr>
        <xdr:cNvPr id="156676" name="WordArt 4"/>
        <xdr:cNvSpPr>
          <a:spLocks noChangeArrowheads="1" noChangeShapeType="1" noTextEdit="1"/>
        </xdr:cNvSpPr>
      </xdr:nvSpPr>
      <xdr:spPr bwMode="auto">
        <a:xfrm>
          <a:off x="2095500" y="95250"/>
          <a:ext cx="24193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TIMEVALUE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85725</xdr:colOff>
      <xdr:row>0</xdr:row>
      <xdr:rowOff>390525</xdr:rowOff>
    </xdr:to>
    <xdr:sp macro="" textlink="">
      <xdr:nvSpPr>
        <xdr:cNvPr id="15667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6</xdr:col>
      <xdr:colOff>66675</xdr:colOff>
      <xdr:row>0</xdr:row>
      <xdr:rowOff>476250</xdr:rowOff>
    </xdr:to>
    <xdr:sp macro="" textlink="">
      <xdr:nvSpPr>
        <xdr:cNvPr id="155652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TIME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5565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0</xdr:row>
      <xdr:rowOff>95250</xdr:rowOff>
    </xdr:from>
    <xdr:to>
      <xdr:col>6</xdr:col>
      <xdr:colOff>123825</xdr:colOff>
      <xdr:row>0</xdr:row>
      <xdr:rowOff>476250</xdr:rowOff>
    </xdr:to>
    <xdr:sp macro="" textlink="">
      <xdr:nvSpPr>
        <xdr:cNvPr id="154628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TEXT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190500</xdr:colOff>
      <xdr:row>0</xdr:row>
      <xdr:rowOff>390525</xdr:rowOff>
    </xdr:to>
    <xdr:sp macro="" textlink="">
      <xdr:nvSpPr>
        <xdr:cNvPr id="15462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0</xdr:row>
      <xdr:rowOff>95250</xdr:rowOff>
    </xdr:from>
    <xdr:to>
      <xdr:col>4</xdr:col>
      <xdr:colOff>552450</xdr:colOff>
      <xdr:row>0</xdr:row>
      <xdr:rowOff>542925</xdr:rowOff>
    </xdr:to>
    <xdr:sp macro="" textlink="">
      <xdr:nvSpPr>
        <xdr:cNvPr id="153604" name="WordArt 4"/>
        <xdr:cNvSpPr>
          <a:spLocks noChangeArrowheads="1" noChangeShapeType="1" noTextEdit="1"/>
        </xdr:cNvSpPr>
      </xdr:nvSpPr>
      <xdr:spPr bwMode="auto">
        <a:xfrm>
          <a:off x="2095500" y="95250"/>
          <a:ext cx="581025" cy="4476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5360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0</xdr:row>
      <xdr:rowOff>95250</xdr:rowOff>
    </xdr:from>
    <xdr:to>
      <xdr:col>5</xdr:col>
      <xdr:colOff>552450</xdr:colOff>
      <xdr:row>0</xdr:row>
      <xdr:rowOff>476250</xdr:rowOff>
    </xdr:to>
    <xdr:sp macro="" textlink="">
      <xdr:nvSpPr>
        <xdr:cNvPr id="152580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SYD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5258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76200</xdr:rowOff>
    </xdr:from>
    <xdr:to>
      <xdr:col>7</xdr:col>
      <xdr:colOff>657225</xdr:colOff>
      <xdr:row>0</xdr:row>
      <xdr:rowOff>457200</xdr:rowOff>
    </xdr:to>
    <xdr:sp macro="" textlink="">
      <xdr:nvSpPr>
        <xdr:cNvPr id="151556" name="WordArt 4"/>
        <xdr:cNvSpPr>
          <a:spLocks noChangeArrowheads="1" noChangeShapeType="1" noTextEdit="1"/>
        </xdr:cNvSpPr>
      </xdr:nvSpPr>
      <xdr:spPr bwMode="auto">
        <a:xfrm>
          <a:off x="1676400" y="76200"/>
          <a:ext cx="29146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SUMPRODUCT</a:t>
          </a:r>
        </a:p>
      </xdr:txBody>
    </xdr:sp>
    <xdr:clientData/>
  </xdr:twoCellAnchor>
  <xdr:twoCellAnchor>
    <xdr:from>
      <xdr:col>1</xdr:col>
      <xdr:colOff>219075</xdr:colOff>
      <xdr:row>0</xdr:row>
      <xdr:rowOff>76200</xdr:rowOff>
    </xdr:from>
    <xdr:to>
      <xdr:col>2</xdr:col>
      <xdr:colOff>457200</xdr:colOff>
      <xdr:row>0</xdr:row>
      <xdr:rowOff>371475</xdr:rowOff>
    </xdr:to>
    <xdr:sp macro="" textlink="">
      <xdr:nvSpPr>
        <xdr:cNvPr id="15155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0005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0</xdr:row>
      <xdr:rowOff>95250</xdr:rowOff>
    </xdr:from>
    <xdr:to>
      <xdr:col>6</xdr:col>
      <xdr:colOff>381000</xdr:colOff>
      <xdr:row>0</xdr:row>
      <xdr:rowOff>476250</xdr:rowOff>
    </xdr:to>
    <xdr:sp macro="" textlink="">
      <xdr:nvSpPr>
        <xdr:cNvPr id="150532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6764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SUMIF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5053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0</xdr:row>
      <xdr:rowOff>95250</xdr:rowOff>
    </xdr:from>
    <xdr:to>
      <xdr:col>10</xdr:col>
      <xdr:colOff>47625</xdr:colOff>
      <xdr:row>0</xdr:row>
      <xdr:rowOff>476250</xdr:rowOff>
    </xdr:to>
    <xdr:sp macro="" textlink="">
      <xdr:nvSpPr>
        <xdr:cNvPr id="149508" name="WordArt 4"/>
        <xdr:cNvSpPr>
          <a:spLocks noChangeArrowheads="1" noChangeShapeType="1" noTextEdit="1"/>
        </xdr:cNvSpPr>
      </xdr:nvSpPr>
      <xdr:spPr bwMode="auto">
        <a:xfrm>
          <a:off x="1543050" y="95250"/>
          <a:ext cx="41338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SUM and the =OFFSET function</a:t>
          </a:r>
        </a:p>
      </xdr:txBody>
    </xdr:sp>
    <xdr:clientData/>
  </xdr:twoCellAnchor>
  <xdr:twoCellAnchor>
    <xdr:from>
      <xdr:col>1</xdr:col>
      <xdr:colOff>85725</xdr:colOff>
      <xdr:row>0</xdr:row>
      <xdr:rowOff>95250</xdr:rowOff>
    </xdr:from>
    <xdr:to>
      <xdr:col>3</xdr:col>
      <xdr:colOff>123825</xdr:colOff>
      <xdr:row>0</xdr:row>
      <xdr:rowOff>390525</xdr:rowOff>
    </xdr:to>
    <xdr:sp macro="" textlink="">
      <xdr:nvSpPr>
        <xdr:cNvPr id="14950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2667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95250</xdr:rowOff>
    </xdr:from>
    <xdr:to>
      <xdr:col>8</xdr:col>
      <xdr:colOff>466725</xdr:colOff>
      <xdr:row>0</xdr:row>
      <xdr:rowOff>476250</xdr:rowOff>
    </xdr:to>
    <xdr:sp macro="" textlink="">
      <xdr:nvSpPr>
        <xdr:cNvPr id="148484" name="WordArt 4"/>
        <xdr:cNvSpPr>
          <a:spLocks noChangeArrowheads="1" noChangeShapeType="1" noTextEdit="1"/>
        </xdr:cNvSpPr>
      </xdr:nvSpPr>
      <xdr:spPr bwMode="auto">
        <a:xfrm>
          <a:off x="1781175" y="95250"/>
          <a:ext cx="31337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SUM(Running Total)</a:t>
          </a:r>
        </a:p>
      </xdr:txBody>
    </xdr:sp>
    <xdr:clientData/>
  </xdr:twoCellAnchor>
  <xdr:twoCellAnchor>
    <xdr:from>
      <xdr:col>1</xdr:col>
      <xdr:colOff>323850</xdr:colOff>
      <xdr:row>0</xdr:row>
      <xdr:rowOff>95250</xdr:rowOff>
    </xdr:from>
    <xdr:to>
      <xdr:col>3</xdr:col>
      <xdr:colOff>47625</xdr:colOff>
      <xdr:row>0</xdr:row>
      <xdr:rowOff>390525</xdr:rowOff>
    </xdr:to>
    <xdr:sp macro="" textlink="">
      <xdr:nvSpPr>
        <xdr:cNvPr id="14848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048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0</xdr:row>
      <xdr:rowOff>95250</xdr:rowOff>
    </xdr:from>
    <xdr:to>
      <xdr:col>6</xdr:col>
      <xdr:colOff>180975</xdr:colOff>
      <xdr:row>0</xdr:row>
      <xdr:rowOff>476250</xdr:rowOff>
    </xdr:to>
    <xdr:sp macro="" textlink="">
      <xdr:nvSpPr>
        <xdr:cNvPr id="147460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SUM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247650</xdr:colOff>
      <xdr:row>0</xdr:row>
      <xdr:rowOff>390525</xdr:rowOff>
    </xdr:to>
    <xdr:sp macro="" textlink="">
      <xdr:nvSpPr>
        <xdr:cNvPr id="14746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104775</xdr:rowOff>
    </xdr:from>
    <xdr:to>
      <xdr:col>6</xdr:col>
      <xdr:colOff>276225</xdr:colOff>
      <xdr:row>0</xdr:row>
      <xdr:rowOff>485775</xdr:rowOff>
    </xdr:to>
    <xdr:sp macro="" textlink="">
      <xdr:nvSpPr>
        <xdr:cNvPr id="146436" name="WordArt 4"/>
        <xdr:cNvSpPr>
          <a:spLocks noChangeArrowheads="1" noChangeShapeType="1" noTextEdit="1"/>
        </xdr:cNvSpPr>
      </xdr:nvSpPr>
      <xdr:spPr bwMode="auto">
        <a:xfrm>
          <a:off x="2190750" y="104775"/>
          <a:ext cx="25527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SUBSTITUTE</a:t>
          </a:r>
        </a:p>
      </xdr:txBody>
    </xdr:sp>
    <xdr:clientData/>
  </xdr:twoCellAnchor>
  <xdr:twoCellAnchor>
    <xdr:from>
      <xdr:col>1</xdr:col>
      <xdr:colOff>733425</xdr:colOff>
      <xdr:row>0</xdr:row>
      <xdr:rowOff>104775</xdr:rowOff>
    </xdr:from>
    <xdr:to>
      <xdr:col>2</xdr:col>
      <xdr:colOff>619125</xdr:colOff>
      <xdr:row>0</xdr:row>
      <xdr:rowOff>400050</xdr:rowOff>
    </xdr:to>
    <xdr:sp macro="" textlink="">
      <xdr:nvSpPr>
        <xdr:cNvPr id="14643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144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95250</xdr:rowOff>
    </xdr:from>
    <xdr:to>
      <xdr:col>7</xdr:col>
      <xdr:colOff>390525</xdr:colOff>
      <xdr:row>0</xdr:row>
      <xdr:rowOff>476250</xdr:rowOff>
    </xdr:to>
    <xdr:sp macro="" textlink="">
      <xdr:nvSpPr>
        <xdr:cNvPr id="145412" name="WordArt 4"/>
        <xdr:cNvSpPr>
          <a:spLocks noChangeArrowheads="1" noChangeShapeType="1" noTextEdit="1"/>
        </xdr:cNvSpPr>
      </xdr:nvSpPr>
      <xdr:spPr bwMode="auto">
        <a:xfrm>
          <a:off x="2095500" y="95250"/>
          <a:ext cx="20193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STDEVP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4541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6</xdr:col>
      <xdr:colOff>533400</xdr:colOff>
      <xdr:row>0</xdr:row>
      <xdr:rowOff>476250</xdr:rowOff>
    </xdr:to>
    <xdr:sp macro="" textlink="">
      <xdr:nvSpPr>
        <xdr:cNvPr id="144388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6668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STDEV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4438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6</xdr:col>
      <xdr:colOff>257175</xdr:colOff>
      <xdr:row>0</xdr:row>
      <xdr:rowOff>476250</xdr:rowOff>
    </xdr:to>
    <xdr:sp macro="" textlink="">
      <xdr:nvSpPr>
        <xdr:cNvPr id="142340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8573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SMALL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4234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0</xdr:row>
      <xdr:rowOff>85725</xdr:rowOff>
    </xdr:from>
    <xdr:to>
      <xdr:col>5</xdr:col>
      <xdr:colOff>409575</xdr:colOff>
      <xdr:row>0</xdr:row>
      <xdr:rowOff>466725</xdr:rowOff>
    </xdr:to>
    <xdr:sp macro="" textlink="">
      <xdr:nvSpPr>
        <xdr:cNvPr id="141316" name="WordArt 4"/>
        <xdr:cNvSpPr>
          <a:spLocks noChangeArrowheads="1" noChangeShapeType="1" noTextEdit="1"/>
        </xdr:cNvSpPr>
      </xdr:nvSpPr>
      <xdr:spPr bwMode="auto">
        <a:xfrm>
          <a:off x="1905000" y="85725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SLN</a:t>
          </a:r>
        </a:p>
      </xdr:txBody>
    </xdr:sp>
    <xdr:clientData/>
  </xdr:twoCellAnchor>
  <xdr:twoCellAnchor>
    <xdr:from>
      <xdr:col>1</xdr:col>
      <xdr:colOff>447675</xdr:colOff>
      <xdr:row>0</xdr:row>
      <xdr:rowOff>85725</xdr:rowOff>
    </xdr:from>
    <xdr:to>
      <xdr:col>3</xdr:col>
      <xdr:colOff>171450</xdr:colOff>
      <xdr:row>0</xdr:row>
      <xdr:rowOff>381000</xdr:rowOff>
    </xdr:to>
    <xdr:sp macro="" textlink="">
      <xdr:nvSpPr>
        <xdr:cNvPr id="14131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2865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95250</xdr:rowOff>
    </xdr:from>
    <xdr:to>
      <xdr:col>6</xdr:col>
      <xdr:colOff>209550</xdr:colOff>
      <xdr:row>0</xdr:row>
      <xdr:rowOff>476250</xdr:rowOff>
    </xdr:to>
    <xdr:sp macro="" textlink="">
      <xdr:nvSpPr>
        <xdr:cNvPr id="140292" name="WordArt 4"/>
        <xdr:cNvSpPr>
          <a:spLocks noChangeArrowheads="1" noChangeShapeType="1" noTextEdit="1"/>
        </xdr:cNvSpPr>
      </xdr:nvSpPr>
      <xdr:spPr bwMode="auto">
        <a:xfrm>
          <a:off x="20955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SIGN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361950</xdr:colOff>
      <xdr:row>0</xdr:row>
      <xdr:rowOff>390525</xdr:rowOff>
    </xdr:to>
    <xdr:sp macro="" textlink="">
      <xdr:nvSpPr>
        <xdr:cNvPr id="14029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47625</xdr:rowOff>
    </xdr:from>
    <xdr:to>
      <xdr:col>4</xdr:col>
      <xdr:colOff>1085850</xdr:colOff>
      <xdr:row>0</xdr:row>
      <xdr:rowOff>428625</xdr:rowOff>
    </xdr:to>
    <xdr:sp macro="" textlink="">
      <xdr:nvSpPr>
        <xdr:cNvPr id="139268" name="WordArt 4"/>
        <xdr:cNvSpPr>
          <a:spLocks noChangeArrowheads="1" noChangeShapeType="1" noTextEdit="1"/>
        </xdr:cNvSpPr>
      </xdr:nvSpPr>
      <xdr:spPr bwMode="auto">
        <a:xfrm>
          <a:off x="2095500" y="47625"/>
          <a:ext cx="16097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SECOND</a:t>
          </a:r>
        </a:p>
      </xdr:txBody>
    </xdr:sp>
    <xdr:clientData/>
  </xdr:twoCellAnchor>
  <xdr:twoCellAnchor>
    <xdr:from>
      <xdr:col>2</xdr:col>
      <xdr:colOff>28575</xdr:colOff>
      <xdr:row>0</xdr:row>
      <xdr:rowOff>47625</xdr:rowOff>
    </xdr:from>
    <xdr:to>
      <xdr:col>2</xdr:col>
      <xdr:colOff>971550</xdr:colOff>
      <xdr:row>0</xdr:row>
      <xdr:rowOff>342900</xdr:rowOff>
    </xdr:to>
    <xdr:sp macro="" textlink="">
      <xdr:nvSpPr>
        <xdr:cNvPr id="13926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476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66675</xdr:rowOff>
    </xdr:from>
    <xdr:to>
      <xdr:col>6</xdr:col>
      <xdr:colOff>571500</xdr:colOff>
      <xdr:row>0</xdr:row>
      <xdr:rowOff>447675</xdr:rowOff>
    </xdr:to>
    <xdr:sp macro="" textlink="">
      <xdr:nvSpPr>
        <xdr:cNvPr id="138244" name="WordArt 4"/>
        <xdr:cNvSpPr>
          <a:spLocks noChangeArrowheads="1" noChangeShapeType="1" noTextEdit="1"/>
        </xdr:cNvSpPr>
      </xdr:nvSpPr>
      <xdr:spPr bwMode="auto">
        <a:xfrm>
          <a:off x="1876425" y="66675"/>
          <a:ext cx="19240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ROUNDUP</a:t>
          </a:r>
        </a:p>
      </xdr:txBody>
    </xdr:sp>
    <xdr:clientData/>
  </xdr:twoCellAnchor>
  <xdr:twoCellAnchor>
    <xdr:from>
      <xdr:col>1</xdr:col>
      <xdr:colOff>419100</xdr:colOff>
      <xdr:row>0</xdr:row>
      <xdr:rowOff>66675</xdr:rowOff>
    </xdr:from>
    <xdr:to>
      <xdr:col>3</xdr:col>
      <xdr:colOff>142875</xdr:colOff>
      <xdr:row>0</xdr:row>
      <xdr:rowOff>361950</xdr:rowOff>
    </xdr:to>
    <xdr:sp macro="" textlink="">
      <xdr:nvSpPr>
        <xdr:cNvPr id="13824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00075" y="666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57150</xdr:rowOff>
    </xdr:from>
    <xdr:to>
      <xdr:col>7</xdr:col>
      <xdr:colOff>581025</xdr:colOff>
      <xdr:row>0</xdr:row>
      <xdr:rowOff>438150</xdr:rowOff>
    </xdr:to>
    <xdr:sp macro="" textlink="">
      <xdr:nvSpPr>
        <xdr:cNvPr id="137220" name="WordArt 4"/>
        <xdr:cNvSpPr>
          <a:spLocks noChangeArrowheads="1" noChangeShapeType="1" noTextEdit="1"/>
        </xdr:cNvSpPr>
      </xdr:nvSpPr>
      <xdr:spPr bwMode="auto">
        <a:xfrm>
          <a:off x="2009775" y="57150"/>
          <a:ext cx="24098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ROUNDDOWN</a:t>
          </a:r>
        </a:p>
      </xdr:txBody>
    </xdr:sp>
    <xdr:clientData/>
  </xdr:twoCellAnchor>
  <xdr:twoCellAnchor>
    <xdr:from>
      <xdr:col>1</xdr:col>
      <xdr:colOff>552450</xdr:colOff>
      <xdr:row>0</xdr:row>
      <xdr:rowOff>57150</xdr:rowOff>
    </xdr:from>
    <xdr:to>
      <xdr:col>3</xdr:col>
      <xdr:colOff>276225</xdr:colOff>
      <xdr:row>0</xdr:row>
      <xdr:rowOff>352425</xdr:rowOff>
    </xdr:to>
    <xdr:sp macro="" textlink="">
      <xdr:nvSpPr>
        <xdr:cNvPr id="13722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33425" y="571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0</xdr:row>
      <xdr:rowOff>95250</xdr:rowOff>
    </xdr:from>
    <xdr:to>
      <xdr:col>6</xdr:col>
      <xdr:colOff>133350</xdr:colOff>
      <xdr:row>0</xdr:row>
      <xdr:rowOff>476250</xdr:rowOff>
    </xdr:to>
    <xdr:sp macro="" textlink="">
      <xdr:nvSpPr>
        <xdr:cNvPr id="136196" name="WordArt 4"/>
        <xdr:cNvSpPr>
          <a:spLocks noChangeArrowheads="1" noChangeShapeType="1" noTextEdit="1"/>
        </xdr:cNvSpPr>
      </xdr:nvSpPr>
      <xdr:spPr bwMode="auto">
        <a:xfrm>
          <a:off x="2133600" y="95250"/>
          <a:ext cx="1600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ROUND</a:t>
          </a:r>
        </a:p>
      </xdr:txBody>
    </xdr:sp>
    <xdr:clientData/>
  </xdr:twoCellAnchor>
  <xdr:twoCellAnchor>
    <xdr:from>
      <xdr:col>2</xdr:col>
      <xdr:colOff>66675</xdr:colOff>
      <xdr:row>0</xdr:row>
      <xdr:rowOff>95250</xdr:rowOff>
    </xdr:from>
    <xdr:to>
      <xdr:col>3</xdr:col>
      <xdr:colOff>28575</xdr:colOff>
      <xdr:row>0</xdr:row>
      <xdr:rowOff>390525</xdr:rowOff>
    </xdr:to>
    <xdr:sp macro="" textlink="">
      <xdr:nvSpPr>
        <xdr:cNvPr id="13619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572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0</xdr:row>
      <xdr:rowOff>57150</xdr:rowOff>
    </xdr:from>
    <xdr:to>
      <xdr:col>6</xdr:col>
      <xdr:colOff>276225</xdr:colOff>
      <xdr:row>0</xdr:row>
      <xdr:rowOff>438150</xdr:rowOff>
    </xdr:to>
    <xdr:sp macro="" textlink="">
      <xdr:nvSpPr>
        <xdr:cNvPr id="135172" name="WordArt 4"/>
        <xdr:cNvSpPr>
          <a:spLocks noChangeArrowheads="1" noChangeShapeType="1" noTextEdit="1"/>
        </xdr:cNvSpPr>
      </xdr:nvSpPr>
      <xdr:spPr bwMode="auto">
        <a:xfrm>
          <a:off x="1943100" y="57150"/>
          <a:ext cx="17811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ROMAN</a:t>
          </a:r>
        </a:p>
      </xdr:txBody>
    </xdr:sp>
    <xdr:clientData/>
  </xdr:twoCellAnchor>
  <xdr:twoCellAnchor>
    <xdr:from>
      <xdr:col>1</xdr:col>
      <xdr:colOff>485775</xdr:colOff>
      <xdr:row>0</xdr:row>
      <xdr:rowOff>57150</xdr:rowOff>
    </xdr:from>
    <xdr:to>
      <xdr:col>3</xdr:col>
      <xdr:colOff>209550</xdr:colOff>
      <xdr:row>0</xdr:row>
      <xdr:rowOff>352425</xdr:rowOff>
    </xdr:to>
    <xdr:sp macro="" textlink="">
      <xdr:nvSpPr>
        <xdr:cNvPr id="13517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66750" y="571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85725</xdr:rowOff>
    </xdr:from>
    <xdr:to>
      <xdr:col>5</xdr:col>
      <xdr:colOff>419100</xdr:colOff>
      <xdr:row>0</xdr:row>
      <xdr:rowOff>466725</xdr:rowOff>
    </xdr:to>
    <xdr:sp macro="" textlink="">
      <xdr:nvSpPr>
        <xdr:cNvPr id="134148" name="WordArt 4"/>
        <xdr:cNvSpPr>
          <a:spLocks noChangeArrowheads="1" noChangeShapeType="1" noTextEdit="1"/>
        </xdr:cNvSpPr>
      </xdr:nvSpPr>
      <xdr:spPr bwMode="auto">
        <a:xfrm>
          <a:off x="2000250" y="85725"/>
          <a:ext cx="1600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RIGHT</a:t>
          </a:r>
        </a:p>
      </xdr:txBody>
    </xdr:sp>
    <xdr:clientData/>
  </xdr:twoCellAnchor>
  <xdr:twoCellAnchor>
    <xdr:from>
      <xdr:col>1</xdr:col>
      <xdr:colOff>542925</xdr:colOff>
      <xdr:row>0</xdr:row>
      <xdr:rowOff>85725</xdr:rowOff>
    </xdr:from>
    <xdr:to>
      <xdr:col>3</xdr:col>
      <xdr:colOff>9525</xdr:colOff>
      <xdr:row>0</xdr:row>
      <xdr:rowOff>381000</xdr:rowOff>
    </xdr:to>
    <xdr:sp macro="" textlink="">
      <xdr:nvSpPr>
        <xdr:cNvPr id="13414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2390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0</xdr:row>
      <xdr:rowOff>66675</xdr:rowOff>
    </xdr:from>
    <xdr:to>
      <xdr:col>5</xdr:col>
      <xdr:colOff>428625</xdr:colOff>
      <xdr:row>0</xdr:row>
      <xdr:rowOff>447675</xdr:rowOff>
    </xdr:to>
    <xdr:sp macro="" textlink="">
      <xdr:nvSpPr>
        <xdr:cNvPr id="133124" name="WordArt 4"/>
        <xdr:cNvSpPr>
          <a:spLocks noChangeArrowheads="1" noChangeShapeType="1" noTextEdit="1"/>
        </xdr:cNvSpPr>
      </xdr:nvSpPr>
      <xdr:spPr bwMode="auto">
        <a:xfrm>
          <a:off x="1971675" y="66675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REPT</a:t>
          </a:r>
        </a:p>
      </xdr:txBody>
    </xdr:sp>
    <xdr:clientData/>
  </xdr:twoCellAnchor>
  <xdr:twoCellAnchor>
    <xdr:from>
      <xdr:col>1</xdr:col>
      <xdr:colOff>514350</xdr:colOff>
      <xdr:row>0</xdr:row>
      <xdr:rowOff>66675</xdr:rowOff>
    </xdr:from>
    <xdr:to>
      <xdr:col>3</xdr:col>
      <xdr:colOff>285750</xdr:colOff>
      <xdr:row>0</xdr:row>
      <xdr:rowOff>361950</xdr:rowOff>
    </xdr:to>
    <xdr:sp macro="" textlink="">
      <xdr:nvSpPr>
        <xdr:cNvPr id="13312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95325" y="666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0</xdr:row>
      <xdr:rowOff>95250</xdr:rowOff>
    </xdr:from>
    <xdr:to>
      <xdr:col>6</xdr:col>
      <xdr:colOff>838200</xdr:colOff>
      <xdr:row>0</xdr:row>
      <xdr:rowOff>476250</xdr:rowOff>
    </xdr:to>
    <xdr:sp macro="" textlink="">
      <xdr:nvSpPr>
        <xdr:cNvPr id="132100" name="WordArt 4"/>
        <xdr:cNvSpPr>
          <a:spLocks noChangeArrowheads="1" noChangeShapeType="1" noTextEdit="1"/>
        </xdr:cNvSpPr>
      </xdr:nvSpPr>
      <xdr:spPr bwMode="auto">
        <a:xfrm>
          <a:off x="2038350" y="95250"/>
          <a:ext cx="20097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REPLACE</a:t>
          </a:r>
        </a:p>
      </xdr:txBody>
    </xdr:sp>
    <xdr:clientData/>
  </xdr:twoCellAnchor>
  <xdr:twoCellAnchor>
    <xdr:from>
      <xdr:col>2</xdr:col>
      <xdr:colOff>152400</xdr:colOff>
      <xdr:row>0</xdr:row>
      <xdr:rowOff>95250</xdr:rowOff>
    </xdr:from>
    <xdr:to>
      <xdr:col>3</xdr:col>
      <xdr:colOff>276225</xdr:colOff>
      <xdr:row>0</xdr:row>
      <xdr:rowOff>390525</xdr:rowOff>
    </xdr:to>
    <xdr:sp macro="" textlink="">
      <xdr:nvSpPr>
        <xdr:cNvPr id="13210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0</xdr:row>
      <xdr:rowOff>76200</xdr:rowOff>
    </xdr:from>
    <xdr:to>
      <xdr:col>5</xdr:col>
      <xdr:colOff>504825</xdr:colOff>
      <xdr:row>0</xdr:row>
      <xdr:rowOff>457200</xdr:rowOff>
    </xdr:to>
    <xdr:sp macro="" textlink="">
      <xdr:nvSpPr>
        <xdr:cNvPr id="131076" name="WordArt 4"/>
        <xdr:cNvSpPr>
          <a:spLocks noChangeArrowheads="1" noChangeShapeType="1" noTextEdit="1"/>
        </xdr:cNvSpPr>
      </xdr:nvSpPr>
      <xdr:spPr bwMode="auto">
        <a:xfrm>
          <a:off x="2085975" y="7620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RANK</a:t>
          </a:r>
        </a:p>
      </xdr:txBody>
    </xdr:sp>
    <xdr:clientData/>
  </xdr:twoCellAnchor>
  <xdr:twoCellAnchor>
    <xdr:from>
      <xdr:col>2</xdr:col>
      <xdr:colOff>19050</xdr:colOff>
      <xdr:row>0</xdr:row>
      <xdr:rowOff>76200</xdr:rowOff>
    </xdr:from>
    <xdr:to>
      <xdr:col>3</xdr:col>
      <xdr:colOff>352425</xdr:colOff>
      <xdr:row>0</xdr:row>
      <xdr:rowOff>371475</xdr:rowOff>
    </xdr:to>
    <xdr:sp macro="" textlink="">
      <xdr:nvSpPr>
        <xdr:cNvPr id="13107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09625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0</xdr:row>
      <xdr:rowOff>76200</xdr:rowOff>
    </xdr:from>
    <xdr:to>
      <xdr:col>7</xdr:col>
      <xdr:colOff>314325</xdr:colOff>
      <xdr:row>0</xdr:row>
      <xdr:rowOff>457200</xdr:rowOff>
    </xdr:to>
    <xdr:sp macro="" textlink="">
      <xdr:nvSpPr>
        <xdr:cNvPr id="130052" name="WordArt 4"/>
        <xdr:cNvSpPr>
          <a:spLocks noChangeArrowheads="1" noChangeShapeType="1" noTextEdit="1"/>
        </xdr:cNvSpPr>
      </xdr:nvSpPr>
      <xdr:spPr bwMode="auto">
        <a:xfrm>
          <a:off x="1762125" y="76200"/>
          <a:ext cx="26384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RANDBETWEEN</a:t>
          </a:r>
        </a:p>
      </xdr:txBody>
    </xdr:sp>
    <xdr:clientData/>
  </xdr:twoCellAnchor>
  <xdr:twoCellAnchor>
    <xdr:from>
      <xdr:col>1</xdr:col>
      <xdr:colOff>304800</xdr:colOff>
      <xdr:row>0</xdr:row>
      <xdr:rowOff>76200</xdr:rowOff>
    </xdr:from>
    <xdr:to>
      <xdr:col>3</xdr:col>
      <xdr:colOff>28575</xdr:colOff>
      <xdr:row>0</xdr:row>
      <xdr:rowOff>371475</xdr:rowOff>
    </xdr:to>
    <xdr:sp macro="" textlink="">
      <xdr:nvSpPr>
        <xdr:cNvPr id="13005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85775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95250</xdr:rowOff>
    </xdr:from>
    <xdr:to>
      <xdr:col>6</xdr:col>
      <xdr:colOff>76200</xdr:colOff>
      <xdr:row>0</xdr:row>
      <xdr:rowOff>476250</xdr:rowOff>
    </xdr:to>
    <xdr:sp macro="" textlink="">
      <xdr:nvSpPr>
        <xdr:cNvPr id="129028" name="WordArt 4"/>
        <xdr:cNvSpPr>
          <a:spLocks noChangeArrowheads="1" noChangeShapeType="1" noTextEdit="1"/>
        </xdr:cNvSpPr>
      </xdr:nvSpPr>
      <xdr:spPr bwMode="auto">
        <a:xfrm>
          <a:off x="20574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RAND</a:t>
          </a:r>
        </a:p>
      </xdr:txBody>
    </xdr:sp>
    <xdr:clientData/>
  </xdr:twoCellAnchor>
  <xdr:twoCellAnchor>
    <xdr:from>
      <xdr:col>1</xdr:col>
      <xdr:colOff>600075</xdr:colOff>
      <xdr:row>0</xdr:row>
      <xdr:rowOff>95250</xdr:rowOff>
    </xdr:from>
    <xdr:to>
      <xdr:col>3</xdr:col>
      <xdr:colOff>142875</xdr:colOff>
      <xdr:row>0</xdr:row>
      <xdr:rowOff>390525</xdr:rowOff>
    </xdr:to>
    <xdr:sp macro="" textlink="">
      <xdr:nvSpPr>
        <xdr:cNvPr id="12902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810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76200</xdr:rowOff>
    </xdr:from>
    <xdr:to>
      <xdr:col>6</xdr:col>
      <xdr:colOff>333375</xdr:colOff>
      <xdr:row>0</xdr:row>
      <xdr:rowOff>457200</xdr:rowOff>
    </xdr:to>
    <xdr:sp macro="" textlink="">
      <xdr:nvSpPr>
        <xdr:cNvPr id="128004" name="WordArt 4"/>
        <xdr:cNvSpPr>
          <a:spLocks noChangeArrowheads="1" noChangeShapeType="1" noTextEdit="1"/>
        </xdr:cNvSpPr>
      </xdr:nvSpPr>
      <xdr:spPr bwMode="auto">
        <a:xfrm>
          <a:off x="2133600" y="76200"/>
          <a:ext cx="22764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QUOTIENT</a:t>
          </a:r>
        </a:p>
      </xdr:txBody>
    </xdr:sp>
    <xdr:clientData/>
  </xdr:twoCellAnchor>
  <xdr:twoCellAnchor>
    <xdr:from>
      <xdr:col>2</xdr:col>
      <xdr:colOff>66675</xdr:colOff>
      <xdr:row>0</xdr:row>
      <xdr:rowOff>76200</xdr:rowOff>
    </xdr:from>
    <xdr:to>
      <xdr:col>3</xdr:col>
      <xdr:colOff>285750</xdr:colOff>
      <xdr:row>0</xdr:row>
      <xdr:rowOff>371475</xdr:rowOff>
    </xdr:to>
    <xdr:sp macro="" textlink="">
      <xdr:nvSpPr>
        <xdr:cNvPr id="12800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5725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0</xdr:row>
      <xdr:rowOff>76200</xdr:rowOff>
    </xdr:from>
    <xdr:to>
      <xdr:col>9</xdr:col>
      <xdr:colOff>371475</xdr:colOff>
      <xdr:row>0</xdr:row>
      <xdr:rowOff>457200</xdr:rowOff>
    </xdr:to>
    <xdr:sp macro="" textlink="">
      <xdr:nvSpPr>
        <xdr:cNvPr id="126980" name="WordArt 4"/>
        <xdr:cNvSpPr>
          <a:spLocks noChangeArrowheads="1" noChangeShapeType="1" noTextEdit="1"/>
        </xdr:cNvSpPr>
      </xdr:nvSpPr>
      <xdr:spPr bwMode="auto">
        <a:xfrm>
          <a:off x="2228850" y="76200"/>
          <a:ext cx="22288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QUARTILE</a:t>
          </a:r>
        </a:p>
      </xdr:txBody>
    </xdr:sp>
    <xdr:clientData/>
  </xdr:twoCellAnchor>
  <xdr:twoCellAnchor>
    <xdr:from>
      <xdr:col>2</xdr:col>
      <xdr:colOff>476250</xdr:colOff>
      <xdr:row>0</xdr:row>
      <xdr:rowOff>76200</xdr:rowOff>
    </xdr:from>
    <xdr:to>
      <xdr:col>4</xdr:col>
      <xdr:colOff>438150</xdr:colOff>
      <xdr:row>0</xdr:row>
      <xdr:rowOff>371475</xdr:rowOff>
    </xdr:to>
    <xdr:sp macro="" textlink="">
      <xdr:nvSpPr>
        <xdr:cNvPr id="12698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5250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66675</xdr:rowOff>
    </xdr:from>
    <xdr:to>
      <xdr:col>5</xdr:col>
      <xdr:colOff>476250</xdr:colOff>
      <xdr:row>0</xdr:row>
      <xdr:rowOff>447675</xdr:rowOff>
    </xdr:to>
    <xdr:sp macro="" textlink="">
      <xdr:nvSpPr>
        <xdr:cNvPr id="125956" name="WordArt 4"/>
        <xdr:cNvSpPr>
          <a:spLocks noChangeArrowheads="1" noChangeShapeType="1" noTextEdit="1"/>
        </xdr:cNvSpPr>
      </xdr:nvSpPr>
      <xdr:spPr bwMode="auto">
        <a:xfrm>
          <a:off x="2114550" y="66675"/>
          <a:ext cx="17430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PROPER</a:t>
          </a:r>
        </a:p>
      </xdr:txBody>
    </xdr:sp>
    <xdr:clientData/>
  </xdr:twoCellAnchor>
  <xdr:twoCellAnchor>
    <xdr:from>
      <xdr:col>2</xdr:col>
      <xdr:colOff>47625</xdr:colOff>
      <xdr:row>0</xdr:row>
      <xdr:rowOff>66675</xdr:rowOff>
    </xdr:from>
    <xdr:to>
      <xdr:col>2</xdr:col>
      <xdr:colOff>990600</xdr:colOff>
      <xdr:row>0</xdr:row>
      <xdr:rowOff>361950</xdr:rowOff>
    </xdr:to>
    <xdr:sp macro="" textlink="">
      <xdr:nvSpPr>
        <xdr:cNvPr id="12595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38200" y="666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95250</xdr:rowOff>
    </xdr:from>
    <xdr:to>
      <xdr:col>6</xdr:col>
      <xdr:colOff>219075</xdr:colOff>
      <xdr:row>0</xdr:row>
      <xdr:rowOff>476250</xdr:rowOff>
    </xdr:to>
    <xdr:sp macro="" textlink="">
      <xdr:nvSpPr>
        <xdr:cNvPr id="124932" name="WordArt 4"/>
        <xdr:cNvSpPr>
          <a:spLocks noChangeArrowheads="1" noChangeShapeType="1" noTextEdit="1"/>
        </xdr:cNvSpPr>
      </xdr:nvSpPr>
      <xdr:spPr bwMode="auto">
        <a:xfrm>
          <a:off x="2085975" y="95250"/>
          <a:ext cx="21145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PRODUCT</a:t>
          </a:r>
        </a:p>
      </xdr:txBody>
    </xdr:sp>
    <xdr:clientData/>
  </xdr:twoCellAnchor>
  <xdr:twoCellAnchor>
    <xdr:from>
      <xdr:col>2</xdr:col>
      <xdr:colOff>19050</xdr:colOff>
      <xdr:row>0</xdr:row>
      <xdr:rowOff>95250</xdr:rowOff>
    </xdr:from>
    <xdr:to>
      <xdr:col>3</xdr:col>
      <xdr:colOff>352425</xdr:colOff>
      <xdr:row>0</xdr:row>
      <xdr:rowOff>390525</xdr:rowOff>
    </xdr:to>
    <xdr:sp macro="" textlink="">
      <xdr:nvSpPr>
        <xdr:cNvPr id="12493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096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95250</xdr:rowOff>
    </xdr:from>
    <xdr:to>
      <xdr:col>5</xdr:col>
      <xdr:colOff>428625</xdr:colOff>
      <xdr:row>0</xdr:row>
      <xdr:rowOff>428625</xdr:rowOff>
    </xdr:to>
    <xdr:sp macro="" textlink="">
      <xdr:nvSpPr>
        <xdr:cNvPr id="123908" name="WordArt 4"/>
        <xdr:cNvSpPr>
          <a:spLocks noChangeArrowheads="1" noChangeShapeType="1" noTextEdit="1"/>
        </xdr:cNvSpPr>
      </xdr:nvSpPr>
      <xdr:spPr bwMode="auto">
        <a:xfrm>
          <a:off x="2124075" y="95250"/>
          <a:ext cx="1609725" cy="3333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POWER</a:t>
          </a:r>
        </a:p>
      </xdr:txBody>
    </xdr:sp>
    <xdr:clientData/>
  </xdr:twoCellAnchor>
  <xdr:twoCellAnchor>
    <xdr:from>
      <xdr:col>2</xdr:col>
      <xdr:colOff>57150</xdr:colOff>
      <xdr:row>0</xdr:row>
      <xdr:rowOff>95250</xdr:rowOff>
    </xdr:from>
    <xdr:to>
      <xdr:col>3</xdr:col>
      <xdr:colOff>390525</xdr:colOff>
      <xdr:row>0</xdr:row>
      <xdr:rowOff>390525</xdr:rowOff>
    </xdr:to>
    <xdr:sp macro="" textlink="">
      <xdr:nvSpPr>
        <xdr:cNvPr id="12390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477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76200</xdr:rowOff>
    </xdr:from>
    <xdr:to>
      <xdr:col>4</xdr:col>
      <xdr:colOff>247650</xdr:colOff>
      <xdr:row>0</xdr:row>
      <xdr:rowOff>457200</xdr:rowOff>
    </xdr:to>
    <xdr:sp macro="" textlink="">
      <xdr:nvSpPr>
        <xdr:cNvPr id="122884" name="WordArt 4"/>
        <xdr:cNvSpPr>
          <a:spLocks noChangeArrowheads="1" noChangeShapeType="1" noTextEdit="1"/>
        </xdr:cNvSpPr>
      </xdr:nvSpPr>
      <xdr:spPr bwMode="auto">
        <a:xfrm>
          <a:off x="1933575" y="76200"/>
          <a:ext cx="8191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PI</a:t>
          </a:r>
        </a:p>
      </xdr:txBody>
    </xdr:sp>
    <xdr:clientData/>
  </xdr:twoCellAnchor>
  <xdr:twoCellAnchor>
    <xdr:from>
      <xdr:col>2</xdr:col>
      <xdr:colOff>0</xdr:colOff>
      <xdr:row>0</xdr:row>
      <xdr:rowOff>104775</xdr:rowOff>
    </xdr:from>
    <xdr:to>
      <xdr:col>3</xdr:col>
      <xdr:colOff>333375</xdr:colOff>
      <xdr:row>0</xdr:row>
      <xdr:rowOff>400050</xdr:rowOff>
    </xdr:to>
    <xdr:sp macro="" textlink="">
      <xdr:nvSpPr>
        <xdr:cNvPr id="12288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9057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76200</xdr:rowOff>
    </xdr:from>
    <xdr:to>
      <xdr:col>5</xdr:col>
      <xdr:colOff>323850</xdr:colOff>
      <xdr:row>0</xdr:row>
      <xdr:rowOff>457200</xdr:rowOff>
    </xdr:to>
    <xdr:sp macro="" textlink="">
      <xdr:nvSpPr>
        <xdr:cNvPr id="121860" name="WordArt 4"/>
        <xdr:cNvSpPr>
          <a:spLocks noChangeArrowheads="1" noChangeShapeType="1" noTextEdit="1"/>
        </xdr:cNvSpPr>
      </xdr:nvSpPr>
      <xdr:spPr bwMode="auto">
        <a:xfrm>
          <a:off x="2152650" y="76200"/>
          <a:ext cx="1981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PERMUT</a:t>
          </a:r>
        </a:p>
      </xdr:txBody>
    </xdr:sp>
    <xdr:clientData/>
  </xdr:twoCellAnchor>
  <xdr:twoCellAnchor>
    <xdr:from>
      <xdr:col>2</xdr:col>
      <xdr:colOff>85725</xdr:colOff>
      <xdr:row>0</xdr:row>
      <xdr:rowOff>76200</xdr:rowOff>
    </xdr:from>
    <xdr:to>
      <xdr:col>2</xdr:col>
      <xdr:colOff>1028700</xdr:colOff>
      <xdr:row>0</xdr:row>
      <xdr:rowOff>371475</xdr:rowOff>
    </xdr:to>
    <xdr:sp macro="" textlink="">
      <xdr:nvSpPr>
        <xdr:cNvPr id="12186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7630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95250</xdr:rowOff>
    </xdr:from>
    <xdr:to>
      <xdr:col>7</xdr:col>
      <xdr:colOff>57150</xdr:colOff>
      <xdr:row>0</xdr:row>
      <xdr:rowOff>476250</xdr:rowOff>
    </xdr:to>
    <xdr:sp macro="" textlink="">
      <xdr:nvSpPr>
        <xdr:cNvPr id="119812" name="WordArt 4"/>
        <xdr:cNvSpPr>
          <a:spLocks noChangeArrowheads="1" noChangeShapeType="1" noTextEdit="1"/>
        </xdr:cNvSpPr>
      </xdr:nvSpPr>
      <xdr:spPr bwMode="auto">
        <a:xfrm>
          <a:off x="2009775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Ordering Stock</a:t>
          </a:r>
        </a:p>
      </xdr:txBody>
    </xdr:sp>
    <xdr:clientData/>
  </xdr:twoCellAnchor>
  <xdr:twoCellAnchor>
    <xdr:from>
      <xdr:col>1</xdr:col>
      <xdr:colOff>104775</xdr:colOff>
      <xdr:row>0</xdr:row>
      <xdr:rowOff>95250</xdr:rowOff>
    </xdr:from>
    <xdr:to>
      <xdr:col>2</xdr:col>
      <xdr:colOff>323850</xdr:colOff>
      <xdr:row>0</xdr:row>
      <xdr:rowOff>390525</xdr:rowOff>
    </xdr:to>
    <xdr:sp macro="" textlink="">
      <xdr:nvSpPr>
        <xdr:cNvPr id="11981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334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95250</xdr:rowOff>
    </xdr:from>
    <xdr:to>
      <xdr:col>5</xdr:col>
      <xdr:colOff>600075</xdr:colOff>
      <xdr:row>0</xdr:row>
      <xdr:rowOff>428625</xdr:rowOff>
    </xdr:to>
    <xdr:sp macro="" textlink="">
      <xdr:nvSpPr>
        <xdr:cNvPr id="118788" name="WordArt 4"/>
        <xdr:cNvSpPr>
          <a:spLocks noChangeArrowheads="1" noChangeShapeType="1" noTextEdit="1"/>
        </xdr:cNvSpPr>
      </xdr:nvSpPr>
      <xdr:spPr bwMode="auto">
        <a:xfrm>
          <a:off x="2066925" y="95250"/>
          <a:ext cx="1152525" cy="3333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OR</a:t>
          </a:r>
        </a:p>
      </xdr:txBody>
    </xdr:sp>
    <xdr:clientData/>
  </xdr:twoCellAnchor>
  <xdr:twoCellAnchor>
    <xdr:from>
      <xdr:col>2</xdr:col>
      <xdr:colOff>0</xdr:colOff>
      <xdr:row>0</xdr:row>
      <xdr:rowOff>95250</xdr:rowOff>
    </xdr:from>
    <xdr:to>
      <xdr:col>3</xdr:col>
      <xdr:colOff>333375</xdr:colOff>
      <xdr:row>0</xdr:row>
      <xdr:rowOff>390525</xdr:rowOff>
    </xdr:to>
    <xdr:sp macro="" textlink="">
      <xdr:nvSpPr>
        <xdr:cNvPr id="11878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9057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76200</xdr:rowOff>
    </xdr:from>
    <xdr:to>
      <xdr:col>6</xdr:col>
      <xdr:colOff>180975</xdr:colOff>
      <xdr:row>0</xdr:row>
      <xdr:rowOff>438150</xdr:rowOff>
    </xdr:to>
    <xdr:sp macro="" textlink="">
      <xdr:nvSpPr>
        <xdr:cNvPr id="117764" name="WordArt 4"/>
        <xdr:cNvSpPr>
          <a:spLocks noChangeArrowheads="1" noChangeShapeType="1" noTextEdit="1"/>
        </xdr:cNvSpPr>
      </xdr:nvSpPr>
      <xdr:spPr bwMode="auto">
        <a:xfrm>
          <a:off x="2143125" y="76200"/>
          <a:ext cx="1428750" cy="361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ODD</a:t>
          </a:r>
        </a:p>
      </xdr:txBody>
    </xdr:sp>
    <xdr:clientData/>
  </xdr:twoCellAnchor>
  <xdr:twoCellAnchor>
    <xdr:from>
      <xdr:col>2</xdr:col>
      <xdr:colOff>76200</xdr:colOff>
      <xdr:row>0</xdr:row>
      <xdr:rowOff>76200</xdr:rowOff>
    </xdr:from>
    <xdr:to>
      <xdr:col>3</xdr:col>
      <xdr:colOff>409575</xdr:colOff>
      <xdr:row>0</xdr:row>
      <xdr:rowOff>371475</xdr:rowOff>
    </xdr:to>
    <xdr:sp macro="" textlink="">
      <xdr:nvSpPr>
        <xdr:cNvPr id="11776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66775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1085850</xdr:colOff>
      <xdr:row>0</xdr:row>
      <xdr:rowOff>76200</xdr:rowOff>
    </xdr:from>
    <xdr:to>
      <xdr:col>4</xdr:col>
      <xdr:colOff>247650</xdr:colOff>
      <xdr:row>0</xdr:row>
      <xdr:rowOff>457200</xdr:rowOff>
    </xdr:to>
    <xdr:sp macro="" textlink="">
      <xdr:nvSpPr>
        <xdr:cNvPr id="116740" name="WordArt 4"/>
        <xdr:cNvSpPr>
          <a:spLocks noChangeArrowheads="1" noChangeShapeType="1" noTextEdit="1"/>
        </xdr:cNvSpPr>
      </xdr:nvSpPr>
      <xdr:spPr bwMode="auto">
        <a:xfrm>
          <a:off x="1876425" y="7620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NOW</a:t>
          </a:r>
        </a:p>
      </xdr:txBody>
    </xdr:sp>
    <xdr:clientData/>
  </xdr:twoCellAnchor>
  <xdr:twoCellAnchor>
    <xdr:from>
      <xdr:col>1</xdr:col>
      <xdr:colOff>419100</xdr:colOff>
      <xdr:row>0</xdr:row>
      <xdr:rowOff>76200</xdr:rowOff>
    </xdr:from>
    <xdr:to>
      <xdr:col>2</xdr:col>
      <xdr:colOff>752475</xdr:colOff>
      <xdr:row>0</xdr:row>
      <xdr:rowOff>371475</xdr:rowOff>
    </xdr:to>
    <xdr:sp macro="" textlink="">
      <xdr:nvSpPr>
        <xdr:cNvPr id="11674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00075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104775</xdr:rowOff>
    </xdr:from>
    <xdr:to>
      <xdr:col>6</xdr:col>
      <xdr:colOff>276225</xdr:colOff>
      <xdr:row>0</xdr:row>
      <xdr:rowOff>419100</xdr:rowOff>
    </xdr:to>
    <xdr:sp macro="" textlink="">
      <xdr:nvSpPr>
        <xdr:cNvPr id="115716" name="WordArt 4"/>
        <xdr:cNvSpPr>
          <a:spLocks noChangeArrowheads="1" noChangeShapeType="1" noTextEdit="1"/>
        </xdr:cNvSpPr>
      </xdr:nvSpPr>
      <xdr:spPr bwMode="auto">
        <a:xfrm>
          <a:off x="2181225" y="104775"/>
          <a:ext cx="1428750" cy="3143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NOT</a:t>
          </a:r>
        </a:p>
      </xdr:txBody>
    </xdr:sp>
    <xdr:clientData/>
  </xdr:twoCellAnchor>
  <xdr:twoCellAnchor>
    <xdr:from>
      <xdr:col>2</xdr:col>
      <xdr:colOff>9525</xdr:colOff>
      <xdr:row>0</xdr:row>
      <xdr:rowOff>104775</xdr:rowOff>
    </xdr:from>
    <xdr:to>
      <xdr:col>3</xdr:col>
      <xdr:colOff>342900</xdr:colOff>
      <xdr:row>0</xdr:row>
      <xdr:rowOff>400050</xdr:rowOff>
    </xdr:to>
    <xdr:sp macro="" textlink="">
      <xdr:nvSpPr>
        <xdr:cNvPr id="11571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0487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85725</xdr:rowOff>
    </xdr:from>
    <xdr:to>
      <xdr:col>5</xdr:col>
      <xdr:colOff>1104900</xdr:colOff>
      <xdr:row>0</xdr:row>
      <xdr:rowOff>466725</xdr:rowOff>
    </xdr:to>
    <xdr:sp macro="" textlink="">
      <xdr:nvSpPr>
        <xdr:cNvPr id="113668" name="WordArt 4"/>
        <xdr:cNvSpPr>
          <a:spLocks noChangeArrowheads="1" noChangeShapeType="1" noTextEdit="1"/>
        </xdr:cNvSpPr>
      </xdr:nvSpPr>
      <xdr:spPr bwMode="auto">
        <a:xfrm>
          <a:off x="2305050" y="85725"/>
          <a:ext cx="26384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NETWORKDAYS</a:t>
          </a:r>
        </a:p>
      </xdr:txBody>
    </xdr:sp>
    <xdr:clientData/>
  </xdr:twoCellAnchor>
  <xdr:twoCellAnchor>
    <xdr:from>
      <xdr:col>1</xdr:col>
      <xdr:colOff>914400</xdr:colOff>
      <xdr:row>0</xdr:row>
      <xdr:rowOff>85725</xdr:rowOff>
    </xdr:from>
    <xdr:to>
      <xdr:col>2</xdr:col>
      <xdr:colOff>857250</xdr:colOff>
      <xdr:row>0</xdr:row>
      <xdr:rowOff>381000</xdr:rowOff>
    </xdr:to>
    <xdr:sp macro="" textlink="">
      <xdr:nvSpPr>
        <xdr:cNvPr id="11366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2870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0</xdr:row>
      <xdr:rowOff>95250</xdr:rowOff>
    </xdr:from>
    <xdr:to>
      <xdr:col>5</xdr:col>
      <xdr:colOff>38100</xdr:colOff>
      <xdr:row>0</xdr:row>
      <xdr:rowOff>476250</xdr:rowOff>
    </xdr:to>
    <xdr:sp macro="" textlink="">
      <xdr:nvSpPr>
        <xdr:cNvPr id="112645" name="WordArt 5"/>
        <xdr:cNvSpPr>
          <a:spLocks noChangeArrowheads="1" noChangeShapeType="1" noTextEdit="1"/>
        </xdr:cNvSpPr>
      </xdr:nvSpPr>
      <xdr:spPr bwMode="auto">
        <a:xfrm>
          <a:off x="2038350" y="95250"/>
          <a:ext cx="8001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NA</a:t>
          </a:r>
        </a:p>
      </xdr:txBody>
    </xdr:sp>
    <xdr:clientData/>
  </xdr:twoCellAnchor>
  <xdr:twoCellAnchor>
    <xdr:from>
      <xdr:col>1</xdr:col>
      <xdr:colOff>400050</xdr:colOff>
      <xdr:row>0</xdr:row>
      <xdr:rowOff>95250</xdr:rowOff>
    </xdr:from>
    <xdr:to>
      <xdr:col>3</xdr:col>
      <xdr:colOff>123825</xdr:colOff>
      <xdr:row>0</xdr:row>
      <xdr:rowOff>390525</xdr:rowOff>
    </xdr:to>
    <xdr:sp macro="" textlink="">
      <xdr:nvSpPr>
        <xdr:cNvPr id="112646" name="AutoShape 6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0</xdr:row>
      <xdr:rowOff>95250</xdr:rowOff>
    </xdr:from>
    <xdr:to>
      <xdr:col>5</xdr:col>
      <xdr:colOff>342900</xdr:colOff>
      <xdr:row>0</xdr:row>
      <xdr:rowOff>476250</xdr:rowOff>
    </xdr:to>
    <xdr:sp macro="" textlink="">
      <xdr:nvSpPr>
        <xdr:cNvPr id="111620" name="WordArt 4"/>
        <xdr:cNvSpPr>
          <a:spLocks noChangeArrowheads="1" noChangeShapeType="1" noTextEdit="1"/>
        </xdr:cNvSpPr>
      </xdr:nvSpPr>
      <xdr:spPr bwMode="auto">
        <a:xfrm>
          <a:off x="2647950" y="95250"/>
          <a:ext cx="4762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N</a:t>
          </a:r>
        </a:p>
      </xdr:txBody>
    </xdr:sp>
    <xdr:clientData/>
  </xdr:twoCellAnchor>
  <xdr:twoCellAnchor>
    <xdr:from>
      <xdr:col>2</xdr:col>
      <xdr:colOff>533400</xdr:colOff>
      <xdr:row>0</xdr:row>
      <xdr:rowOff>95250</xdr:rowOff>
    </xdr:from>
    <xdr:to>
      <xdr:col>4</xdr:col>
      <xdr:colOff>142875</xdr:colOff>
      <xdr:row>0</xdr:row>
      <xdr:rowOff>390525</xdr:rowOff>
    </xdr:to>
    <xdr:sp macro="" textlink="">
      <xdr:nvSpPr>
        <xdr:cNvPr id="11162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3716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95250</xdr:rowOff>
    </xdr:from>
    <xdr:to>
      <xdr:col>7</xdr:col>
      <xdr:colOff>228600</xdr:colOff>
      <xdr:row>0</xdr:row>
      <xdr:rowOff>476250</xdr:rowOff>
    </xdr:to>
    <xdr:sp macro="" textlink="">
      <xdr:nvSpPr>
        <xdr:cNvPr id="110596" name="WordArt 4"/>
        <xdr:cNvSpPr>
          <a:spLocks noChangeArrowheads="1" noChangeShapeType="1" noTextEdit="1"/>
        </xdr:cNvSpPr>
      </xdr:nvSpPr>
      <xdr:spPr bwMode="auto">
        <a:xfrm>
          <a:off x="2190750" y="95250"/>
          <a:ext cx="18764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MROUND</a:t>
          </a:r>
        </a:p>
      </xdr:txBody>
    </xdr:sp>
    <xdr:clientData/>
  </xdr:twoCellAnchor>
  <xdr:twoCellAnchor>
    <xdr:from>
      <xdr:col>2</xdr:col>
      <xdr:colOff>123825</xdr:colOff>
      <xdr:row>0</xdr:row>
      <xdr:rowOff>95250</xdr:rowOff>
    </xdr:from>
    <xdr:to>
      <xdr:col>3</xdr:col>
      <xdr:colOff>457200</xdr:colOff>
      <xdr:row>0</xdr:row>
      <xdr:rowOff>390525</xdr:rowOff>
    </xdr:to>
    <xdr:sp macro="" textlink="">
      <xdr:nvSpPr>
        <xdr:cNvPr id="11059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144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0</xdr:row>
      <xdr:rowOff>95250</xdr:rowOff>
    </xdr:from>
    <xdr:to>
      <xdr:col>5</xdr:col>
      <xdr:colOff>295275</xdr:colOff>
      <xdr:row>0</xdr:row>
      <xdr:rowOff>476250</xdr:rowOff>
    </xdr:to>
    <xdr:sp macro="" textlink="">
      <xdr:nvSpPr>
        <xdr:cNvPr id="109572" name="WordArt 4"/>
        <xdr:cNvSpPr>
          <a:spLocks noChangeArrowheads="1" noChangeShapeType="1" noTextEdit="1"/>
        </xdr:cNvSpPr>
      </xdr:nvSpPr>
      <xdr:spPr bwMode="auto">
        <a:xfrm>
          <a:off x="2219325" y="95250"/>
          <a:ext cx="16764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MONTH</a:t>
          </a:r>
        </a:p>
      </xdr:txBody>
    </xdr:sp>
    <xdr:clientData/>
  </xdr:twoCellAnchor>
  <xdr:twoCellAnchor>
    <xdr:from>
      <xdr:col>2</xdr:col>
      <xdr:colOff>95250</xdr:colOff>
      <xdr:row>0</xdr:row>
      <xdr:rowOff>95250</xdr:rowOff>
    </xdr:from>
    <xdr:to>
      <xdr:col>3</xdr:col>
      <xdr:colOff>152400</xdr:colOff>
      <xdr:row>0</xdr:row>
      <xdr:rowOff>390525</xdr:rowOff>
    </xdr:to>
    <xdr:sp macro="" textlink="">
      <xdr:nvSpPr>
        <xdr:cNvPr id="10957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4297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0</xdr:row>
      <xdr:rowOff>76200</xdr:rowOff>
    </xdr:from>
    <xdr:to>
      <xdr:col>6</xdr:col>
      <xdr:colOff>552450</xdr:colOff>
      <xdr:row>0</xdr:row>
      <xdr:rowOff>457200</xdr:rowOff>
    </xdr:to>
    <xdr:sp macro="" textlink="">
      <xdr:nvSpPr>
        <xdr:cNvPr id="108548" name="WordArt 4"/>
        <xdr:cNvSpPr>
          <a:spLocks noChangeArrowheads="1" noChangeShapeType="1" noTextEdit="1"/>
        </xdr:cNvSpPr>
      </xdr:nvSpPr>
      <xdr:spPr bwMode="auto">
        <a:xfrm>
          <a:off x="2305050" y="76200"/>
          <a:ext cx="14763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MODE</a:t>
          </a:r>
        </a:p>
      </xdr:txBody>
    </xdr:sp>
    <xdr:clientData/>
  </xdr:twoCellAnchor>
  <xdr:twoCellAnchor>
    <xdr:from>
      <xdr:col>2</xdr:col>
      <xdr:colOff>238125</xdr:colOff>
      <xdr:row>0</xdr:row>
      <xdr:rowOff>76200</xdr:rowOff>
    </xdr:from>
    <xdr:to>
      <xdr:col>3</xdr:col>
      <xdr:colOff>571500</xdr:colOff>
      <xdr:row>0</xdr:row>
      <xdr:rowOff>371475</xdr:rowOff>
    </xdr:to>
    <xdr:sp macro="" textlink="">
      <xdr:nvSpPr>
        <xdr:cNvPr id="10854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2870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0</xdr:row>
      <xdr:rowOff>95250</xdr:rowOff>
    </xdr:from>
    <xdr:to>
      <xdr:col>6</xdr:col>
      <xdr:colOff>180975</xdr:colOff>
      <xdr:row>0</xdr:row>
      <xdr:rowOff>476250</xdr:rowOff>
    </xdr:to>
    <xdr:sp macro="" textlink="">
      <xdr:nvSpPr>
        <xdr:cNvPr id="107524" name="WordArt 4"/>
        <xdr:cNvSpPr>
          <a:spLocks noChangeArrowheads="1" noChangeShapeType="1" noTextEdit="1"/>
        </xdr:cNvSpPr>
      </xdr:nvSpPr>
      <xdr:spPr bwMode="auto">
        <a:xfrm>
          <a:off x="232410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MOD</a:t>
          </a:r>
        </a:p>
      </xdr:txBody>
    </xdr:sp>
    <xdr:clientData/>
  </xdr:twoCellAnchor>
  <xdr:twoCellAnchor>
    <xdr:from>
      <xdr:col>2</xdr:col>
      <xdr:colOff>257175</xdr:colOff>
      <xdr:row>0</xdr:row>
      <xdr:rowOff>95250</xdr:rowOff>
    </xdr:from>
    <xdr:to>
      <xdr:col>3</xdr:col>
      <xdr:colOff>590550</xdr:colOff>
      <xdr:row>0</xdr:row>
      <xdr:rowOff>390525</xdr:rowOff>
    </xdr:to>
    <xdr:sp macro="" textlink="">
      <xdr:nvSpPr>
        <xdr:cNvPr id="10752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477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85725</xdr:rowOff>
    </xdr:from>
    <xdr:to>
      <xdr:col>7</xdr:col>
      <xdr:colOff>85725</xdr:colOff>
      <xdr:row>0</xdr:row>
      <xdr:rowOff>466725</xdr:rowOff>
    </xdr:to>
    <xdr:sp macro="" textlink="">
      <xdr:nvSpPr>
        <xdr:cNvPr id="106500" name="WordArt 4"/>
        <xdr:cNvSpPr>
          <a:spLocks noChangeArrowheads="1" noChangeShapeType="1" noTextEdit="1"/>
        </xdr:cNvSpPr>
      </xdr:nvSpPr>
      <xdr:spPr bwMode="auto">
        <a:xfrm>
          <a:off x="2238375" y="85725"/>
          <a:ext cx="18764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MMULT</a:t>
          </a:r>
        </a:p>
      </xdr:txBody>
    </xdr:sp>
    <xdr:clientData/>
  </xdr:twoCellAnchor>
  <xdr:twoCellAnchor>
    <xdr:from>
      <xdr:col>2</xdr:col>
      <xdr:colOff>57150</xdr:colOff>
      <xdr:row>0</xdr:row>
      <xdr:rowOff>85725</xdr:rowOff>
    </xdr:from>
    <xdr:to>
      <xdr:col>3</xdr:col>
      <xdr:colOff>390525</xdr:colOff>
      <xdr:row>0</xdr:row>
      <xdr:rowOff>381000</xdr:rowOff>
    </xdr:to>
    <xdr:sp macro="" textlink="">
      <xdr:nvSpPr>
        <xdr:cNvPr id="10650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62025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95250</xdr:rowOff>
    </xdr:from>
    <xdr:to>
      <xdr:col>6</xdr:col>
      <xdr:colOff>266700</xdr:colOff>
      <xdr:row>0</xdr:row>
      <xdr:rowOff>476250</xdr:rowOff>
    </xdr:to>
    <xdr:sp macro="" textlink="">
      <xdr:nvSpPr>
        <xdr:cNvPr id="104452" name="WordArt 4"/>
        <xdr:cNvSpPr>
          <a:spLocks noChangeArrowheads="1" noChangeShapeType="1" noTextEdit="1"/>
        </xdr:cNvSpPr>
      </xdr:nvSpPr>
      <xdr:spPr bwMode="auto">
        <a:xfrm>
          <a:off x="2228850" y="95250"/>
          <a:ext cx="20383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MINUTE</a:t>
          </a:r>
        </a:p>
      </xdr:txBody>
    </xdr:sp>
    <xdr:clientData/>
  </xdr:twoCellAnchor>
  <xdr:twoCellAnchor>
    <xdr:from>
      <xdr:col>2</xdr:col>
      <xdr:colOff>161925</xdr:colOff>
      <xdr:row>0</xdr:row>
      <xdr:rowOff>95250</xdr:rowOff>
    </xdr:from>
    <xdr:to>
      <xdr:col>3</xdr:col>
      <xdr:colOff>161925</xdr:colOff>
      <xdr:row>0</xdr:row>
      <xdr:rowOff>390525</xdr:rowOff>
    </xdr:to>
    <xdr:sp macro="" textlink="">
      <xdr:nvSpPr>
        <xdr:cNvPr id="10445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525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95250</xdr:rowOff>
    </xdr:from>
    <xdr:to>
      <xdr:col>6</xdr:col>
      <xdr:colOff>133350</xdr:colOff>
      <xdr:row>0</xdr:row>
      <xdr:rowOff>476250</xdr:rowOff>
    </xdr:to>
    <xdr:sp macro="" textlink="">
      <xdr:nvSpPr>
        <xdr:cNvPr id="103428" name="WordArt 4"/>
        <xdr:cNvSpPr>
          <a:spLocks noChangeArrowheads="1" noChangeShapeType="1" noTextEdit="1"/>
        </xdr:cNvSpPr>
      </xdr:nvSpPr>
      <xdr:spPr bwMode="auto">
        <a:xfrm>
          <a:off x="203835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MIN</a:t>
          </a:r>
        </a:p>
      </xdr:txBody>
    </xdr:sp>
    <xdr:clientData/>
  </xdr:twoCellAnchor>
  <xdr:twoCellAnchor>
    <xdr:from>
      <xdr:col>1</xdr:col>
      <xdr:colOff>581025</xdr:colOff>
      <xdr:row>0</xdr:row>
      <xdr:rowOff>95250</xdr:rowOff>
    </xdr:from>
    <xdr:to>
      <xdr:col>3</xdr:col>
      <xdr:colOff>228600</xdr:colOff>
      <xdr:row>0</xdr:row>
      <xdr:rowOff>390525</xdr:rowOff>
    </xdr:to>
    <xdr:sp macro="" textlink="">
      <xdr:nvSpPr>
        <xdr:cNvPr id="10342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1247775</xdr:colOff>
      <xdr:row>0</xdr:row>
      <xdr:rowOff>95250</xdr:rowOff>
    </xdr:from>
    <xdr:to>
      <xdr:col>4</xdr:col>
      <xdr:colOff>447675</xdr:colOff>
      <xdr:row>0</xdr:row>
      <xdr:rowOff>476250</xdr:rowOff>
    </xdr:to>
    <xdr:sp macro="" textlink="">
      <xdr:nvSpPr>
        <xdr:cNvPr id="102404" name="WordArt 4"/>
        <xdr:cNvSpPr>
          <a:spLocks noChangeArrowheads="1" noChangeShapeType="1" noTextEdit="1"/>
        </xdr:cNvSpPr>
      </xdr:nvSpPr>
      <xdr:spPr bwMode="auto">
        <a:xfrm>
          <a:off x="2038350" y="95250"/>
          <a:ext cx="14287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MID</a:t>
          </a:r>
        </a:p>
      </xdr:txBody>
    </xdr:sp>
    <xdr:clientData/>
  </xdr:twoCellAnchor>
  <xdr:twoCellAnchor>
    <xdr:from>
      <xdr:col>1</xdr:col>
      <xdr:colOff>581025</xdr:colOff>
      <xdr:row>0</xdr:row>
      <xdr:rowOff>95250</xdr:rowOff>
    </xdr:from>
    <xdr:to>
      <xdr:col>2</xdr:col>
      <xdr:colOff>914400</xdr:colOff>
      <xdr:row>0</xdr:row>
      <xdr:rowOff>390525</xdr:rowOff>
    </xdr:to>
    <xdr:sp macro="" textlink="">
      <xdr:nvSpPr>
        <xdr:cNvPr id="10240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0</xdr:row>
      <xdr:rowOff>85725</xdr:rowOff>
    </xdr:from>
    <xdr:to>
      <xdr:col>8</xdr:col>
      <xdr:colOff>504825</xdr:colOff>
      <xdr:row>0</xdr:row>
      <xdr:rowOff>466725</xdr:rowOff>
    </xdr:to>
    <xdr:sp macro="" textlink="">
      <xdr:nvSpPr>
        <xdr:cNvPr id="101380" name="WordArt 4"/>
        <xdr:cNvSpPr>
          <a:spLocks noChangeArrowheads="1" noChangeShapeType="1" noTextEdit="1"/>
        </xdr:cNvSpPr>
      </xdr:nvSpPr>
      <xdr:spPr bwMode="auto">
        <a:xfrm>
          <a:off x="2114550" y="8572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MEDIAN</a:t>
          </a:r>
        </a:p>
      </xdr:txBody>
    </xdr:sp>
    <xdr:clientData/>
  </xdr:twoCellAnchor>
  <xdr:twoCellAnchor>
    <xdr:from>
      <xdr:col>2</xdr:col>
      <xdr:colOff>238125</xdr:colOff>
      <xdr:row>0</xdr:row>
      <xdr:rowOff>95250</xdr:rowOff>
    </xdr:from>
    <xdr:to>
      <xdr:col>4</xdr:col>
      <xdr:colOff>152400</xdr:colOff>
      <xdr:row>0</xdr:row>
      <xdr:rowOff>390525</xdr:rowOff>
    </xdr:to>
    <xdr:sp macro="" textlink="">
      <xdr:nvSpPr>
        <xdr:cNvPr id="10138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287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104775</xdr:rowOff>
    </xdr:from>
    <xdr:to>
      <xdr:col>6</xdr:col>
      <xdr:colOff>533400</xdr:colOff>
      <xdr:row>0</xdr:row>
      <xdr:rowOff>485775</xdr:rowOff>
    </xdr:to>
    <xdr:sp macro="" textlink="">
      <xdr:nvSpPr>
        <xdr:cNvPr id="100356" name="WordArt 4"/>
        <xdr:cNvSpPr>
          <a:spLocks noChangeArrowheads="1" noChangeShapeType="1" noTextEdit="1"/>
        </xdr:cNvSpPr>
      </xdr:nvSpPr>
      <xdr:spPr bwMode="auto">
        <a:xfrm>
          <a:off x="2343150" y="104775"/>
          <a:ext cx="15240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MAX</a:t>
          </a:r>
        </a:p>
      </xdr:txBody>
    </xdr:sp>
    <xdr:clientData/>
  </xdr:twoCellAnchor>
  <xdr:twoCellAnchor>
    <xdr:from>
      <xdr:col>2</xdr:col>
      <xdr:colOff>95250</xdr:colOff>
      <xdr:row>0</xdr:row>
      <xdr:rowOff>104775</xdr:rowOff>
    </xdr:from>
    <xdr:to>
      <xdr:col>3</xdr:col>
      <xdr:colOff>419100</xdr:colOff>
      <xdr:row>0</xdr:row>
      <xdr:rowOff>400050</xdr:rowOff>
    </xdr:to>
    <xdr:sp macro="" textlink="">
      <xdr:nvSpPr>
        <xdr:cNvPr id="10035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525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0</xdr:row>
      <xdr:rowOff>66675</xdr:rowOff>
    </xdr:from>
    <xdr:to>
      <xdr:col>7</xdr:col>
      <xdr:colOff>695325</xdr:colOff>
      <xdr:row>0</xdr:row>
      <xdr:rowOff>447675</xdr:rowOff>
    </xdr:to>
    <xdr:sp macro="" textlink="">
      <xdr:nvSpPr>
        <xdr:cNvPr id="99332" name="WordArt 4"/>
        <xdr:cNvSpPr>
          <a:spLocks noChangeArrowheads="1" noChangeShapeType="1" noTextEdit="1"/>
        </xdr:cNvSpPr>
      </xdr:nvSpPr>
      <xdr:spPr bwMode="auto">
        <a:xfrm>
          <a:off x="2457450" y="666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MATCH</a:t>
          </a:r>
        </a:p>
      </xdr:txBody>
    </xdr:sp>
    <xdr:clientData/>
  </xdr:twoCellAnchor>
  <xdr:twoCellAnchor>
    <xdr:from>
      <xdr:col>2</xdr:col>
      <xdr:colOff>628650</xdr:colOff>
      <xdr:row>0</xdr:row>
      <xdr:rowOff>104775</xdr:rowOff>
    </xdr:from>
    <xdr:to>
      <xdr:col>4</xdr:col>
      <xdr:colOff>133350</xdr:colOff>
      <xdr:row>0</xdr:row>
      <xdr:rowOff>400050</xdr:rowOff>
    </xdr:to>
    <xdr:sp macro="" textlink="">
      <xdr:nvSpPr>
        <xdr:cNvPr id="9933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287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95250</xdr:rowOff>
    </xdr:from>
    <xdr:to>
      <xdr:col>6</xdr:col>
      <xdr:colOff>352425</xdr:colOff>
      <xdr:row>0</xdr:row>
      <xdr:rowOff>476250</xdr:rowOff>
    </xdr:to>
    <xdr:sp macro="" textlink="">
      <xdr:nvSpPr>
        <xdr:cNvPr id="98308" name="WordArt 4"/>
        <xdr:cNvSpPr>
          <a:spLocks noChangeArrowheads="1" noChangeShapeType="1" noTextEdit="1"/>
        </xdr:cNvSpPr>
      </xdr:nvSpPr>
      <xdr:spPr bwMode="auto">
        <a:xfrm>
          <a:off x="2038350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LOWER</a:t>
          </a:r>
        </a:p>
      </xdr:txBody>
    </xdr:sp>
    <xdr:clientData/>
  </xdr:twoCellAnchor>
  <xdr:twoCellAnchor>
    <xdr:from>
      <xdr:col>2</xdr:col>
      <xdr:colOff>57150</xdr:colOff>
      <xdr:row>0</xdr:row>
      <xdr:rowOff>95250</xdr:rowOff>
    </xdr:from>
    <xdr:to>
      <xdr:col>2</xdr:col>
      <xdr:colOff>1000125</xdr:colOff>
      <xdr:row>0</xdr:row>
      <xdr:rowOff>390525</xdr:rowOff>
    </xdr:to>
    <xdr:sp macro="" textlink="">
      <xdr:nvSpPr>
        <xdr:cNvPr id="9830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477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85725</xdr:rowOff>
    </xdr:from>
    <xdr:to>
      <xdr:col>8</xdr:col>
      <xdr:colOff>114300</xdr:colOff>
      <xdr:row>0</xdr:row>
      <xdr:rowOff>466725</xdr:rowOff>
    </xdr:to>
    <xdr:sp macro="" textlink="">
      <xdr:nvSpPr>
        <xdr:cNvPr id="97284" name="WordArt 4"/>
        <xdr:cNvSpPr>
          <a:spLocks noChangeArrowheads="1" noChangeShapeType="1" noTextEdit="1"/>
        </xdr:cNvSpPr>
      </xdr:nvSpPr>
      <xdr:spPr bwMode="auto">
        <a:xfrm>
          <a:off x="1981200" y="85725"/>
          <a:ext cx="28003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LOOKUP(Vector)</a:t>
          </a:r>
        </a:p>
      </xdr:txBody>
    </xdr:sp>
    <xdr:clientData/>
  </xdr:twoCellAnchor>
  <xdr:twoCellAnchor>
    <xdr:from>
      <xdr:col>2</xdr:col>
      <xdr:colOff>38100</xdr:colOff>
      <xdr:row>0</xdr:row>
      <xdr:rowOff>95250</xdr:rowOff>
    </xdr:from>
    <xdr:to>
      <xdr:col>3</xdr:col>
      <xdr:colOff>95250</xdr:colOff>
      <xdr:row>0</xdr:row>
      <xdr:rowOff>390525</xdr:rowOff>
    </xdr:to>
    <xdr:sp macro="" textlink="">
      <xdr:nvSpPr>
        <xdr:cNvPr id="9728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114300</xdr:rowOff>
    </xdr:from>
    <xdr:to>
      <xdr:col>8</xdr:col>
      <xdr:colOff>66675</xdr:colOff>
      <xdr:row>0</xdr:row>
      <xdr:rowOff>495300</xdr:rowOff>
    </xdr:to>
    <xdr:sp macro="" textlink="">
      <xdr:nvSpPr>
        <xdr:cNvPr id="96260" name="WordArt 4"/>
        <xdr:cNvSpPr>
          <a:spLocks noChangeArrowheads="1" noChangeShapeType="1" noTextEdit="1"/>
        </xdr:cNvSpPr>
      </xdr:nvSpPr>
      <xdr:spPr bwMode="auto">
        <a:xfrm>
          <a:off x="1952625" y="114300"/>
          <a:ext cx="24955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LOOKUP(Array)</a:t>
          </a:r>
        </a:p>
      </xdr:txBody>
    </xdr:sp>
    <xdr:clientData/>
  </xdr:twoCellAnchor>
  <xdr:twoCellAnchor>
    <xdr:from>
      <xdr:col>1</xdr:col>
      <xdr:colOff>495300</xdr:colOff>
      <xdr:row>0</xdr:row>
      <xdr:rowOff>114300</xdr:rowOff>
    </xdr:from>
    <xdr:to>
      <xdr:col>3</xdr:col>
      <xdr:colOff>238125</xdr:colOff>
      <xdr:row>0</xdr:row>
      <xdr:rowOff>409575</xdr:rowOff>
    </xdr:to>
    <xdr:sp macro="" textlink="">
      <xdr:nvSpPr>
        <xdr:cNvPr id="9626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76275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95250</xdr:rowOff>
    </xdr:from>
    <xdr:to>
      <xdr:col>6</xdr:col>
      <xdr:colOff>381000</xdr:colOff>
      <xdr:row>0</xdr:row>
      <xdr:rowOff>476250</xdr:rowOff>
    </xdr:to>
    <xdr:sp macro="" textlink="">
      <xdr:nvSpPr>
        <xdr:cNvPr id="95236" name="WordArt 4"/>
        <xdr:cNvSpPr>
          <a:spLocks noChangeArrowheads="1" noChangeShapeType="1" noTextEdit="1"/>
        </xdr:cNvSpPr>
      </xdr:nvSpPr>
      <xdr:spPr bwMode="auto">
        <a:xfrm>
          <a:off x="2238375" y="95250"/>
          <a:ext cx="16954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LEN</a:t>
          </a:r>
        </a:p>
      </xdr:txBody>
    </xdr:sp>
    <xdr:clientData/>
  </xdr:twoCellAnchor>
  <xdr:twoCellAnchor>
    <xdr:from>
      <xdr:col>2</xdr:col>
      <xdr:colOff>57150</xdr:colOff>
      <xdr:row>0</xdr:row>
      <xdr:rowOff>95250</xdr:rowOff>
    </xdr:from>
    <xdr:to>
      <xdr:col>3</xdr:col>
      <xdr:colOff>85725</xdr:colOff>
      <xdr:row>0</xdr:row>
      <xdr:rowOff>390525</xdr:rowOff>
    </xdr:to>
    <xdr:sp macro="" textlink="">
      <xdr:nvSpPr>
        <xdr:cNvPr id="9523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477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95250</xdr:rowOff>
    </xdr:from>
    <xdr:to>
      <xdr:col>6</xdr:col>
      <xdr:colOff>180975</xdr:colOff>
      <xdr:row>0</xdr:row>
      <xdr:rowOff>476250</xdr:rowOff>
    </xdr:to>
    <xdr:sp macro="" textlink="">
      <xdr:nvSpPr>
        <xdr:cNvPr id="94212" name="WordArt 4"/>
        <xdr:cNvSpPr>
          <a:spLocks noChangeArrowheads="1" noChangeShapeType="1" noTextEdit="1"/>
        </xdr:cNvSpPr>
      </xdr:nvSpPr>
      <xdr:spPr bwMode="auto">
        <a:xfrm>
          <a:off x="2209800" y="95250"/>
          <a:ext cx="15716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LEFT</a:t>
          </a:r>
        </a:p>
      </xdr:txBody>
    </xdr:sp>
    <xdr:clientData/>
  </xdr:twoCellAnchor>
  <xdr:twoCellAnchor>
    <xdr:from>
      <xdr:col>2</xdr:col>
      <xdr:colOff>38100</xdr:colOff>
      <xdr:row>0</xdr:row>
      <xdr:rowOff>95250</xdr:rowOff>
    </xdr:from>
    <xdr:to>
      <xdr:col>3</xdr:col>
      <xdr:colOff>114300</xdr:colOff>
      <xdr:row>0</xdr:row>
      <xdr:rowOff>390525</xdr:rowOff>
    </xdr:to>
    <xdr:sp macro="" textlink="">
      <xdr:nvSpPr>
        <xdr:cNvPr id="9421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76200</xdr:rowOff>
    </xdr:from>
    <xdr:to>
      <xdr:col>6</xdr:col>
      <xdr:colOff>171450</xdr:colOff>
      <xdr:row>0</xdr:row>
      <xdr:rowOff>457200</xdr:rowOff>
    </xdr:to>
    <xdr:sp macro="" textlink="">
      <xdr:nvSpPr>
        <xdr:cNvPr id="92164" name="WordArt 4"/>
        <xdr:cNvSpPr>
          <a:spLocks noChangeArrowheads="1" noChangeShapeType="1" noTextEdit="1"/>
        </xdr:cNvSpPr>
      </xdr:nvSpPr>
      <xdr:spPr bwMode="auto">
        <a:xfrm>
          <a:off x="2152650" y="76200"/>
          <a:ext cx="15906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LCM</a:t>
          </a:r>
        </a:p>
      </xdr:txBody>
    </xdr:sp>
    <xdr:clientData/>
  </xdr:twoCellAnchor>
  <xdr:twoCellAnchor>
    <xdr:from>
      <xdr:col>1</xdr:col>
      <xdr:colOff>581025</xdr:colOff>
      <xdr:row>0</xdr:row>
      <xdr:rowOff>76200</xdr:rowOff>
    </xdr:from>
    <xdr:to>
      <xdr:col>3</xdr:col>
      <xdr:colOff>304800</xdr:colOff>
      <xdr:row>0</xdr:row>
      <xdr:rowOff>371475</xdr:rowOff>
    </xdr:to>
    <xdr:sp macro="" textlink="">
      <xdr:nvSpPr>
        <xdr:cNvPr id="9216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104775</xdr:rowOff>
    </xdr:from>
    <xdr:to>
      <xdr:col>7</xdr:col>
      <xdr:colOff>314325</xdr:colOff>
      <xdr:row>0</xdr:row>
      <xdr:rowOff>485775</xdr:rowOff>
    </xdr:to>
    <xdr:sp macro="" textlink="">
      <xdr:nvSpPr>
        <xdr:cNvPr id="91140" name="WordArt 4"/>
        <xdr:cNvSpPr>
          <a:spLocks noChangeArrowheads="1" noChangeShapeType="1" noTextEdit="1"/>
        </xdr:cNvSpPr>
      </xdr:nvSpPr>
      <xdr:spPr bwMode="auto">
        <a:xfrm>
          <a:off x="2257425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LARGE</a:t>
          </a:r>
        </a:p>
      </xdr:txBody>
    </xdr:sp>
    <xdr:clientData/>
  </xdr:twoCellAnchor>
  <xdr:twoCellAnchor>
    <xdr:from>
      <xdr:col>2</xdr:col>
      <xdr:colOff>76200</xdr:colOff>
      <xdr:row>0</xdr:row>
      <xdr:rowOff>104775</xdr:rowOff>
    </xdr:from>
    <xdr:to>
      <xdr:col>3</xdr:col>
      <xdr:colOff>409575</xdr:colOff>
      <xdr:row>0</xdr:row>
      <xdr:rowOff>400050</xdr:rowOff>
    </xdr:to>
    <xdr:sp macro="" textlink="">
      <xdr:nvSpPr>
        <xdr:cNvPr id="9114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6677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85725</xdr:rowOff>
    </xdr:from>
    <xdr:to>
      <xdr:col>8</xdr:col>
      <xdr:colOff>0</xdr:colOff>
      <xdr:row>0</xdr:row>
      <xdr:rowOff>466725</xdr:rowOff>
    </xdr:to>
    <xdr:sp macro="" textlink="">
      <xdr:nvSpPr>
        <xdr:cNvPr id="90116" name="WordArt 4"/>
        <xdr:cNvSpPr>
          <a:spLocks noChangeArrowheads="1" noChangeShapeType="1" noTextEdit="1"/>
        </xdr:cNvSpPr>
      </xdr:nvSpPr>
      <xdr:spPr bwMode="auto">
        <a:xfrm>
          <a:off x="2324100" y="8572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ISTEXT</a:t>
          </a:r>
        </a:p>
      </xdr:txBody>
    </xdr:sp>
    <xdr:clientData/>
  </xdr:twoCellAnchor>
  <xdr:twoCellAnchor>
    <xdr:from>
      <xdr:col>2</xdr:col>
      <xdr:colOff>19050</xdr:colOff>
      <xdr:row>0</xdr:row>
      <xdr:rowOff>85725</xdr:rowOff>
    </xdr:from>
    <xdr:to>
      <xdr:col>3</xdr:col>
      <xdr:colOff>352425</xdr:colOff>
      <xdr:row>0</xdr:row>
      <xdr:rowOff>381000</xdr:rowOff>
    </xdr:to>
    <xdr:sp macro="" textlink="">
      <xdr:nvSpPr>
        <xdr:cNvPr id="9011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3345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0</xdr:row>
      <xdr:rowOff>95250</xdr:rowOff>
    </xdr:from>
    <xdr:to>
      <xdr:col>6</xdr:col>
      <xdr:colOff>514350</xdr:colOff>
      <xdr:row>0</xdr:row>
      <xdr:rowOff>476250</xdr:rowOff>
    </xdr:to>
    <xdr:sp macro="" textlink="">
      <xdr:nvSpPr>
        <xdr:cNvPr id="89092" name="WordArt 4"/>
        <xdr:cNvSpPr>
          <a:spLocks noChangeArrowheads="1" noChangeShapeType="1" noTextEdit="1"/>
        </xdr:cNvSpPr>
      </xdr:nvSpPr>
      <xdr:spPr bwMode="auto">
        <a:xfrm>
          <a:off x="2076450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ISREF</a:t>
          </a:r>
        </a:p>
      </xdr:txBody>
    </xdr:sp>
    <xdr:clientData/>
  </xdr:twoCellAnchor>
  <xdr:twoCellAnchor>
    <xdr:from>
      <xdr:col>1</xdr:col>
      <xdr:colOff>485775</xdr:colOff>
      <xdr:row>0</xdr:row>
      <xdr:rowOff>95250</xdr:rowOff>
    </xdr:from>
    <xdr:to>
      <xdr:col>3</xdr:col>
      <xdr:colOff>209550</xdr:colOff>
      <xdr:row>0</xdr:row>
      <xdr:rowOff>390525</xdr:rowOff>
    </xdr:to>
    <xdr:sp macro="" textlink="">
      <xdr:nvSpPr>
        <xdr:cNvPr id="8909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953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85725</xdr:rowOff>
    </xdr:from>
    <xdr:to>
      <xdr:col>6</xdr:col>
      <xdr:colOff>428625</xdr:colOff>
      <xdr:row>0</xdr:row>
      <xdr:rowOff>466725</xdr:rowOff>
    </xdr:to>
    <xdr:sp macro="" textlink="">
      <xdr:nvSpPr>
        <xdr:cNvPr id="88068" name="WordArt 4"/>
        <xdr:cNvSpPr>
          <a:spLocks noChangeArrowheads="1" noChangeShapeType="1" noTextEdit="1"/>
        </xdr:cNvSpPr>
      </xdr:nvSpPr>
      <xdr:spPr bwMode="auto">
        <a:xfrm>
          <a:off x="2381250" y="85725"/>
          <a:ext cx="17621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ISODD</a:t>
          </a:r>
        </a:p>
      </xdr:txBody>
    </xdr:sp>
    <xdr:clientData/>
  </xdr:twoCellAnchor>
  <xdr:twoCellAnchor>
    <xdr:from>
      <xdr:col>2</xdr:col>
      <xdr:colOff>390525</xdr:colOff>
      <xdr:row>0</xdr:row>
      <xdr:rowOff>95250</xdr:rowOff>
    </xdr:from>
    <xdr:to>
      <xdr:col>3</xdr:col>
      <xdr:colOff>600075</xdr:colOff>
      <xdr:row>0</xdr:row>
      <xdr:rowOff>390525</xdr:rowOff>
    </xdr:to>
    <xdr:sp macro="" textlink="">
      <xdr:nvSpPr>
        <xdr:cNvPr id="8806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1811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0</xdr:row>
      <xdr:rowOff>95250</xdr:rowOff>
    </xdr:from>
    <xdr:to>
      <xdr:col>8</xdr:col>
      <xdr:colOff>428625</xdr:colOff>
      <xdr:row>0</xdr:row>
      <xdr:rowOff>476250</xdr:rowOff>
    </xdr:to>
    <xdr:sp macro="" textlink="">
      <xdr:nvSpPr>
        <xdr:cNvPr id="87044" name="WordArt 4"/>
        <xdr:cNvSpPr>
          <a:spLocks noChangeArrowheads="1" noChangeShapeType="1" noTextEdit="1"/>
        </xdr:cNvSpPr>
      </xdr:nvSpPr>
      <xdr:spPr bwMode="auto">
        <a:xfrm>
          <a:off x="2571750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ISNUMBER</a:t>
          </a:r>
        </a:p>
      </xdr:txBody>
    </xdr:sp>
    <xdr:clientData/>
  </xdr:twoCellAnchor>
  <xdr:twoCellAnchor>
    <xdr:from>
      <xdr:col>2</xdr:col>
      <xdr:colOff>333375</xdr:colOff>
      <xdr:row>0</xdr:row>
      <xdr:rowOff>95250</xdr:rowOff>
    </xdr:from>
    <xdr:to>
      <xdr:col>4</xdr:col>
      <xdr:colOff>57150</xdr:colOff>
      <xdr:row>0</xdr:row>
      <xdr:rowOff>390525</xdr:rowOff>
    </xdr:to>
    <xdr:sp macro="" textlink="">
      <xdr:nvSpPr>
        <xdr:cNvPr id="8704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1811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0</xdr:row>
      <xdr:rowOff>85725</xdr:rowOff>
    </xdr:from>
    <xdr:to>
      <xdr:col>5</xdr:col>
      <xdr:colOff>904875</xdr:colOff>
      <xdr:row>0</xdr:row>
      <xdr:rowOff>466725</xdr:rowOff>
    </xdr:to>
    <xdr:sp macro="" textlink="">
      <xdr:nvSpPr>
        <xdr:cNvPr id="86020" name="WordArt 4"/>
        <xdr:cNvSpPr>
          <a:spLocks noChangeArrowheads="1" noChangeShapeType="1" noTextEdit="1"/>
        </xdr:cNvSpPr>
      </xdr:nvSpPr>
      <xdr:spPr bwMode="auto">
        <a:xfrm>
          <a:off x="2343150" y="8572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ISNONTEXT</a:t>
          </a:r>
        </a:p>
      </xdr:txBody>
    </xdr:sp>
    <xdr:clientData/>
  </xdr:twoCellAnchor>
  <xdr:twoCellAnchor>
    <xdr:from>
      <xdr:col>2</xdr:col>
      <xdr:colOff>228600</xdr:colOff>
      <xdr:row>0</xdr:row>
      <xdr:rowOff>95250</xdr:rowOff>
    </xdr:from>
    <xdr:to>
      <xdr:col>3</xdr:col>
      <xdr:colOff>352425</xdr:colOff>
      <xdr:row>0</xdr:row>
      <xdr:rowOff>390525</xdr:rowOff>
    </xdr:to>
    <xdr:sp macro="" textlink="">
      <xdr:nvSpPr>
        <xdr:cNvPr id="8602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287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0</xdr:row>
      <xdr:rowOff>85725</xdr:rowOff>
    </xdr:from>
    <xdr:to>
      <xdr:col>6</xdr:col>
      <xdr:colOff>371475</xdr:colOff>
      <xdr:row>0</xdr:row>
      <xdr:rowOff>466725</xdr:rowOff>
    </xdr:to>
    <xdr:sp macro="" textlink="">
      <xdr:nvSpPr>
        <xdr:cNvPr id="84996" name="WordArt 4"/>
        <xdr:cNvSpPr>
          <a:spLocks noChangeArrowheads="1" noChangeShapeType="1" noTextEdit="1"/>
        </xdr:cNvSpPr>
      </xdr:nvSpPr>
      <xdr:spPr bwMode="auto">
        <a:xfrm>
          <a:off x="2085975" y="85725"/>
          <a:ext cx="18478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ISNA</a:t>
          </a:r>
        </a:p>
      </xdr:txBody>
    </xdr:sp>
    <xdr:clientData/>
  </xdr:twoCellAnchor>
  <xdr:twoCellAnchor>
    <xdr:from>
      <xdr:col>1</xdr:col>
      <xdr:colOff>514350</xdr:colOff>
      <xdr:row>0</xdr:row>
      <xdr:rowOff>85725</xdr:rowOff>
    </xdr:from>
    <xdr:to>
      <xdr:col>3</xdr:col>
      <xdr:colOff>171450</xdr:colOff>
      <xdr:row>0</xdr:row>
      <xdr:rowOff>381000</xdr:rowOff>
    </xdr:to>
    <xdr:sp macro="" textlink="">
      <xdr:nvSpPr>
        <xdr:cNvPr id="8499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95325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66675</xdr:rowOff>
    </xdr:from>
    <xdr:to>
      <xdr:col>8</xdr:col>
      <xdr:colOff>104775</xdr:colOff>
      <xdr:row>0</xdr:row>
      <xdr:rowOff>447675</xdr:rowOff>
    </xdr:to>
    <xdr:sp macro="" textlink="">
      <xdr:nvSpPr>
        <xdr:cNvPr id="83972" name="WordArt 4"/>
        <xdr:cNvSpPr>
          <a:spLocks noChangeArrowheads="1" noChangeShapeType="1" noTextEdit="1"/>
        </xdr:cNvSpPr>
      </xdr:nvSpPr>
      <xdr:spPr bwMode="auto">
        <a:xfrm>
          <a:off x="2305050" y="666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ISLOGICAL</a:t>
          </a:r>
        </a:p>
      </xdr:txBody>
    </xdr:sp>
    <xdr:clientData/>
  </xdr:twoCellAnchor>
  <xdr:twoCellAnchor>
    <xdr:from>
      <xdr:col>2</xdr:col>
      <xdr:colOff>219075</xdr:colOff>
      <xdr:row>0</xdr:row>
      <xdr:rowOff>76200</xdr:rowOff>
    </xdr:from>
    <xdr:to>
      <xdr:col>3</xdr:col>
      <xdr:colOff>552450</xdr:colOff>
      <xdr:row>0</xdr:row>
      <xdr:rowOff>371475</xdr:rowOff>
    </xdr:to>
    <xdr:sp macro="" textlink="">
      <xdr:nvSpPr>
        <xdr:cNvPr id="8397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95250</xdr:rowOff>
    </xdr:from>
    <xdr:to>
      <xdr:col>7</xdr:col>
      <xdr:colOff>457200</xdr:colOff>
      <xdr:row>0</xdr:row>
      <xdr:rowOff>476250</xdr:rowOff>
    </xdr:to>
    <xdr:sp macro="" textlink="">
      <xdr:nvSpPr>
        <xdr:cNvPr id="82948" name="WordArt 4"/>
        <xdr:cNvSpPr>
          <a:spLocks noChangeArrowheads="1" noChangeShapeType="1" noTextEdit="1"/>
        </xdr:cNvSpPr>
      </xdr:nvSpPr>
      <xdr:spPr bwMode="auto">
        <a:xfrm>
          <a:off x="2571750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ISEVEN</a:t>
          </a:r>
        </a:p>
      </xdr:txBody>
    </xdr:sp>
    <xdr:clientData/>
  </xdr:twoCellAnchor>
  <xdr:twoCellAnchor>
    <xdr:from>
      <xdr:col>2</xdr:col>
      <xdr:colOff>390525</xdr:colOff>
      <xdr:row>0</xdr:row>
      <xdr:rowOff>95250</xdr:rowOff>
    </xdr:from>
    <xdr:to>
      <xdr:col>3</xdr:col>
      <xdr:colOff>581025</xdr:colOff>
      <xdr:row>0</xdr:row>
      <xdr:rowOff>390525</xdr:rowOff>
    </xdr:to>
    <xdr:sp macro="" textlink="">
      <xdr:nvSpPr>
        <xdr:cNvPr id="8294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1811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95250</xdr:rowOff>
    </xdr:from>
    <xdr:to>
      <xdr:col>6</xdr:col>
      <xdr:colOff>581025</xdr:colOff>
      <xdr:row>0</xdr:row>
      <xdr:rowOff>476250</xdr:rowOff>
    </xdr:to>
    <xdr:sp macro="" textlink="">
      <xdr:nvSpPr>
        <xdr:cNvPr id="81924" name="WordArt 4"/>
        <xdr:cNvSpPr>
          <a:spLocks noChangeArrowheads="1" noChangeShapeType="1" noTextEdit="1"/>
        </xdr:cNvSpPr>
      </xdr:nvSpPr>
      <xdr:spPr bwMode="auto">
        <a:xfrm>
          <a:off x="2276475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ISERROR</a:t>
          </a:r>
        </a:p>
      </xdr:txBody>
    </xdr:sp>
    <xdr:clientData/>
  </xdr:twoCellAnchor>
  <xdr:twoCellAnchor>
    <xdr:from>
      <xdr:col>1</xdr:col>
      <xdr:colOff>704850</xdr:colOff>
      <xdr:row>0</xdr:row>
      <xdr:rowOff>95250</xdr:rowOff>
    </xdr:from>
    <xdr:to>
      <xdr:col>3</xdr:col>
      <xdr:colOff>47625</xdr:colOff>
      <xdr:row>0</xdr:row>
      <xdr:rowOff>390525</xdr:rowOff>
    </xdr:to>
    <xdr:sp macro="" textlink="">
      <xdr:nvSpPr>
        <xdr:cNvPr id="8192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858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85725</xdr:rowOff>
    </xdr:from>
    <xdr:to>
      <xdr:col>8</xdr:col>
      <xdr:colOff>114300</xdr:colOff>
      <xdr:row>0</xdr:row>
      <xdr:rowOff>428625</xdr:rowOff>
    </xdr:to>
    <xdr:sp macro="" textlink="">
      <xdr:nvSpPr>
        <xdr:cNvPr id="80900" name="WordArt 4"/>
        <xdr:cNvSpPr>
          <a:spLocks noChangeArrowheads="1" noChangeShapeType="1" noTextEdit="1"/>
        </xdr:cNvSpPr>
      </xdr:nvSpPr>
      <xdr:spPr bwMode="auto">
        <a:xfrm>
          <a:off x="2466975" y="85725"/>
          <a:ext cx="2362200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ISERR</a:t>
          </a:r>
        </a:p>
      </xdr:txBody>
    </xdr:sp>
    <xdr:clientData/>
  </xdr:twoCellAnchor>
  <xdr:twoCellAnchor>
    <xdr:from>
      <xdr:col>2</xdr:col>
      <xdr:colOff>266700</xdr:colOff>
      <xdr:row>0</xdr:row>
      <xdr:rowOff>95250</xdr:rowOff>
    </xdr:from>
    <xdr:to>
      <xdr:col>3</xdr:col>
      <xdr:colOff>571500</xdr:colOff>
      <xdr:row>0</xdr:row>
      <xdr:rowOff>390525</xdr:rowOff>
    </xdr:to>
    <xdr:sp macro="" textlink="">
      <xdr:nvSpPr>
        <xdr:cNvPr id="8090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1811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0</xdr:row>
      <xdr:rowOff>66675</xdr:rowOff>
    </xdr:from>
    <xdr:to>
      <xdr:col>6</xdr:col>
      <xdr:colOff>123825</xdr:colOff>
      <xdr:row>0</xdr:row>
      <xdr:rowOff>447675</xdr:rowOff>
    </xdr:to>
    <xdr:sp macro="" textlink="">
      <xdr:nvSpPr>
        <xdr:cNvPr id="79876" name="WordArt 4"/>
        <xdr:cNvSpPr>
          <a:spLocks noChangeArrowheads="1" noChangeShapeType="1" noTextEdit="1"/>
        </xdr:cNvSpPr>
      </xdr:nvSpPr>
      <xdr:spPr bwMode="auto">
        <a:xfrm>
          <a:off x="1847850" y="666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ISBLANK</a:t>
          </a:r>
        </a:p>
      </xdr:txBody>
    </xdr:sp>
    <xdr:clientData/>
  </xdr:twoCellAnchor>
  <xdr:twoCellAnchor>
    <xdr:from>
      <xdr:col>1</xdr:col>
      <xdr:colOff>323850</xdr:colOff>
      <xdr:row>0</xdr:row>
      <xdr:rowOff>114300</xdr:rowOff>
    </xdr:from>
    <xdr:to>
      <xdr:col>3</xdr:col>
      <xdr:colOff>47625</xdr:colOff>
      <xdr:row>0</xdr:row>
      <xdr:rowOff>409575</xdr:rowOff>
    </xdr:to>
    <xdr:sp macro="" textlink="">
      <xdr:nvSpPr>
        <xdr:cNvPr id="7987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04825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104775</xdr:rowOff>
    </xdr:from>
    <xdr:to>
      <xdr:col>6</xdr:col>
      <xdr:colOff>95250</xdr:colOff>
      <xdr:row>0</xdr:row>
      <xdr:rowOff>390525</xdr:rowOff>
    </xdr:to>
    <xdr:sp macro="" textlink="">
      <xdr:nvSpPr>
        <xdr:cNvPr id="78852" name="WordArt 4"/>
        <xdr:cNvSpPr>
          <a:spLocks noChangeArrowheads="1" noChangeShapeType="1" noTextEdit="1"/>
        </xdr:cNvSpPr>
      </xdr:nvSpPr>
      <xdr:spPr bwMode="auto">
        <a:xfrm>
          <a:off x="2305050" y="104775"/>
          <a:ext cx="1419225" cy="2857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INT</a:t>
          </a:r>
        </a:p>
      </xdr:txBody>
    </xdr:sp>
    <xdr:clientData/>
  </xdr:twoCellAnchor>
  <xdr:twoCellAnchor>
    <xdr:from>
      <xdr:col>2</xdr:col>
      <xdr:colOff>95250</xdr:colOff>
      <xdr:row>0</xdr:row>
      <xdr:rowOff>95250</xdr:rowOff>
    </xdr:from>
    <xdr:to>
      <xdr:col>3</xdr:col>
      <xdr:colOff>333375</xdr:colOff>
      <xdr:row>0</xdr:row>
      <xdr:rowOff>390525</xdr:rowOff>
    </xdr:to>
    <xdr:sp macro="" textlink="">
      <xdr:nvSpPr>
        <xdr:cNvPr id="7885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763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1743075</xdr:colOff>
      <xdr:row>0</xdr:row>
      <xdr:rowOff>95250</xdr:rowOff>
    </xdr:from>
    <xdr:to>
      <xdr:col>2</xdr:col>
      <xdr:colOff>962025</xdr:colOff>
      <xdr:row>0</xdr:row>
      <xdr:rowOff>476250</xdr:rowOff>
    </xdr:to>
    <xdr:sp macro="" textlink="">
      <xdr:nvSpPr>
        <xdr:cNvPr id="77828" name="WordArt 4"/>
        <xdr:cNvSpPr>
          <a:spLocks noChangeArrowheads="1" noChangeShapeType="1" noTextEdit="1"/>
        </xdr:cNvSpPr>
      </xdr:nvSpPr>
      <xdr:spPr bwMode="auto">
        <a:xfrm>
          <a:off x="1962150" y="95250"/>
          <a:ext cx="1600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INFO</a:t>
          </a:r>
        </a:p>
      </xdr:txBody>
    </xdr:sp>
    <xdr:clientData/>
  </xdr:twoCellAnchor>
  <xdr:twoCellAnchor>
    <xdr:from>
      <xdr:col>1</xdr:col>
      <xdr:colOff>352425</xdr:colOff>
      <xdr:row>0</xdr:row>
      <xdr:rowOff>95250</xdr:rowOff>
    </xdr:from>
    <xdr:to>
      <xdr:col>1</xdr:col>
      <xdr:colOff>1295400</xdr:colOff>
      <xdr:row>0</xdr:row>
      <xdr:rowOff>390525</xdr:rowOff>
    </xdr:to>
    <xdr:sp macro="" textlink="">
      <xdr:nvSpPr>
        <xdr:cNvPr id="7782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715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85725</xdr:rowOff>
    </xdr:from>
    <xdr:to>
      <xdr:col>8</xdr:col>
      <xdr:colOff>114300</xdr:colOff>
      <xdr:row>0</xdr:row>
      <xdr:rowOff>466725</xdr:rowOff>
    </xdr:to>
    <xdr:sp macro="" textlink="">
      <xdr:nvSpPr>
        <xdr:cNvPr id="76804" name="WordArt 4"/>
        <xdr:cNvSpPr>
          <a:spLocks noChangeArrowheads="1" noChangeShapeType="1" noTextEdit="1"/>
        </xdr:cNvSpPr>
      </xdr:nvSpPr>
      <xdr:spPr bwMode="auto">
        <a:xfrm>
          <a:off x="2219325" y="8572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INDIRECT</a:t>
          </a:r>
        </a:p>
      </xdr:txBody>
    </xdr:sp>
    <xdr:clientData/>
  </xdr:twoCellAnchor>
  <xdr:twoCellAnchor>
    <xdr:from>
      <xdr:col>2</xdr:col>
      <xdr:colOff>200025</xdr:colOff>
      <xdr:row>0</xdr:row>
      <xdr:rowOff>114300</xdr:rowOff>
    </xdr:from>
    <xdr:to>
      <xdr:col>3</xdr:col>
      <xdr:colOff>533400</xdr:colOff>
      <xdr:row>0</xdr:row>
      <xdr:rowOff>409575</xdr:rowOff>
    </xdr:to>
    <xdr:sp macro="" textlink="">
      <xdr:nvSpPr>
        <xdr:cNvPr id="7680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95250</xdr:rowOff>
    </xdr:from>
    <xdr:to>
      <xdr:col>6</xdr:col>
      <xdr:colOff>581025</xdr:colOff>
      <xdr:row>0</xdr:row>
      <xdr:rowOff>476250</xdr:rowOff>
    </xdr:to>
    <xdr:sp macro="" textlink="">
      <xdr:nvSpPr>
        <xdr:cNvPr id="75780" name="WordArt 4"/>
        <xdr:cNvSpPr>
          <a:spLocks noChangeArrowheads="1" noChangeShapeType="1" noTextEdit="1"/>
        </xdr:cNvSpPr>
      </xdr:nvSpPr>
      <xdr:spPr bwMode="auto">
        <a:xfrm>
          <a:off x="2247900" y="95250"/>
          <a:ext cx="17526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INDEX</a:t>
          </a:r>
        </a:p>
      </xdr:txBody>
    </xdr:sp>
    <xdr:clientData/>
  </xdr:twoCellAnchor>
  <xdr:twoCellAnchor>
    <xdr:from>
      <xdr:col>1</xdr:col>
      <xdr:colOff>676275</xdr:colOff>
      <xdr:row>0</xdr:row>
      <xdr:rowOff>95250</xdr:rowOff>
    </xdr:from>
    <xdr:to>
      <xdr:col>3</xdr:col>
      <xdr:colOff>247650</xdr:colOff>
      <xdr:row>0</xdr:row>
      <xdr:rowOff>390525</xdr:rowOff>
    </xdr:to>
    <xdr:sp macro="" textlink="">
      <xdr:nvSpPr>
        <xdr:cNvPr id="7578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572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104775</xdr:rowOff>
    </xdr:from>
    <xdr:to>
      <xdr:col>4</xdr:col>
      <xdr:colOff>733425</xdr:colOff>
      <xdr:row>0</xdr:row>
      <xdr:rowOff>485775</xdr:rowOff>
    </xdr:to>
    <xdr:sp macro="" textlink="">
      <xdr:nvSpPr>
        <xdr:cNvPr id="74756" name="WordArt 4"/>
        <xdr:cNvSpPr>
          <a:spLocks noChangeArrowheads="1" noChangeShapeType="1" noTextEdit="1"/>
        </xdr:cNvSpPr>
      </xdr:nvSpPr>
      <xdr:spPr bwMode="auto">
        <a:xfrm>
          <a:off x="2019300" y="104775"/>
          <a:ext cx="7239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IF</a:t>
          </a:r>
        </a:p>
      </xdr:txBody>
    </xdr:sp>
    <xdr:clientData/>
  </xdr:twoCellAnchor>
  <xdr:twoCellAnchor>
    <xdr:from>
      <xdr:col>1</xdr:col>
      <xdr:colOff>447675</xdr:colOff>
      <xdr:row>0</xdr:row>
      <xdr:rowOff>104775</xdr:rowOff>
    </xdr:from>
    <xdr:to>
      <xdr:col>3</xdr:col>
      <xdr:colOff>171450</xdr:colOff>
      <xdr:row>0</xdr:row>
      <xdr:rowOff>400050</xdr:rowOff>
    </xdr:to>
    <xdr:sp macro="" textlink="">
      <xdr:nvSpPr>
        <xdr:cNvPr id="7475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28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95250</xdr:rowOff>
    </xdr:from>
    <xdr:to>
      <xdr:col>6</xdr:col>
      <xdr:colOff>600075</xdr:colOff>
      <xdr:row>0</xdr:row>
      <xdr:rowOff>476250</xdr:rowOff>
    </xdr:to>
    <xdr:sp macro="" textlink="">
      <xdr:nvSpPr>
        <xdr:cNvPr id="73732" name="WordArt 4"/>
        <xdr:cNvSpPr>
          <a:spLocks noChangeArrowheads="1" noChangeShapeType="1" noTextEdit="1"/>
        </xdr:cNvSpPr>
      </xdr:nvSpPr>
      <xdr:spPr bwMode="auto">
        <a:xfrm>
          <a:off x="2571750" y="95250"/>
          <a:ext cx="18478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HOUR</a:t>
          </a:r>
        </a:p>
      </xdr:txBody>
    </xdr:sp>
    <xdr:clientData/>
  </xdr:twoCellAnchor>
  <xdr:twoCellAnchor>
    <xdr:from>
      <xdr:col>2</xdr:col>
      <xdr:colOff>352425</xdr:colOff>
      <xdr:row>0</xdr:row>
      <xdr:rowOff>95250</xdr:rowOff>
    </xdr:from>
    <xdr:to>
      <xdr:col>3</xdr:col>
      <xdr:colOff>352425</xdr:colOff>
      <xdr:row>0</xdr:row>
      <xdr:rowOff>390525</xdr:rowOff>
    </xdr:to>
    <xdr:sp macro="" textlink="">
      <xdr:nvSpPr>
        <xdr:cNvPr id="7373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1811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95250</xdr:rowOff>
    </xdr:from>
    <xdr:to>
      <xdr:col>8</xdr:col>
      <xdr:colOff>38100</xdr:colOff>
      <xdr:row>0</xdr:row>
      <xdr:rowOff>476250</xdr:rowOff>
    </xdr:to>
    <xdr:sp macro="" textlink="">
      <xdr:nvSpPr>
        <xdr:cNvPr id="72708" name="WordArt 4"/>
        <xdr:cNvSpPr>
          <a:spLocks noChangeArrowheads="1" noChangeShapeType="1" noTextEdit="1"/>
        </xdr:cNvSpPr>
      </xdr:nvSpPr>
      <xdr:spPr bwMode="auto">
        <a:xfrm>
          <a:off x="2124075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HLOOKUP</a:t>
          </a:r>
        </a:p>
      </xdr:txBody>
    </xdr:sp>
    <xdr:clientData/>
  </xdr:twoCellAnchor>
  <xdr:twoCellAnchor>
    <xdr:from>
      <xdr:col>1</xdr:col>
      <xdr:colOff>552450</xdr:colOff>
      <xdr:row>0</xdr:row>
      <xdr:rowOff>95250</xdr:rowOff>
    </xdr:from>
    <xdr:to>
      <xdr:col>3</xdr:col>
      <xdr:colOff>276225</xdr:colOff>
      <xdr:row>0</xdr:row>
      <xdr:rowOff>390525</xdr:rowOff>
    </xdr:to>
    <xdr:sp macro="" textlink="">
      <xdr:nvSpPr>
        <xdr:cNvPr id="7270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334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95250</xdr:rowOff>
    </xdr:from>
    <xdr:to>
      <xdr:col>5</xdr:col>
      <xdr:colOff>133350</xdr:colOff>
      <xdr:row>0</xdr:row>
      <xdr:rowOff>476250</xdr:rowOff>
    </xdr:to>
    <xdr:sp macro="" textlink="">
      <xdr:nvSpPr>
        <xdr:cNvPr id="71684" name="WordArt 4"/>
        <xdr:cNvSpPr>
          <a:spLocks noChangeArrowheads="1" noChangeShapeType="1" noTextEdit="1"/>
        </xdr:cNvSpPr>
      </xdr:nvSpPr>
      <xdr:spPr bwMode="auto">
        <a:xfrm>
          <a:off x="1962150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HEX2DEC</a:t>
          </a:r>
        </a:p>
      </xdr:txBody>
    </xdr:sp>
    <xdr:clientData/>
  </xdr:twoCellAnchor>
  <xdr:twoCellAnchor>
    <xdr:from>
      <xdr:col>1</xdr:col>
      <xdr:colOff>390525</xdr:colOff>
      <xdr:row>0</xdr:row>
      <xdr:rowOff>95250</xdr:rowOff>
    </xdr:from>
    <xdr:to>
      <xdr:col>2</xdr:col>
      <xdr:colOff>723900</xdr:colOff>
      <xdr:row>0</xdr:row>
      <xdr:rowOff>390525</xdr:rowOff>
    </xdr:to>
    <xdr:sp macro="" textlink="">
      <xdr:nvSpPr>
        <xdr:cNvPr id="7168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715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133350</xdr:rowOff>
    </xdr:from>
    <xdr:to>
      <xdr:col>7</xdr:col>
      <xdr:colOff>523875</xdr:colOff>
      <xdr:row>0</xdr:row>
      <xdr:rowOff>514350</xdr:rowOff>
    </xdr:to>
    <xdr:sp macro="" textlink="">
      <xdr:nvSpPr>
        <xdr:cNvPr id="70660" name="WordArt 4"/>
        <xdr:cNvSpPr>
          <a:spLocks noChangeArrowheads="1" noChangeShapeType="1" noTextEdit="1"/>
        </xdr:cNvSpPr>
      </xdr:nvSpPr>
      <xdr:spPr bwMode="auto">
        <a:xfrm>
          <a:off x="2000250" y="1333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GESTEP</a:t>
          </a:r>
        </a:p>
      </xdr:txBody>
    </xdr:sp>
    <xdr:clientData/>
  </xdr:twoCellAnchor>
  <xdr:twoCellAnchor>
    <xdr:from>
      <xdr:col>1</xdr:col>
      <xdr:colOff>428625</xdr:colOff>
      <xdr:row>0</xdr:row>
      <xdr:rowOff>133350</xdr:rowOff>
    </xdr:from>
    <xdr:to>
      <xdr:col>3</xdr:col>
      <xdr:colOff>152400</xdr:colOff>
      <xdr:row>0</xdr:row>
      <xdr:rowOff>428625</xdr:rowOff>
    </xdr:to>
    <xdr:sp macro="" textlink="">
      <xdr:nvSpPr>
        <xdr:cNvPr id="7066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09600" y="1333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0</xdr:row>
      <xdr:rowOff>76200</xdr:rowOff>
    </xdr:from>
    <xdr:to>
      <xdr:col>6</xdr:col>
      <xdr:colOff>352425</xdr:colOff>
      <xdr:row>0</xdr:row>
      <xdr:rowOff>457200</xdr:rowOff>
    </xdr:to>
    <xdr:sp macro="" textlink="">
      <xdr:nvSpPr>
        <xdr:cNvPr id="69636" name="WordArt 4"/>
        <xdr:cNvSpPr>
          <a:spLocks noChangeArrowheads="1" noChangeShapeType="1" noTextEdit="1"/>
        </xdr:cNvSpPr>
      </xdr:nvSpPr>
      <xdr:spPr bwMode="auto">
        <a:xfrm>
          <a:off x="2276475" y="76200"/>
          <a:ext cx="1600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GCD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552450</xdr:colOff>
      <xdr:row>0</xdr:row>
      <xdr:rowOff>400050</xdr:rowOff>
    </xdr:to>
    <xdr:sp macro="" textlink="">
      <xdr:nvSpPr>
        <xdr:cNvPr id="6963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76200</xdr:rowOff>
    </xdr:from>
    <xdr:to>
      <xdr:col>6</xdr:col>
      <xdr:colOff>476250</xdr:colOff>
      <xdr:row>0</xdr:row>
      <xdr:rowOff>457200</xdr:rowOff>
    </xdr:to>
    <xdr:sp macro="" textlink="">
      <xdr:nvSpPr>
        <xdr:cNvPr id="67588" name="WordArt 4"/>
        <xdr:cNvSpPr>
          <a:spLocks noChangeArrowheads="1" noChangeShapeType="1" noTextEdit="1"/>
        </xdr:cNvSpPr>
      </xdr:nvSpPr>
      <xdr:spPr bwMode="auto">
        <a:xfrm>
          <a:off x="1676400" y="7620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FREQUENCY</a:t>
          </a:r>
        </a:p>
      </xdr:txBody>
    </xdr:sp>
    <xdr:clientData/>
  </xdr:twoCellAnchor>
  <xdr:twoCellAnchor>
    <xdr:from>
      <xdr:col>1</xdr:col>
      <xdr:colOff>295275</xdr:colOff>
      <xdr:row>0</xdr:row>
      <xdr:rowOff>85725</xdr:rowOff>
    </xdr:from>
    <xdr:to>
      <xdr:col>2</xdr:col>
      <xdr:colOff>504825</xdr:colOff>
      <xdr:row>0</xdr:row>
      <xdr:rowOff>381000</xdr:rowOff>
    </xdr:to>
    <xdr:sp macro="" textlink="">
      <xdr:nvSpPr>
        <xdr:cNvPr id="6758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7625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114300</xdr:rowOff>
    </xdr:from>
    <xdr:to>
      <xdr:col>7</xdr:col>
      <xdr:colOff>419100</xdr:colOff>
      <xdr:row>0</xdr:row>
      <xdr:rowOff>495300</xdr:rowOff>
    </xdr:to>
    <xdr:sp macro="" textlink="">
      <xdr:nvSpPr>
        <xdr:cNvPr id="66564" name="WordArt 4"/>
        <xdr:cNvSpPr>
          <a:spLocks noChangeArrowheads="1" noChangeShapeType="1" noTextEdit="1"/>
        </xdr:cNvSpPr>
      </xdr:nvSpPr>
      <xdr:spPr bwMode="auto">
        <a:xfrm>
          <a:off x="2400300" y="11430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FORECAST</a:t>
          </a:r>
        </a:p>
      </xdr:txBody>
    </xdr:sp>
    <xdr:clientData/>
  </xdr:twoCellAnchor>
  <xdr:twoCellAnchor>
    <xdr:from>
      <xdr:col>2</xdr:col>
      <xdr:colOff>219075</xdr:colOff>
      <xdr:row>0</xdr:row>
      <xdr:rowOff>114300</xdr:rowOff>
    </xdr:from>
    <xdr:to>
      <xdr:col>3</xdr:col>
      <xdr:colOff>390525</xdr:colOff>
      <xdr:row>0</xdr:row>
      <xdr:rowOff>409575</xdr:rowOff>
    </xdr:to>
    <xdr:sp macro="" textlink="">
      <xdr:nvSpPr>
        <xdr:cNvPr id="6656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828675</xdr:colOff>
      <xdr:row>0</xdr:row>
      <xdr:rowOff>95250</xdr:rowOff>
    </xdr:from>
    <xdr:to>
      <xdr:col>6</xdr:col>
      <xdr:colOff>466725</xdr:colOff>
      <xdr:row>0</xdr:row>
      <xdr:rowOff>476250</xdr:rowOff>
    </xdr:to>
    <xdr:sp macro="" textlink="">
      <xdr:nvSpPr>
        <xdr:cNvPr id="65540" name="WordArt 4"/>
        <xdr:cNvSpPr>
          <a:spLocks noChangeArrowheads="1" noChangeShapeType="1" noTextEdit="1"/>
        </xdr:cNvSpPr>
      </xdr:nvSpPr>
      <xdr:spPr bwMode="auto">
        <a:xfrm>
          <a:off x="2228850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FLOOR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552450</xdr:colOff>
      <xdr:row>0</xdr:row>
      <xdr:rowOff>400050</xdr:rowOff>
    </xdr:to>
    <xdr:sp macro="" textlink="">
      <xdr:nvSpPr>
        <xdr:cNvPr id="6554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114300</xdr:rowOff>
    </xdr:from>
    <xdr:to>
      <xdr:col>7</xdr:col>
      <xdr:colOff>457200</xdr:colOff>
      <xdr:row>0</xdr:row>
      <xdr:rowOff>495300</xdr:rowOff>
    </xdr:to>
    <xdr:sp macro="" textlink="">
      <xdr:nvSpPr>
        <xdr:cNvPr id="64516" name="WordArt 4"/>
        <xdr:cNvSpPr>
          <a:spLocks noChangeArrowheads="1" noChangeShapeType="1" noTextEdit="1"/>
        </xdr:cNvSpPr>
      </xdr:nvSpPr>
      <xdr:spPr bwMode="auto">
        <a:xfrm>
          <a:off x="1933575" y="11430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FIXED</a:t>
          </a:r>
        </a:p>
      </xdr:txBody>
    </xdr:sp>
    <xdr:clientData/>
  </xdr:twoCellAnchor>
  <xdr:twoCellAnchor>
    <xdr:from>
      <xdr:col>1</xdr:col>
      <xdr:colOff>361950</xdr:colOff>
      <xdr:row>0</xdr:row>
      <xdr:rowOff>114300</xdr:rowOff>
    </xdr:from>
    <xdr:to>
      <xdr:col>3</xdr:col>
      <xdr:colOff>85725</xdr:colOff>
      <xdr:row>0</xdr:row>
      <xdr:rowOff>409575</xdr:rowOff>
    </xdr:to>
    <xdr:sp macro="" textlink="">
      <xdr:nvSpPr>
        <xdr:cNvPr id="6451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42925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0</xdr:row>
      <xdr:rowOff>104775</xdr:rowOff>
    </xdr:from>
    <xdr:to>
      <xdr:col>5</xdr:col>
      <xdr:colOff>523875</xdr:colOff>
      <xdr:row>0</xdr:row>
      <xdr:rowOff>438150</xdr:rowOff>
    </xdr:to>
    <xdr:sp macro="" textlink="">
      <xdr:nvSpPr>
        <xdr:cNvPr id="63492" name="WordArt 4"/>
        <xdr:cNvSpPr>
          <a:spLocks noChangeArrowheads="1" noChangeShapeType="1" noTextEdit="1"/>
        </xdr:cNvSpPr>
      </xdr:nvSpPr>
      <xdr:spPr bwMode="auto">
        <a:xfrm>
          <a:off x="2152650" y="104775"/>
          <a:ext cx="2095500" cy="3333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FIND</a:t>
          </a:r>
        </a:p>
      </xdr:txBody>
    </xdr:sp>
    <xdr:clientData/>
  </xdr:twoCellAnchor>
  <xdr:twoCellAnchor>
    <xdr:from>
      <xdr:col>1</xdr:col>
      <xdr:colOff>581025</xdr:colOff>
      <xdr:row>0</xdr:row>
      <xdr:rowOff>104775</xdr:rowOff>
    </xdr:from>
    <xdr:to>
      <xdr:col>3</xdr:col>
      <xdr:colOff>19050</xdr:colOff>
      <xdr:row>0</xdr:row>
      <xdr:rowOff>400050</xdr:rowOff>
    </xdr:to>
    <xdr:sp macro="" textlink="">
      <xdr:nvSpPr>
        <xdr:cNvPr id="6349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114300</xdr:rowOff>
    </xdr:from>
    <xdr:to>
      <xdr:col>4</xdr:col>
      <xdr:colOff>428625</xdr:colOff>
      <xdr:row>0</xdr:row>
      <xdr:rowOff>495300</xdr:rowOff>
    </xdr:to>
    <xdr:sp macro="" textlink="">
      <xdr:nvSpPr>
        <xdr:cNvPr id="62468" name="WordArt 4"/>
        <xdr:cNvSpPr>
          <a:spLocks noChangeArrowheads="1" noChangeShapeType="1" noTextEdit="1"/>
        </xdr:cNvSpPr>
      </xdr:nvSpPr>
      <xdr:spPr bwMode="auto">
        <a:xfrm>
          <a:off x="1895475" y="114300"/>
          <a:ext cx="15716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FACT</a:t>
          </a:r>
        </a:p>
      </xdr:txBody>
    </xdr:sp>
    <xdr:clientData/>
  </xdr:twoCellAnchor>
  <xdr:twoCellAnchor>
    <xdr:from>
      <xdr:col>1</xdr:col>
      <xdr:colOff>438150</xdr:colOff>
      <xdr:row>0</xdr:row>
      <xdr:rowOff>114300</xdr:rowOff>
    </xdr:from>
    <xdr:to>
      <xdr:col>3</xdr:col>
      <xdr:colOff>161925</xdr:colOff>
      <xdr:row>0</xdr:row>
      <xdr:rowOff>409575</xdr:rowOff>
    </xdr:to>
    <xdr:sp macro="" textlink="">
      <xdr:nvSpPr>
        <xdr:cNvPr id="6246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19125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0</xdr:row>
      <xdr:rowOff>104775</xdr:rowOff>
    </xdr:from>
    <xdr:to>
      <xdr:col>8</xdr:col>
      <xdr:colOff>314325</xdr:colOff>
      <xdr:row>0</xdr:row>
      <xdr:rowOff>485775</xdr:rowOff>
    </xdr:to>
    <xdr:sp macro="" textlink="">
      <xdr:nvSpPr>
        <xdr:cNvPr id="61444" name="WordArt 4"/>
        <xdr:cNvSpPr>
          <a:spLocks noChangeArrowheads="1" noChangeShapeType="1" noTextEdit="1"/>
        </xdr:cNvSpPr>
      </xdr:nvSpPr>
      <xdr:spPr bwMode="auto">
        <a:xfrm>
          <a:off x="240030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EXACT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552450</xdr:colOff>
      <xdr:row>0</xdr:row>
      <xdr:rowOff>400050</xdr:rowOff>
    </xdr:to>
    <xdr:sp macro="" textlink="">
      <xdr:nvSpPr>
        <xdr:cNvPr id="6144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771525</xdr:colOff>
      <xdr:row>0</xdr:row>
      <xdr:rowOff>104775</xdr:rowOff>
    </xdr:from>
    <xdr:to>
      <xdr:col>6</xdr:col>
      <xdr:colOff>571500</xdr:colOff>
      <xdr:row>0</xdr:row>
      <xdr:rowOff>485775</xdr:rowOff>
    </xdr:to>
    <xdr:sp macro="" textlink="">
      <xdr:nvSpPr>
        <xdr:cNvPr id="60420" name="WordArt 4"/>
        <xdr:cNvSpPr>
          <a:spLocks noChangeArrowheads="1" noChangeShapeType="1" noTextEdit="1"/>
        </xdr:cNvSpPr>
      </xdr:nvSpPr>
      <xdr:spPr bwMode="auto">
        <a:xfrm>
          <a:off x="240030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EVEN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323850</xdr:colOff>
      <xdr:row>0</xdr:row>
      <xdr:rowOff>400050</xdr:rowOff>
    </xdr:to>
    <xdr:sp macro="" textlink="">
      <xdr:nvSpPr>
        <xdr:cNvPr id="6042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104775</xdr:rowOff>
    </xdr:from>
    <xdr:to>
      <xdr:col>6</xdr:col>
      <xdr:colOff>238125</xdr:colOff>
      <xdr:row>0</xdr:row>
      <xdr:rowOff>485775</xdr:rowOff>
    </xdr:to>
    <xdr:sp macro="" textlink="">
      <xdr:nvSpPr>
        <xdr:cNvPr id="59398" name="WordArt 6"/>
        <xdr:cNvSpPr>
          <a:spLocks noChangeArrowheads="1" noChangeShapeType="1" noTextEdit="1"/>
        </xdr:cNvSpPr>
      </xdr:nvSpPr>
      <xdr:spPr bwMode="auto">
        <a:xfrm>
          <a:off x="203835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ERROR.TYPE</a:t>
          </a:r>
        </a:p>
      </xdr:txBody>
    </xdr:sp>
    <xdr:clientData/>
  </xdr:twoCellAnchor>
  <xdr:twoCellAnchor>
    <xdr:from>
      <xdr:col>1</xdr:col>
      <xdr:colOff>466725</xdr:colOff>
      <xdr:row>0</xdr:row>
      <xdr:rowOff>104775</xdr:rowOff>
    </xdr:from>
    <xdr:to>
      <xdr:col>3</xdr:col>
      <xdr:colOff>190500</xdr:colOff>
      <xdr:row>0</xdr:row>
      <xdr:rowOff>400050</xdr:rowOff>
    </xdr:to>
    <xdr:sp macro="" textlink="">
      <xdr:nvSpPr>
        <xdr:cNvPr id="59399" name="AutoShape 7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477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0</xdr:row>
      <xdr:rowOff>104775</xdr:rowOff>
    </xdr:from>
    <xdr:to>
      <xdr:col>6</xdr:col>
      <xdr:colOff>28575</xdr:colOff>
      <xdr:row>0</xdr:row>
      <xdr:rowOff>485775</xdr:rowOff>
    </xdr:to>
    <xdr:sp macro="" textlink="">
      <xdr:nvSpPr>
        <xdr:cNvPr id="58372" name="WordArt 4"/>
        <xdr:cNvSpPr>
          <a:spLocks noChangeArrowheads="1" noChangeShapeType="1" noTextEdit="1"/>
        </xdr:cNvSpPr>
      </xdr:nvSpPr>
      <xdr:spPr bwMode="auto">
        <a:xfrm>
          <a:off x="2409825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EOMONTH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428625</xdr:colOff>
      <xdr:row>0</xdr:row>
      <xdr:rowOff>400050</xdr:rowOff>
    </xdr:to>
    <xdr:sp macro="" textlink="">
      <xdr:nvSpPr>
        <xdr:cNvPr id="5837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1917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0</xdr:row>
      <xdr:rowOff>104775</xdr:rowOff>
    </xdr:from>
    <xdr:to>
      <xdr:col>6</xdr:col>
      <xdr:colOff>66675</xdr:colOff>
      <xdr:row>0</xdr:row>
      <xdr:rowOff>485775</xdr:rowOff>
    </xdr:to>
    <xdr:sp macro="" textlink="">
      <xdr:nvSpPr>
        <xdr:cNvPr id="57348" name="WordArt 4"/>
        <xdr:cNvSpPr>
          <a:spLocks noChangeArrowheads="1" noChangeShapeType="1" noTextEdit="1"/>
        </xdr:cNvSpPr>
      </xdr:nvSpPr>
      <xdr:spPr bwMode="auto">
        <a:xfrm>
          <a:off x="251460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EDATE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266700</xdr:colOff>
      <xdr:row>0</xdr:row>
      <xdr:rowOff>400050</xdr:rowOff>
    </xdr:to>
    <xdr:sp macro="" textlink="">
      <xdr:nvSpPr>
        <xdr:cNvPr id="5734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1239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104775</xdr:rowOff>
    </xdr:from>
    <xdr:to>
      <xdr:col>8</xdr:col>
      <xdr:colOff>152400</xdr:colOff>
      <xdr:row>0</xdr:row>
      <xdr:rowOff>485775</xdr:rowOff>
    </xdr:to>
    <xdr:sp macro="" textlink="">
      <xdr:nvSpPr>
        <xdr:cNvPr id="55300" name="WordArt 4"/>
        <xdr:cNvSpPr>
          <a:spLocks noChangeArrowheads="1" noChangeShapeType="1" noTextEdit="1"/>
        </xdr:cNvSpPr>
      </xdr:nvSpPr>
      <xdr:spPr bwMode="auto">
        <a:xfrm>
          <a:off x="2238375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DSUM</a:t>
          </a:r>
        </a:p>
      </xdr:txBody>
    </xdr:sp>
    <xdr:clientData/>
  </xdr:twoCellAnchor>
  <xdr:twoCellAnchor>
    <xdr:from>
      <xdr:col>2</xdr:col>
      <xdr:colOff>57150</xdr:colOff>
      <xdr:row>0</xdr:row>
      <xdr:rowOff>104775</xdr:rowOff>
    </xdr:from>
    <xdr:to>
      <xdr:col>3</xdr:col>
      <xdr:colOff>390525</xdr:colOff>
      <xdr:row>0</xdr:row>
      <xdr:rowOff>400050</xdr:rowOff>
    </xdr:to>
    <xdr:sp macro="" textlink="">
      <xdr:nvSpPr>
        <xdr:cNvPr id="5530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4772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104775</xdr:rowOff>
    </xdr:from>
    <xdr:to>
      <xdr:col>7</xdr:col>
      <xdr:colOff>133350</xdr:colOff>
      <xdr:row>0</xdr:row>
      <xdr:rowOff>485775</xdr:rowOff>
    </xdr:to>
    <xdr:sp macro="" textlink="">
      <xdr:nvSpPr>
        <xdr:cNvPr id="54276" name="WordArt 4"/>
        <xdr:cNvSpPr>
          <a:spLocks noChangeArrowheads="1" noChangeShapeType="1" noTextEdit="1"/>
        </xdr:cNvSpPr>
      </xdr:nvSpPr>
      <xdr:spPr bwMode="auto">
        <a:xfrm>
          <a:off x="192405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DOLLAR</a:t>
          </a:r>
        </a:p>
      </xdr:txBody>
    </xdr:sp>
    <xdr:clientData/>
  </xdr:twoCellAnchor>
  <xdr:twoCellAnchor>
    <xdr:from>
      <xdr:col>1</xdr:col>
      <xdr:colOff>257175</xdr:colOff>
      <xdr:row>0</xdr:row>
      <xdr:rowOff>104775</xdr:rowOff>
    </xdr:from>
    <xdr:to>
      <xdr:col>2</xdr:col>
      <xdr:colOff>590550</xdr:colOff>
      <xdr:row>0</xdr:row>
      <xdr:rowOff>400050</xdr:rowOff>
    </xdr:to>
    <xdr:sp macro="" textlink="">
      <xdr:nvSpPr>
        <xdr:cNvPr id="5427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334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114300</xdr:rowOff>
    </xdr:from>
    <xdr:to>
      <xdr:col>7</xdr:col>
      <xdr:colOff>314325</xdr:colOff>
      <xdr:row>0</xdr:row>
      <xdr:rowOff>495300</xdr:rowOff>
    </xdr:to>
    <xdr:sp macro="" textlink="">
      <xdr:nvSpPr>
        <xdr:cNvPr id="53252" name="WordArt 4"/>
        <xdr:cNvSpPr>
          <a:spLocks noChangeArrowheads="1" noChangeShapeType="1" noTextEdit="1"/>
        </xdr:cNvSpPr>
      </xdr:nvSpPr>
      <xdr:spPr bwMode="auto">
        <a:xfrm>
          <a:off x="1790700" y="11430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DMIN</a:t>
          </a:r>
        </a:p>
      </xdr:txBody>
    </xdr:sp>
    <xdr:clientData/>
  </xdr:twoCellAnchor>
  <xdr:twoCellAnchor>
    <xdr:from>
      <xdr:col>1</xdr:col>
      <xdr:colOff>371475</xdr:colOff>
      <xdr:row>0</xdr:row>
      <xdr:rowOff>133350</xdr:rowOff>
    </xdr:from>
    <xdr:to>
      <xdr:col>3</xdr:col>
      <xdr:colOff>95250</xdr:colOff>
      <xdr:row>0</xdr:row>
      <xdr:rowOff>428625</xdr:rowOff>
    </xdr:to>
    <xdr:sp macro="" textlink="">
      <xdr:nvSpPr>
        <xdr:cNvPr id="5325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52450" y="1333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104775</xdr:rowOff>
    </xdr:from>
    <xdr:to>
      <xdr:col>7</xdr:col>
      <xdr:colOff>381000</xdr:colOff>
      <xdr:row>0</xdr:row>
      <xdr:rowOff>485775</xdr:rowOff>
    </xdr:to>
    <xdr:sp macro="" textlink="">
      <xdr:nvSpPr>
        <xdr:cNvPr id="52228" name="WordArt 4"/>
        <xdr:cNvSpPr>
          <a:spLocks noChangeArrowheads="1" noChangeShapeType="1" noTextEdit="1"/>
        </xdr:cNvSpPr>
      </xdr:nvSpPr>
      <xdr:spPr bwMode="auto">
        <a:xfrm>
          <a:off x="2076450" y="104775"/>
          <a:ext cx="21431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DMAX</a:t>
          </a:r>
        </a:p>
      </xdr:txBody>
    </xdr:sp>
    <xdr:clientData/>
  </xdr:twoCellAnchor>
  <xdr:twoCellAnchor>
    <xdr:from>
      <xdr:col>1</xdr:col>
      <xdr:colOff>504825</xdr:colOff>
      <xdr:row>0</xdr:row>
      <xdr:rowOff>104775</xdr:rowOff>
    </xdr:from>
    <xdr:to>
      <xdr:col>3</xdr:col>
      <xdr:colOff>228600</xdr:colOff>
      <xdr:row>0</xdr:row>
      <xdr:rowOff>400050</xdr:rowOff>
    </xdr:to>
    <xdr:sp macro="" textlink="">
      <xdr:nvSpPr>
        <xdr:cNvPr id="5222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858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0</xdr:row>
      <xdr:rowOff>104775</xdr:rowOff>
    </xdr:from>
    <xdr:to>
      <xdr:col>7</xdr:col>
      <xdr:colOff>333375</xdr:colOff>
      <xdr:row>0</xdr:row>
      <xdr:rowOff>485775</xdr:rowOff>
    </xdr:to>
    <xdr:sp macro="" textlink="">
      <xdr:nvSpPr>
        <xdr:cNvPr id="51204" name="WordArt 4"/>
        <xdr:cNvSpPr>
          <a:spLocks noChangeArrowheads="1" noChangeShapeType="1" noTextEdit="1"/>
        </xdr:cNvSpPr>
      </xdr:nvSpPr>
      <xdr:spPr bwMode="auto">
        <a:xfrm>
          <a:off x="2400300" y="104775"/>
          <a:ext cx="17716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DGET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552450</xdr:colOff>
      <xdr:row>0</xdr:row>
      <xdr:rowOff>400050</xdr:rowOff>
    </xdr:to>
    <xdr:sp macro="" textlink="">
      <xdr:nvSpPr>
        <xdr:cNvPr id="5120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638175</xdr:colOff>
      <xdr:row>0</xdr:row>
      <xdr:rowOff>104775</xdr:rowOff>
    </xdr:from>
    <xdr:to>
      <xdr:col>7</xdr:col>
      <xdr:colOff>514350</xdr:colOff>
      <xdr:row>0</xdr:row>
      <xdr:rowOff>447675</xdr:rowOff>
    </xdr:to>
    <xdr:sp macro="" textlink="">
      <xdr:nvSpPr>
        <xdr:cNvPr id="50180" name="WordArt 4"/>
        <xdr:cNvSpPr>
          <a:spLocks noChangeArrowheads="1" noChangeShapeType="1" noTextEdit="1"/>
        </xdr:cNvSpPr>
      </xdr:nvSpPr>
      <xdr:spPr bwMode="auto">
        <a:xfrm>
          <a:off x="2038350" y="104775"/>
          <a:ext cx="2362200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DELTA</a:t>
          </a:r>
        </a:p>
      </xdr:txBody>
    </xdr:sp>
    <xdr:clientData/>
  </xdr:twoCellAnchor>
  <xdr:twoCellAnchor>
    <xdr:from>
      <xdr:col>1</xdr:col>
      <xdr:colOff>466725</xdr:colOff>
      <xdr:row>0</xdr:row>
      <xdr:rowOff>104775</xdr:rowOff>
    </xdr:from>
    <xdr:to>
      <xdr:col>3</xdr:col>
      <xdr:colOff>190500</xdr:colOff>
      <xdr:row>0</xdr:row>
      <xdr:rowOff>400050</xdr:rowOff>
    </xdr:to>
    <xdr:sp macro="" textlink="">
      <xdr:nvSpPr>
        <xdr:cNvPr id="5018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477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0</xdr:row>
      <xdr:rowOff>66675</xdr:rowOff>
    </xdr:from>
    <xdr:to>
      <xdr:col>6</xdr:col>
      <xdr:colOff>161925</xdr:colOff>
      <xdr:row>0</xdr:row>
      <xdr:rowOff>447675</xdr:rowOff>
    </xdr:to>
    <xdr:sp macro="" textlink="">
      <xdr:nvSpPr>
        <xdr:cNvPr id="49156" name="WordArt 4"/>
        <xdr:cNvSpPr>
          <a:spLocks noChangeArrowheads="1" noChangeShapeType="1" noTextEdit="1"/>
        </xdr:cNvSpPr>
      </xdr:nvSpPr>
      <xdr:spPr bwMode="auto">
        <a:xfrm>
          <a:off x="2257425" y="666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DEC2HEX</a:t>
          </a:r>
        </a:p>
      </xdr:txBody>
    </xdr:sp>
    <xdr:clientData/>
  </xdr:twoCellAnchor>
  <xdr:twoCellAnchor>
    <xdr:from>
      <xdr:col>2</xdr:col>
      <xdr:colOff>219075</xdr:colOff>
      <xdr:row>0</xdr:row>
      <xdr:rowOff>104775</xdr:rowOff>
    </xdr:from>
    <xdr:to>
      <xdr:col>3</xdr:col>
      <xdr:colOff>142875</xdr:colOff>
      <xdr:row>0</xdr:row>
      <xdr:rowOff>400050</xdr:rowOff>
    </xdr:to>
    <xdr:sp macro="" textlink="">
      <xdr:nvSpPr>
        <xdr:cNvPr id="4915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104775</xdr:rowOff>
    </xdr:from>
    <xdr:to>
      <xdr:col>5</xdr:col>
      <xdr:colOff>342900</xdr:colOff>
      <xdr:row>0</xdr:row>
      <xdr:rowOff>485775</xdr:rowOff>
    </xdr:to>
    <xdr:sp macro="" textlink="">
      <xdr:nvSpPr>
        <xdr:cNvPr id="48132" name="WordArt 4"/>
        <xdr:cNvSpPr>
          <a:spLocks noChangeArrowheads="1" noChangeShapeType="1" noTextEdit="1"/>
        </xdr:cNvSpPr>
      </xdr:nvSpPr>
      <xdr:spPr bwMode="auto">
        <a:xfrm>
          <a:off x="179070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DEC2BIN</a:t>
          </a:r>
        </a:p>
      </xdr:txBody>
    </xdr:sp>
    <xdr:clientData/>
  </xdr:twoCellAnchor>
  <xdr:twoCellAnchor>
    <xdr:from>
      <xdr:col>1</xdr:col>
      <xdr:colOff>219075</xdr:colOff>
      <xdr:row>0</xdr:row>
      <xdr:rowOff>104775</xdr:rowOff>
    </xdr:from>
    <xdr:to>
      <xdr:col>2</xdr:col>
      <xdr:colOff>552450</xdr:colOff>
      <xdr:row>0</xdr:row>
      <xdr:rowOff>400050</xdr:rowOff>
    </xdr:to>
    <xdr:sp macro="" textlink="">
      <xdr:nvSpPr>
        <xdr:cNvPr id="4813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000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0</xdr:row>
      <xdr:rowOff>47625</xdr:rowOff>
    </xdr:from>
    <xdr:to>
      <xdr:col>7</xdr:col>
      <xdr:colOff>276225</xdr:colOff>
      <xdr:row>0</xdr:row>
      <xdr:rowOff>485775</xdr:rowOff>
    </xdr:to>
    <xdr:sp macro="" textlink="">
      <xdr:nvSpPr>
        <xdr:cNvPr id="47108" name="WordArt 4"/>
        <xdr:cNvSpPr>
          <a:spLocks noChangeArrowheads="1" noChangeShapeType="1" noTextEdit="1"/>
        </xdr:cNvSpPr>
      </xdr:nvSpPr>
      <xdr:spPr bwMode="auto">
        <a:xfrm>
          <a:off x="1752600" y="47625"/>
          <a:ext cx="2362200" cy="4381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DCOUNTA</a:t>
          </a:r>
        </a:p>
      </xdr:txBody>
    </xdr:sp>
    <xdr:clientData/>
  </xdr:twoCellAnchor>
  <xdr:twoCellAnchor>
    <xdr:from>
      <xdr:col>1</xdr:col>
      <xdr:colOff>200025</xdr:colOff>
      <xdr:row>0</xdr:row>
      <xdr:rowOff>76200</xdr:rowOff>
    </xdr:from>
    <xdr:to>
      <xdr:col>2</xdr:col>
      <xdr:colOff>533400</xdr:colOff>
      <xdr:row>0</xdr:row>
      <xdr:rowOff>371475</xdr:rowOff>
    </xdr:to>
    <xdr:sp macro="" textlink="">
      <xdr:nvSpPr>
        <xdr:cNvPr id="4710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38100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85725</xdr:rowOff>
    </xdr:from>
    <xdr:to>
      <xdr:col>7</xdr:col>
      <xdr:colOff>304800</xdr:colOff>
      <xdr:row>0</xdr:row>
      <xdr:rowOff>466725</xdr:rowOff>
    </xdr:to>
    <xdr:sp macro="" textlink="">
      <xdr:nvSpPr>
        <xdr:cNvPr id="46084" name="WordArt 4"/>
        <xdr:cNvSpPr>
          <a:spLocks noChangeArrowheads="1" noChangeShapeType="1" noTextEdit="1"/>
        </xdr:cNvSpPr>
      </xdr:nvSpPr>
      <xdr:spPr bwMode="auto">
        <a:xfrm>
          <a:off x="1781175" y="8572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DCOUNT</a:t>
          </a:r>
        </a:p>
      </xdr:txBody>
    </xdr:sp>
    <xdr:clientData/>
  </xdr:twoCellAnchor>
  <xdr:twoCellAnchor>
    <xdr:from>
      <xdr:col>1</xdr:col>
      <xdr:colOff>209550</xdr:colOff>
      <xdr:row>0</xdr:row>
      <xdr:rowOff>85725</xdr:rowOff>
    </xdr:from>
    <xdr:to>
      <xdr:col>2</xdr:col>
      <xdr:colOff>542925</xdr:colOff>
      <xdr:row>0</xdr:row>
      <xdr:rowOff>381000</xdr:rowOff>
    </xdr:to>
    <xdr:sp macro="" textlink="">
      <xdr:nvSpPr>
        <xdr:cNvPr id="4608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390525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85725</xdr:rowOff>
    </xdr:from>
    <xdr:to>
      <xdr:col>5</xdr:col>
      <xdr:colOff>180975</xdr:colOff>
      <xdr:row>0</xdr:row>
      <xdr:rowOff>466725</xdr:rowOff>
    </xdr:to>
    <xdr:sp macro="" textlink="">
      <xdr:nvSpPr>
        <xdr:cNvPr id="45060" name="WordArt 4"/>
        <xdr:cNvSpPr>
          <a:spLocks noChangeArrowheads="1" noChangeShapeType="1" noTextEdit="1"/>
        </xdr:cNvSpPr>
      </xdr:nvSpPr>
      <xdr:spPr bwMode="auto">
        <a:xfrm>
          <a:off x="2152650" y="85725"/>
          <a:ext cx="9620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DB</a:t>
          </a:r>
        </a:p>
      </xdr:txBody>
    </xdr:sp>
    <xdr:clientData/>
  </xdr:twoCellAnchor>
  <xdr:twoCellAnchor>
    <xdr:from>
      <xdr:col>1</xdr:col>
      <xdr:colOff>581025</xdr:colOff>
      <xdr:row>0</xdr:row>
      <xdr:rowOff>85725</xdr:rowOff>
    </xdr:from>
    <xdr:to>
      <xdr:col>3</xdr:col>
      <xdr:colOff>304800</xdr:colOff>
      <xdr:row>0</xdr:row>
      <xdr:rowOff>381000</xdr:rowOff>
    </xdr:to>
    <xdr:sp macro="" textlink="">
      <xdr:nvSpPr>
        <xdr:cNvPr id="4506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66675</xdr:rowOff>
    </xdr:from>
    <xdr:to>
      <xdr:col>5</xdr:col>
      <xdr:colOff>838200</xdr:colOff>
      <xdr:row>0</xdr:row>
      <xdr:rowOff>447675</xdr:rowOff>
    </xdr:to>
    <xdr:sp macro="" textlink="">
      <xdr:nvSpPr>
        <xdr:cNvPr id="44036" name="WordArt 4"/>
        <xdr:cNvSpPr>
          <a:spLocks noChangeArrowheads="1" noChangeShapeType="1" noTextEdit="1"/>
        </xdr:cNvSpPr>
      </xdr:nvSpPr>
      <xdr:spPr bwMode="auto">
        <a:xfrm>
          <a:off x="1952625" y="666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DAYS360</a:t>
          </a:r>
        </a:p>
      </xdr:txBody>
    </xdr:sp>
    <xdr:clientData/>
  </xdr:twoCellAnchor>
  <xdr:twoCellAnchor>
    <xdr:from>
      <xdr:col>1</xdr:col>
      <xdr:colOff>514350</xdr:colOff>
      <xdr:row>0</xdr:row>
      <xdr:rowOff>104775</xdr:rowOff>
    </xdr:from>
    <xdr:to>
      <xdr:col>2</xdr:col>
      <xdr:colOff>733425</xdr:colOff>
      <xdr:row>0</xdr:row>
      <xdr:rowOff>400050</xdr:rowOff>
    </xdr:to>
    <xdr:sp macro="" textlink="">
      <xdr:nvSpPr>
        <xdr:cNvPr id="4403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9532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0</xdr:row>
      <xdr:rowOff>85725</xdr:rowOff>
    </xdr:from>
    <xdr:to>
      <xdr:col>4</xdr:col>
      <xdr:colOff>847725</xdr:colOff>
      <xdr:row>0</xdr:row>
      <xdr:rowOff>466725</xdr:rowOff>
    </xdr:to>
    <xdr:sp macro="" textlink="">
      <xdr:nvSpPr>
        <xdr:cNvPr id="43012" name="WordArt 4"/>
        <xdr:cNvSpPr>
          <a:spLocks noChangeArrowheads="1" noChangeShapeType="1" noTextEdit="1"/>
        </xdr:cNvSpPr>
      </xdr:nvSpPr>
      <xdr:spPr bwMode="auto">
        <a:xfrm>
          <a:off x="1962150" y="85725"/>
          <a:ext cx="12954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DAY</a:t>
          </a:r>
        </a:p>
      </xdr:txBody>
    </xdr:sp>
    <xdr:clientData/>
  </xdr:twoCellAnchor>
  <xdr:twoCellAnchor>
    <xdr:from>
      <xdr:col>2</xdr:col>
      <xdr:colOff>104775</xdr:colOff>
      <xdr:row>0</xdr:row>
      <xdr:rowOff>57150</xdr:rowOff>
    </xdr:from>
    <xdr:to>
      <xdr:col>3</xdr:col>
      <xdr:colOff>66675</xdr:colOff>
      <xdr:row>0</xdr:row>
      <xdr:rowOff>352425</xdr:rowOff>
    </xdr:to>
    <xdr:sp macro="" textlink="">
      <xdr:nvSpPr>
        <xdr:cNvPr id="4301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00075" y="571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85725</xdr:rowOff>
    </xdr:from>
    <xdr:to>
      <xdr:col>7</xdr:col>
      <xdr:colOff>161925</xdr:colOff>
      <xdr:row>0</xdr:row>
      <xdr:rowOff>466725</xdr:rowOff>
    </xdr:to>
    <xdr:sp macro="" textlink="">
      <xdr:nvSpPr>
        <xdr:cNvPr id="41988" name="WordArt 4"/>
        <xdr:cNvSpPr>
          <a:spLocks noChangeArrowheads="1" noChangeShapeType="1" noTextEdit="1"/>
        </xdr:cNvSpPr>
      </xdr:nvSpPr>
      <xdr:spPr bwMode="auto">
        <a:xfrm>
          <a:off x="1638300" y="8572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DAVERAGE</a:t>
          </a:r>
        </a:p>
      </xdr:txBody>
    </xdr:sp>
    <xdr:clientData/>
  </xdr:twoCellAnchor>
  <xdr:twoCellAnchor>
    <xdr:from>
      <xdr:col>1</xdr:col>
      <xdr:colOff>295275</xdr:colOff>
      <xdr:row>0</xdr:row>
      <xdr:rowOff>85725</xdr:rowOff>
    </xdr:from>
    <xdr:to>
      <xdr:col>3</xdr:col>
      <xdr:colOff>19050</xdr:colOff>
      <xdr:row>0</xdr:row>
      <xdr:rowOff>381000</xdr:rowOff>
    </xdr:to>
    <xdr:sp macro="" textlink="">
      <xdr:nvSpPr>
        <xdr:cNvPr id="4198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7625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104775</xdr:rowOff>
    </xdr:from>
    <xdr:to>
      <xdr:col>5</xdr:col>
      <xdr:colOff>514350</xdr:colOff>
      <xdr:row>0</xdr:row>
      <xdr:rowOff>485775</xdr:rowOff>
    </xdr:to>
    <xdr:sp macro="" textlink="">
      <xdr:nvSpPr>
        <xdr:cNvPr id="40964" name="WordArt 4"/>
        <xdr:cNvSpPr>
          <a:spLocks noChangeArrowheads="1" noChangeShapeType="1" noTextEdit="1"/>
        </xdr:cNvSpPr>
      </xdr:nvSpPr>
      <xdr:spPr bwMode="auto">
        <a:xfrm>
          <a:off x="1685925" y="104775"/>
          <a:ext cx="29146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DATEVALUE</a:t>
          </a:r>
        </a:p>
      </xdr:txBody>
    </xdr:sp>
    <xdr:clientData/>
  </xdr:twoCellAnchor>
  <xdr:twoCellAnchor>
    <xdr:from>
      <xdr:col>1</xdr:col>
      <xdr:colOff>114300</xdr:colOff>
      <xdr:row>0</xdr:row>
      <xdr:rowOff>104775</xdr:rowOff>
    </xdr:from>
    <xdr:to>
      <xdr:col>2</xdr:col>
      <xdr:colOff>742950</xdr:colOff>
      <xdr:row>0</xdr:row>
      <xdr:rowOff>400050</xdr:rowOff>
    </xdr:to>
    <xdr:sp macro="" textlink="">
      <xdr:nvSpPr>
        <xdr:cNvPr id="4096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29527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85725</xdr:rowOff>
    </xdr:from>
    <xdr:to>
      <xdr:col>6</xdr:col>
      <xdr:colOff>304800</xdr:colOff>
      <xdr:row>0</xdr:row>
      <xdr:rowOff>466725</xdr:rowOff>
    </xdr:to>
    <xdr:sp macro="" textlink="">
      <xdr:nvSpPr>
        <xdr:cNvPr id="39940" name="WordArt 4"/>
        <xdr:cNvSpPr>
          <a:spLocks noChangeArrowheads="1" noChangeShapeType="1" noTextEdit="1"/>
        </xdr:cNvSpPr>
      </xdr:nvSpPr>
      <xdr:spPr bwMode="auto">
        <a:xfrm>
          <a:off x="1876425" y="85725"/>
          <a:ext cx="24669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DATEDIF</a:t>
          </a:r>
        </a:p>
      </xdr:txBody>
    </xdr:sp>
    <xdr:clientData/>
  </xdr:twoCellAnchor>
  <xdr:twoCellAnchor>
    <xdr:from>
      <xdr:col>1</xdr:col>
      <xdr:colOff>409575</xdr:colOff>
      <xdr:row>0</xdr:row>
      <xdr:rowOff>85725</xdr:rowOff>
    </xdr:from>
    <xdr:to>
      <xdr:col>2</xdr:col>
      <xdr:colOff>742950</xdr:colOff>
      <xdr:row>0</xdr:row>
      <xdr:rowOff>381000</xdr:rowOff>
    </xdr:to>
    <xdr:sp macro="" textlink="">
      <xdr:nvSpPr>
        <xdr:cNvPr id="3994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9055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0</xdr:row>
      <xdr:rowOff>104775</xdr:rowOff>
    </xdr:from>
    <xdr:to>
      <xdr:col>6</xdr:col>
      <xdr:colOff>733425</xdr:colOff>
      <xdr:row>0</xdr:row>
      <xdr:rowOff>485775</xdr:rowOff>
    </xdr:to>
    <xdr:sp macro="" textlink="">
      <xdr:nvSpPr>
        <xdr:cNvPr id="38916" name="WordArt 4"/>
        <xdr:cNvSpPr>
          <a:spLocks noChangeArrowheads="1" noChangeShapeType="1" noTextEdit="1"/>
        </xdr:cNvSpPr>
      </xdr:nvSpPr>
      <xdr:spPr bwMode="auto">
        <a:xfrm>
          <a:off x="1981200" y="104775"/>
          <a:ext cx="18954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DATE</a:t>
          </a:r>
        </a:p>
      </xdr:txBody>
    </xdr:sp>
    <xdr:clientData/>
  </xdr:twoCellAnchor>
  <xdr:twoCellAnchor>
    <xdr:from>
      <xdr:col>2</xdr:col>
      <xdr:colOff>104775</xdr:colOff>
      <xdr:row>0</xdr:row>
      <xdr:rowOff>104775</xdr:rowOff>
    </xdr:from>
    <xdr:to>
      <xdr:col>4</xdr:col>
      <xdr:colOff>285750</xdr:colOff>
      <xdr:row>0</xdr:row>
      <xdr:rowOff>400050</xdr:rowOff>
    </xdr:to>
    <xdr:sp macro="" textlink="">
      <xdr:nvSpPr>
        <xdr:cNvPr id="3891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905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95250</xdr:rowOff>
    </xdr:from>
    <xdr:to>
      <xdr:col>6</xdr:col>
      <xdr:colOff>609600</xdr:colOff>
      <xdr:row>0</xdr:row>
      <xdr:rowOff>476250</xdr:rowOff>
    </xdr:to>
    <xdr:sp macro="" textlink="">
      <xdr:nvSpPr>
        <xdr:cNvPr id="37892" name="WordArt 4"/>
        <xdr:cNvSpPr>
          <a:spLocks noChangeArrowheads="1" noChangeShapeType="1" noTextEdit="1"/>
        </xdr:cNvSpPr>
      </xdr:nvSpPr>
      <xdr:spPr bwMode="auto">
        <a:xfrm>
          <a:off x="1838325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COUNTIF</a:t>
          </a:r>
        </a:p>
      </xdr:txBody>
    </xdr:sp>
    <xdr:clientData/>
  </xdr:twoCellAnchor>
  <xdr:twoCellAnchor>
    <xdr:from>
      <xdr:col>1</xdr:col>
      <xdr:colOff>266700</xdr:colOff>
      <xdr:row>0</xdr:row>
      <xdr:rowOff>95250</xdr:rowOff>
    </xdr:from>
    <xdr:to>
      <xdr:col>2</xdr:col>
      <xdr:colOff>600075</xdr:colOff>
      <xdr:row>0</xdr:row>
      <xdr:rowOff>390525</xdr:rowOff>
    </xdr:to>
    <xdr:sp macro="" textlink="">
      <xdr:nvSpPr>
        <xdr:cNvPr id="3789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4767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0</xdr:row>
      <xdr:rowOff>76200</xdr:rowOff>
    </xdr:from>
    <xdr:to>
      <xdr:col>7</xdr:col>
      <xdr:colOff>238125</xdr:colOff>
      <xdr:row>0</xdr:row>
      <xdr:rowOff>457200</xdr:rowOff>
    </xdr:to>
    <xdr:sp macro="" textlink="">
      <xdr:nvSpPr>
        <xdr:cNvPr id="36868" name="WordArt 4"/>
        <xdr:cNvSpPr>
          <a:spLocks noChangeArrowheads="1" noChangeShapeType="1" noTextEdit="1"/>
        </xdr:cNvSpPr>
      </xdr:nvSpPr>
      <xdr:spPr bwMode="auto">
        <a:xfrm>
          <a:off x="1590675" y="76200"/>
          <a:ext cx="29051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COUNTBLANK</a:t>
          </a:r>
        </a:p>
      </xdr:txBody>
    </xdr:sp>
    <xdr:clientData/>
  </xdr:twoCellAnchor>
  <xdr:twoCellAnchor>
    <xdr:from>
      <xdr:col>1</xdr:col>
      <xdr:colOff>161925</xdr:colOff>
      <xdr:row>0</xdr:row>
      <xdr:rowOff>76200</xdr:rowOff>
    </xdr:from>
    <xdr:to>
      <xdr:col>2</xdr:col>
      <xdr:colOff>495300</xdr:colOff>
      <xdr:row>0</xdr:row>
      <xdr:rowOff>371475</xdr:rowOff>
    </xdr:to>
    <xdr:sp macro="" textlink="">
      <xdr:nvSpPr>
        <xdr:cNvPr id="3686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342900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0</xdr:row>
      <xdr:rowOff>104775</xdr:rowOff>
    </xdr:from>
    <xdr:to>
      <xdr:col>8</xdr:col>
      <xdr:colOff>76200</xdr:colOff>
      <xdr:row>0</xdr:row>
      <xdr:rowOff>485775</xdr:rowOff>
    </xdr:to>
    <xdr:sp macro="" textlink="">
      <xdr:nvSpPr>
        <xdr:cNvPr id="35844" name="WordArt 4"/>
        <xdr:cNvSpPr>
          <a:spLocks noChangeArrowheads="1" noChangeShapeType="1" noTextEdit="1"/>
        </xdr:cNvSpPr>
      </xdr:nvSpPr>
      <xdr:spPr bwMode="auto">
        <a:xfrm>
          <a:off x="1857375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COUNTA</a:t>
          </a:r>
        </a:p>
      </xdr:txBody>
    </xdr:sp>
    <xdr:clientData/>
  </xdr:twoCellAnchor>
  <xdr:twoCellAnchor>
    <xdr:from>
      <xdr:col>1</xdr:col>
      <xdr:colOff>285750</xdr:colOff>
      <xdr:row>0</xdr:row>
      <xdr:rowOff>104775</xdr:rowOff>
    </xdr:from>
    <xdr:to>
      <xdr:col>3</xdr:col>
      <xdr:colOff>9525</xdr:colOff>
      <xdr:row>0</xdr:row>
      <xdr:rowOff>400050</xdr:rowOff>
    </xdr:to>
    <xdr:sp macro="" textlink="">
      <xdr:nvSpPr>
        <xdr:cNvPr id="3584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6672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104775</xdr:rowOff>
    </xdr:from>
    <xdr:to>
      <xdr:col>7</xdr:col>
      <xdr:colOff>295275</xdr:colOff>
      <xdr:row>0</xdr:row>
      <xdr:rowOff>485775</xdr:rowOff>
    </xdr:to>
    <xdr:sp macro="" textlink="">
      <xdr:nvSpPr>
        <xdr:cNvPr id="34820" name="WordArt 4"/>
        <xdr:cNvSpPr>
          <a:spLocks noChangeArrowheads="1" noChangeShapeType="1" noTextEdit="1"/>
        </xdr:cNvSpPr>
      </xdr:nvSpPr>
      <xdr:spPr bwMode="auto">
        <a:xfrm>
          <a:off x="177165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COUNT</a:t>
          </a:r>
        </a:p>
      </xdr:txBody>
    </xdr:sp>
    <xdr:clientData/>
  </xdr:twoCellAnchor>
  <xdr:twoCellAnchor>
    <xdr:from>
      <xdr:col>1</xdr:col>
      <xdr:colOff>200025</xdr:colOff>
      <xdr:row>0</xdr:row>
      <xdr:rowOff>104775</xdr:rowOff>
    </xdr:from>
    <xdr:to>
      <xdr:col>2</xdr:col>
      <xdr:colOff>533400</xdr:colOff>
      <xdr:row>0</xdr:row>
      <xdr:rowOff>400050</xdr:rowOff>
    </xdr:to>
    <xdr:sp macro="" textlink="">
      <xdr:nvSpPr>
        <xdr:cNvPr id="3482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3810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0</xdr:row>
      <xdr:rowOff>104775</xdr:rowOff>
    </xdr:from>
    <xdr:to>
      <xdr:col>7</xdr:col>
      <xdr:colOff>381000</xdr:colOff>
      <xdr:row>0</xdr:row>
      <xdr:rowOff>485775</xdr:rowOff>
    </xdr:to>
    <xdr:sp macro="" textlink="">
      <xdr:nvSpPr>
        <xdr:cNvPr id="33796" name="WordArt 4"/>
        <xdr:cNvSpPr>
          <a:spLocks noChangeArrowheads="1" noChangeShapeType="1" noTextEdit="1"/>
        </xdr:cNvSpPr>
      </xdr:nvSpPr>
      <xdr:spPr bwMode="auto">
        <a:xfrm>
          <a:off x="190500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CORREL</a:t>
          </a:r>
        </a:p>
      </xdr:txBody>
    </xdr:sp>
    <xdr:clientData/>
  </xdr:twoCellAnchor>
  <xdr:twoCellAnchor>
    <xdr:from>
      <xdr:col>1</xdr:col>
      <xdr:colOff>333375</xdr:colOff>
      <xdr:row>0</xdr:row>
      <xdr:rowOff>104775</xdr:rowOff>
    </xdr:from>
    <xdr:to>
      <xdr:col>3</xdr:col>
      <xdr:colOff>57150</xdr:colOff>
      <xdr:row>0</xdr:row>
      <xdr:rowOff>400050</xdr:rowOff>
    </xdr:to>
    <xdr:sp macro="" textlink="">
      <xdr:nvSpPr>
        <xdr:cNvPr id="3379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5143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104775</xdr:rowOff>
    </xdr:from>
    <xdr:to>
      <xdr:col>7</xdr:col>
      <xdr:colOff>85725</xdr:colOff>
      <xdr:row>0</xdr:row>
      <xdr:rowOff>485775</xdr:rowOff>
    </xdr:to>
    <xdr:sp macro="" textlink="">
      <xdr:nvSpPr>
        <xdr:cNvPr id="32772" name="WordArt 4"/>
        <xdr:cNvSpPr>
          <a:spLocks noChangeArrowheads="1" noChangeShapeType="1" noTextEdit="1"/>
        </xdr:cNvSpPr>
      </xdr:nvSpPr>
      <xdr:spPr bwMode="auto">
        <a:xfrm>
          <a:off x="2400300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CONVERT</a:t>
          </a:r>
        </a:p>
      </xdr:txBody>
    </xdr:sp>
    <xdr:clientData/>
  </xdr:twoCellAnchor>
  <xdr:twoCellAnchor>
    <xdr:from>
      <xdr:col>1</xdr:col>
      <xdr:colOff>828675</xdr:colOff>
      <xdr:row>0</xdr:row>
      <xdr:rowOff>104775</xdr:rowOff>
    </xdr:from>
    <xdr:to>
      <xdr:col>3</xdr:col>
      <xdr:colOff>114300</xdr:colOff>
      <xdr:row>0</xdr:row>
      <xdr:rowOff>400050</xdr:rowOff>
    </xdr:to>
    <xdr:sp macro="" textlink="">
      <xdr:nvSpPr>
        <xdr:cNvPr id="3277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66675</xdr:rowOff>
    </xdr:from>
    <xdr:to>
      <xdr:col>7</xdr:col>
      <xdr:colOff>228600</xdr:colOff>
      <xdr:row>0</xdr:row>
      <xdr:rowOff>447675</xdr:rowOff>
    </xdr:to>
    <xdr:sp macro="" textlink="">
      <xdr:nvSpPr>
        <xdr:cNvPr id="31748" name="WordArt 4"/>
        <xdr:cNvSpPr>
          <a:spLocks noChangeArrowheads="1" noChangeShapeType="1" noTextEdit="1"/>
        </xdr:cNvSpPr>
      </xdr:nvSpPr>
      <xdr:spPr bwMode="auto">
        <a:xfrm>
          <a:off x="1914525" y="66675"/>
          <a:ext cx="299085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CONCATENATE</a:t>
          </a:r>
        </a:p>
      </xdr:txBody>
    </xdr:sp>
    <xdr:clientData/>
  </xdr:twoCellAnchor>
  <xdr:twoCellAnchor>
    <xdr:from>
      <xdr:col>1</xdr:col>
      <xdr:colOff>600075</xdr:colOff>
      <xdr:row>0</xdr:row>
      <xdr:rowOff>114300</xdr:rowOff>
    </xdr:from>
    <xdr:to>
      <xdr:col>3</xdr:col>
      <xdr:colOff>323850</xdr:colOff>
      <xdr:row>0</xdr:row>
      <xdr:rowOff>409575</xdr:rowOff>
    </xdr:to>
    <xdr:sp macro="" textlink="">
      <xdr:nvSpPr>
        <xdr:cNvPr id="3174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81050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0</xdr:row>
      <xdr:rowOff>85725</xdr:rowOff>
    </xdr:from>
    <xdr:to>
      <xdr:col>5</xdr:col>
      <xdr:colOff>923925</xdr:colOff>
      <xdr:row>0</xdr:row>
      <xdr:rowOff>438150</xdr:rowOff>
    </xdr:to>
    <xdr:sp macro="" textlink="">
      <xdr:nvSpPr>
        <xdr:cNvPr id="30724" name="WordArt 4"/>
        <xdr:cNvSpPr>
          <a:spLocks noChangeArrowheads="1" noChangeShapeType="1" noTextEdit="1"/>
        </xdr:cNvSpPr>
      </xdr:nvSpPr>
      <xdr:spPr bwMode="auto">
        <a:xfrm>
          <a:off x="2514600" y="85725"/>
          <a:ext cx="2362200" cy="3524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COMBIN</a:t>
          </a:r>
        </a:p>
      </xdr:txBody>
    </xdr:sp>
    <xdr:clientData/>
  </xdr:twoCellAnchor>
  <xdr:twoCellAnchor>
    <xdr:from>
      <xdr:col>2</xdr:col>
      <xdr:colOff>228600</xdr:colOff>
      <xdr:row>0</xdr:row>
      <xdr:rowOff>104775</xdr:rowOff>
    </xdr:from>
    <xdr:to>
      <xdr:col>3</xdr:col>
      <xdr:colOff>200025</xdr:colOff>
      <xdr:row>0</xdr:row>
      <xdr:rowOff>400050</xdr:rowOff>
    </xdr:to>
    <xdr:sp macro="" textlink="">
      <xdr:nvSpPr>
        <xdr:cNvPr id="3072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1917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9</xdr:col>
      <xdr:colOff>76200</xdr:colOff>
      <xdr:row>54</xdr:row>
      <xdr:rowOff>9525</xdr:rowOff>
    </xdr:to>
    <xdr:pic>
      <xdr:nvPicPr>
        <xdr:cNvPr id="2970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" y="5086350"/>
          <a:ext cx="5057775" cy="405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504825</xdr:colOff>
      <xdr:row>0</xdr:row>
      <xdr:rowOff>104775</xdr:rowOff>
    </xdr:from>
    <xdr:to>
      <xdr:col>8</xdr:col>
      <xdr:colOff>28575</xdr:colOff>
      <xdr:row>0</xdr:row>
      <xdr:rowOff>419100</xdr:rowOff>
    </xdr:to>
    <xdr:sp macro="" textlink="">
      <xdr:nvSpPr>
        <xdr:cNvPr id="29701" name="WordArt 5"/>
        <xdr:cNvSpPr>
          <a:spLocks noChangeArrowheads="1" noChangeShapeType="1" noTextEdit="1"/>
        </xdr:cNvSpPr>
      </xdr:nvSpPr>
      <xdr:spPr bwMode="auto">
        <a:xfrm>
          <a:off x="2619375" y="104775"/>
          <a:ext cx="1962150" cy="3143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CODE</a:t>
          </a:r>
        </a:p>
      </xdr:txBody>
    </xdr:sp>
    <xdr:clientData/>
  </xdr:twoCellAnchor>
  <xdr:twoCellAnchor>
    <xdr:from>
      <xdr:col>2</xdr:col>
      <xdr:colOff>438150</xdr:colOff>
      <xdr:row>0</xdr:row>
      <xdr:rowOff>104775</xdr:rowOff>
    </xdr:from>
    <xdr:to>
      <xdr:col>4</xdr:col>
      <xdr:colOff>57150</xdr:colOff>
      <xdr:row>0</xdr:row>
      <xdr:rowOff>400050</xdr:rowOff>
    </xdr:to>
    <xdr:sp macro="" textlink="">
      <xdr:nvSpPr>
        <xdr:cNvPr id="29702" name="AutoShape 6">
          <a:hlinkClick xmlns:r="http://schemas.openxmlformats.org/officeDocument/2006/relationships" r:id="rId2" tooltip="Home"/>
        </xdr:cNvPr>
        <xdr:cNvSpPr>
          <a:spLocks noChangeArrowheads="1"/>
        </xdr:cNvSpPr>
      </xdr:nvSpPr>
      <xdr:spPr bwMode="auto">
        <a:xfrm>
          <a:off x="122872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85725</xdr:rowOff>
    </xdr:from>
    <xdr:to>
      <xdr:col>7</xdr:col>
      <xdr:colOff>552450</xdr:colOff>
      <xdr:row>0</xdr:row>
      <xdr:rowOff>466725</xdr:rowOff>
    </xdr:to>
    <xdr:sp macro="" textlink="">
      <xdr:nvSpPr>
        <xdr:cNvPr id="28676" name="WordArt 4"/>
        <xdr:cNvSpPr>
          <a:spLocks noChangeArrowheads="1" noChangeShapeType="1" noTextEdit="1"/>
        </xdr:cNvSpPr>
      </xdr:nvSpPr>
      <xdr:spPr bwMode="auto">
        <a:xfrm>
          <a:off x="2190750" y="8572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CLEAN</a:t>
          </a:r>
        </a:p>
      </xdr:txBody>
    </xdr:sp>
    <xdr:clientData/>
  </xdr:twoCellAnchor>
  <xdr:twoCellAnchor>
    <xdr:from>
      <xdr:col>2</xdr:col>
      <xdr:colOff>161925</xdr:colOff>
      <xdr:row>0</xdr:row>
      <xdr:rowOff>104775</xdr:rowOff>
    </xdr:from>
    <xdr:to>
      <xdr:col>3</xdr:col>
      <xdr:colOff>428625</xdr:colOff>
      <xdr:row>0</xdr:row>
      <xdr:rowOff>400050</xdr:rowOff>
    </xdr:to>
    <xdr:sp macro="" textlink="">
      <xdr:nvSpPr>
        <xdr:cNvPr id="2867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525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0</xdr:row>
      <xdr:rowOff>95250</xdr:rowOff>
    </xdr:from>
    <xdr:to>
      <xdr:col>8</xdr:col>
      <xdr:colOff>314325</xdr:colOff>
      <xdr:row>0</xdr:row>
      <xdr:rowOff>476250</xdr:rowOff>
    </xdr:to>
    <xdr:sp macro="" textlink="">
      <xdr:nvSpPr>
        <xdr:cNvPr id="27652" name="WordArt 4"/>
        <xdr:cNvSpPr>
          <a:spLocks noChangeArrowheads="1" noChangeShapeType="1" noTextEdit="1"/>
        </xdr:cNvSpPr>
      </xdr:nvSpPr>
      <xdr:spPr bwMode="auto">
        <a:xfrm>
          <a:off x="2400300" y="95250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CHOOSE</a:t>
          </a:r>
        </a:p>
      </xdr:txBody>
    </xdr:sp>
    <xdr:clientData/>
  </xdr:twoCellAnchor>
  <xdr:twoCellAnchor>
    <xdr:from>
      <xdr:col>2</xdr:col>
      <xdr:colOff>219075</xdr:colOff>
      <xdr:row>0</xdr:row>
      <xdr:rowOff>95250</xdr:rowOff>
    </xdr:from>
    <xdr:to>
      <xdr:col>3</xdr:col>
      <xdr:colOff>552450</xdr:colOff>
      <xdr:row>0</xdr:row>
      <xdr:rowOff>390525</xdr:rowOff>
    </xdr:to>
    <xdr:sp macro="" textlink="">
      <xdr:nvSpPr>
        <xdr:cNvPr id="2765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0096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142875</xdr:rowOff>
    </xdr:from>
    <xdr:to>
      <xdr:col>19</xdr:col>
      <xdr:colOff>190500</xdr:colOff>
      <xdr:row>0</xdr:row>
      <xdr:rowOff>428625</xdr:rowOff>
    </xdr:to>
    <xdr:sp macro="" textlink="">
      <xdr:nvSpPr>
        <xdr:cNvPr id="26628" name="WordArt 4"/>
        <xdr:cNvSpPr>
          <a:spLocks noChangeArrowheads="1" noChangeShapeType="1" noTextEdit="1"/>
        </xdr:cNvSpPr>
      </xdr:nvSpPr>
      <xdr:spPr bwMode="auto">
        <a:xfrm>
          <a:off x="2419350" y="142875"/>
          <a:ext cx="2133600" cy="2857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CHAR</a:t>
          </a:r>
        </a:p>
      </xdr:txBody>
    </xdr:sp>
    <xdr:clientData/>
  </xdr:twoCellAnchor>
  <xdr:twoCellAnchor>
    <xdr:from>
      <xdr:col>3</xdr:col>
      <xdr:colOff>76200</xdr:colOff>
      <xdr:row>0</xdr:row>
      <xdr:rowOff>95250</xdr:rowOff>
    </xdr:from>
    <xdr:to>
      <xdr:col>7</xdr:col>
      <xdr:colOff>171450</xdr:colOff>
      <xdr:row>0</xdr:row>
      <xdr:rowOff>390525</xdr:rowOff>
    </xdr:to>
    <xdr:sp macro="" textlink="">
      <xdr:nvSpPr>
        <xdr:cNvPr id="2662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6677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1828800</xdr:colOff>
      <xdr:row>0</xdr:row>
      <xdr:rowOff>104775</xdr:rowOff>
    </xdr:from>
    <xdr:to>
      <xdr:col>4</xdr:col>
      <xdr:colOff>219075</xdr:colOff>
      <xdr:row>0</xdr:row>
      <xdr:rowOff>485775</xdr:rowOff>
    </xdr:to>
    <xdr:sp macro="" textlink="">
      <xdr:nvSpPr>
        <xdr:cNvPr id="25604" name="WordArt 4"/>
        <xdr:cNvSpPr>
          <a:spLocks noChangeArrowheads="1" noChangeShapeType="1" noTextEdit="1"/>
        </xdr:cNvSpPr>
      </xdr:nvSpPr>
      <xdr:spPr bwMode="auto">
        <a:xfrm>
          <a:off x="2619375" y="104775"/>
          <a:ext cx="16668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CELL</a:t>
          </a:r>
        </a:p>
      </xdr:txBody>
    </xdr:sp>
    <xdr:clientData/>
  </xdr:twoCellAnchor>
  <xdr:twoCellAnchor>
    <xdr:from>
      <xdr:col>2</xdr:col>
      <xdr:colOff>438150</xdr:colOff>
      <xdr:row>0</xdr:row>
      <xdr:rowOff>104775</xdr:rowOff>
    </xdr:from>
    <xdr:to>
      <xdr:col>2</xdr:col>
      <xdr:colOff>1381125</xdr:colOff>
      <xdr:row>0</xdr:row>
      <xdr:rowOff>400050</xdr:rowOff>
    </xdr:to>
    <xdr:sp macro="" textlink="">
      <xdr:nvSpPr>
        <xdr:cNvPr id="2560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122872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104775</xdr:rowOff>
    </xdr:from>
    <xdr:to>
      <xdr:col>6</xdr:col>
      <xdr:colOff>361950</xdr:colOff>
      <xdr:row>0</xdr:row>
      <xdr:rowOff>485775</xdr:rowOff>
    </xdr:to>
    <xdr:sp macro="" textlink="">
      <xdr:nvSpPr>
        <xdr:cNvPr id="24580" name="WordArt 4"/>
        <xdr:cNvSpPr>
          <a:spLocks noChangeArrowheads="1" noChangeShapeType="1" noTextEdit="1"/>
        </xdr:cNvSpPr>
      </xdr:nvSpPr>
      <xdr:spPr bwMode="auto">
        <a:xfrm>
          <a:off x="2009775" y="104775"/>
          <a:ext cx="2362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CEILING</a:t>
          </a:r>
        </a:p>
      </xdr:txBody>
    </xdr:sp>
    <xdr:clientData/>
  </xdr:twoCellAnchor>
  <xdr:twoCellAnchor>
    <xdr:from>
      <xdr:col>1</xdr:col>
      <xdr:colOff>438150</xdr:colOff>
      <xdr:row>0</xdr:row>
      <xdr:rowOff>104775</xdr:rowOff>
    </xdr:from>
    <xdr:to>
      <xdr:col>3</xdr:col>
      <xdr:colOff>66675</xdr:colOff>
      <xdr:row>0</xdr:row>
      <xdr:rowOff>400050</xdr:rowOff>
    </xdr:to>
    <xdr:sp macro="" textlink="">
      <xdr:nvSpPr>
        <xdr:cNvPr id="2458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1912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638175</xdr:colOff>
      <xdr:row>0</xdr:row>
      <xdr:rowOff>114300</xdr:rowOff>
    </xdr:from>
    <xdr:to>
      <xdr:col>7</xdr:col>
      <xdr:colOff>314325</xdr:colOff>
      <xdr:row>0</xdr:row>
      <xdr:rowOff>495300</xdr:rowOff>
    </xdr:to>
    <xdr:sp macro="" textlink="">
      <xdr:nvSpPr>
        <xdr:cNvPr id="23556" name="WordArt 4"/>
        <xdr:cNvSpPr>
          <a:spLocks noChangeArrowheads="1" noChangeShapeType="1" noTextEdit="1"/>
        </xdr:cNvSpPr>
      </xdr:nvSpPr>
      <xdr:spPr bwMode="auto">
        <a:xfrm>
          <a:off x="2314575" y="114300"/>
          <a:ext cx="261937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BIN2DEC</a:t>
          </a:r>
        </a:p>
      </xdr:txBody>
    </xdr:sp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104775</xdr:colOff>
      <xdr:row>0</xdr:row>
      <xdr:rowOff>409575</xdr:rowOff>
    </xdr:to>
    <xdr:sp macro="" textlink="">
      <xdr:nvSpPr>
        <xdr:cNvPr id="2355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38200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0</xdr:row>
      <xdr:rowOff>133350</xdr:rowOff>
    </xdr:from>
    <xdr:to>
      <xdr:col>12</xdr:col>
      <xdr:colOff>542925</xdr:colOff>
      <xdr:row>0</xdr:row>
      <xdr:rowOff>457200</xdr:rowOff>
    </xdr:to>
    <xdr:sp macro="" textlink="">
      <xdr:nvSpPr>
        <xdr:cNvPr id="22532" name="WordArt 4"/>
        <xdr:cNvSpPr>
          <a:spLocks noChangeArrowheads="1" noChangeShapeType="1" noTextEdit="1"/>
        </xdr:cNvSpPr>
      </xdr:nvSpPr>
      <xdr:spPr bwMode="auto">
        <a:xfrm>
          <a:off x="2181225" y="133350"/>
          <a:ext cx="2495550" cy="323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AVERAGE</a:t>
          </a:r>
        </a:p>
      </xdr:txBody>
    </xdr:sp>
    <xdr:clientData/>
  </xdr:twoCellAnchor>
  <xdr:twoCellAnchor>
    <xdr:from>
      <xdr:col>2</xdr:col>
      <xdr:colOff>57150</xdr:colOff>
      <xdr:row>0</xdr:row>
      <xdr:rowOff>133350</xdr:rowOff>
    </xdr:from>
    <xdr:to>
      <xdr:col>4</xdr:col>
      <xdr:colOff>323850</xdr:colOff>
      <xdr:row>0</xdr:row>
      <xdr:rowOff>428625</xdr:rowOff>
    </xdr:to>
    <xdr:sp macro="" textlink="">
      <xdr:nvSpPr>
        <xdr:cNvPr id="2253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95300" y="1333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85725</xdr:rowOff>
    </xdr:from>
    <xdr:to>
      <xdr:col>6</xdr:col>
      <xdr:colOff>485775</xdr:colOff>
      <xdr:row>0</xdr:row>
      <xdr:rowOff>466725</xdr:rowOff>
    </xdr:to>
    <xdr:sp macro="" textlink="">
      <xdr:nvSpPr>
        <xdr:cNvPr id="21508" name="WordArt 4"/>
        <xdr:cNvSpPr>
          <a:spLocks noChangeArrowheads="1" noChangeShapeType="1" noTextEdit="1"/>
        </xdr:cNvSpPr>
      </xdr:nvSpPr>
      <xdr:spPr bwMode="auto">
        <a:xfrm>
          <a:off x="2000250" y="85725"/>
          <a:ext cx="17145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AREAS</a:t>
          </a:r>
        </a:p>
      </xdr:txBody>
    </xdr:sp>
    <xdr:clientData/>
  </xdr:twoCellAnchor>
  <xdr:twoCellAnchor>
    <xdr:from>
      <xdr:col>1</xdr:col>
      <xdr:colOff>542925</xdr:colOff>
      <xdr:row>0</xdr:row>
      <xdr:rowOff>85725</xdr:rowOff>
    </xdr:from>
    <xdr:to>
      <xdr:col>3</xdr:col>
      <xdr:colOff>266700</xdr:colOff>
      <xdr:row>0</xdr:row>
      <xdr:rowOff>381000</xdr:rowOff>
    </xdr:to>
    <xdr:sp macro="" textlink="">
      <xdr:nvSpPr>
        <xdr:cNvPr id="2150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2390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0</xdr:row>
      <xdr:rowOff>104775</xdr:rowOff>
    </xdr:from>
    <xdr:to>
      <xdr:col>6</xdr:col>
      <xdr:colOff>476250</xdr:colOff>
      <xdr:row>0</xdr:row>
      <xdr:rowOff>390525</xdr:rowOff>
    </xdr:to>
    <xdr:sp macro="" textlink="">
      <xdr:nvSpPr>
        <xdr:cNvPr id="20484" name="WordArt 4"/>
        <xdr:cNvSpPr>
          <a:spLocks noChangeArrowheads="1" noChangeShapeType="1" noTextEdit="1"/>
        </xdr:cNvSpPr>
      </xdr:nvSpPr>
      <xdr:spPr bwMode="auto">
        <a:xfrm>
          <a:off x="2409825" y="104775"/>
          <a:ext cx="1533525" cy="2857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AND</a:t>
          </a:r>
        </a:p>
      </xdr:txBody>
    </xdr:sp>
    <xdr:clientData/>
  </xdr:twoCellAnchor>
  <xdr:twoCellAnchor>
    <xdr:from>
      <xdr:col>2</xdr:col>
      <xdr:colOff>152400</xdr:colOff>
      <xdr:row>0</xdr:row>
      <xdr:rowOff>104775</xdr:rowOff>
    </xdr:from>
    <xdr:to>
      <xdr:col>3</xdr:col>
      <xdr:colOff>485775</xdr:colOff>
      <xdr:row>0</xdr:row>
      <xdr:rowOff>400050</xdr:rowOff>
    </xdr:to>
    <xdr:sp macro="" textlink="">
      <xdr:nvSpPr>
        <xdr:cNvPr id="2048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42975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0</xdr:row>
      <xdr:rowOff>85725</xdr:rowOff>
    </xdr:from>
    <xdr:to>
      <xdr:col>7</xdr:col>
      <xdr:colOff>123825</xdr:colOff>
      <xdr:row>0</xdr:row>
      <xdr:rowOff>466725</xdr:rowOff>
    </xdr:to>
    <xdr:sp macro="" textlink="">
      <xdr:nvSpPr>
        <xdr:cNvPr id="19460" name="WordArt 4"/>
        <xdr:cNvSpPr>
          <a:spLocks noChangeArrowheads="1" noChangeShapeType="1" noTextEdit="1"/>
        </xdr:cNvSpPr>
      </xdr:nvSpPr>
      <xdr:spPr bwMode="auto">
        <a:xfrm>
          <a:off x="2066925" y="85725"/>
          <a:ext cx="22479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ADDRESS</a:t>
          </a:r>
        </a:p>
      </xdr:txBody>
    </xdr:sp>
    <xdr:clientData/>
  </xdr:twoCellAnchor>
  <xdr:twoCellAnchor>
    <xdr:from>
      <xdr:col>2</xdr:col>
      <xdr:colOff>0</xdr:colOff>
      <xdr:row>0</xdr:row>
      <xdr:rowOff>85725</xdr:rowOff>
    </xdr:from>
    <xdr:to>
      <xdr:col>3</xdr:col>
      <xdr:colOff>333375</xdr:colOff>
      <xdr:row>0</xdr:row>
      <xdr:rowOff>381000</xdr:rowOff>
    </xdr:to>
    <xdr:sp macro="" textlink="">
      <xdr:nvSpPr>
        <xdr:cNvPr id="1946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90575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0</xdr:row>
      <xdr:rowOff>133350</xdr:rowOff>
    </xdr:from>
    <xdr:to>
      <xdr:col>6</xdr:col>
      <xdr:colOff>390525</xdr:colOff>
      <xdr:row>0</xdr:row>
      <xdr:rowOff>476250</xdr:rowOff>
    </xdr:to>
    <xdr:sp macro="" textlink="">
      <xdr:nvSpPr>
        <xdr:cNvPr id="18436" name="WordArt 4"/>
        <xdr:cNvSpPr>
          <a:spLocks noChangeArrowheads="1" noChangeShapeType="1" noTextEdit="1"/>
        </xdr:cNvSpPr>
      </xdr:nvSpPr>
      <xdr:spPr bwMode="auto">
        <a:xfrm>
          <a:off x="2952750" y="133350"/>
          <a:ext cx="147637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ABS</a:t>
          </a:r>
        </a:p>
      </xdr:txBody>
    </xdr:sp>
    <xdr:clientData/>
  </xdr:twoCellAnchor>
  <xdr:twoCellAnchor>
    <xdr:from>
      <xdr:col>2</xdr:col>
      <xdr:colOff>200025</xdr:colOff>
      <xdr:row>0</xdr:row>
      <xdr:rowOff>152400</xdr:rowOff>
    </xdr:from>
    <xdr:to>
      <xdr:col>3</xdr:col>
      <xdr:colOff>371475</xdr:colOff>
      <xdr:row>0</xdr:row>
      <xdr:rowOff>447675</xdr:rowOff>
    </xdr:to>
    <xdr:sp macro="" textlink="">
      <xdr:nvSpPr>
        <xdr:cNvPr id="1843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90600" y="1524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0</xdr:row>
      <xdr:rowOff>57150</xdr:rowOff>
    </xdr:from>
    <xdr:to>
      <xdr:col>8</xdr:col>
      <xdr:colOff>371475</xdr:colOff>
      <xdr:row>0</xdr:row>
      <xdr:rowOff>485775</xdr:rowOff>
    </xdr:to>
    <xdr:sp macro="" textlink="">
      <xdr:nvSpPr>
        <xdr:cNvPr id="17412" name="WordArt 4"/>
        <xdr:cNvSpPr>
          <a:spLocks noChangeArrowheads="1" noChangeShapeType="1" noTextEdit="1"/>
        </xdr:cNvSpPr>
      </xdr:nvSpPr>
      <xdr:spPr bwMode="auto">
        <a:xfrm>
          <a:off x="2209800" y="57150"/>
          <a:ext cx="3505200" cy="428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Auto Sum Shortcut Key</a:t>
          </a:r>
        </a:p>
      </xdr:txBody>
    </xdr:sp>
    <xdr:clientData/>
  </xdr:twoCellAnchor>
  <xdr:twoCellAnchor>
    <xdr:from>
      <xdr:col>2</xdr:col>
      <xdr:colOff>142875</xdr:colOff>
      <xdr:row>0</xdr:row>
      <xdr:rowOff>85725</xdr:rowOff>
    </xdr:from>
    <xdr:to>
      <xdr:col>3</xdr:col>
      <xdr:colOff>314325</xdr:colOff>
      <xdr:row>0</xdr:row>
      <xdr:rowOff>381000</xdr:rowOff>
    </xdr:to>
    <xdr:sp macro="" textlink="">
      <xdr:nvSpPr>
        <xdr:cNvPr id="1741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933450" y="8572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95250</xdr:rowOff>
    </xdr:from>
    <xdr:to>
      <xdr:col>6</xdr:col>
      <xdr:colOff>514350</xdr:colOff>
      <xdr:row>0</xdr:row>
      <xdr:rowOff>523875</xdr:rowOff>
    </xdr:to>
    <xdr:sp macro="" textlink="">
      <xdr:nvSpPr>
        <xdr:cNvPr id="16388" name="WordArt 4"/>
        <xdr:cNvSpPr>
          <a:spLocks noChangeArrowheads="1" noChangeShapeType="1" noTextEdit="1"/>
        </xdr:cNvSpPr>
      </xdr:nvSpPr>
      <xdr:spPr bwMode="auto">
        <a:xfrm>
          <a:off x="2543175" y="95250"/>
          <a:ext cx="2962275" cy="428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Age Calculation</a:t>
          </a:r>
        </a:p>
      </xdr:txBody>
    </xdr:sp>
    <xdr:clientData/>
  </xdr:twoCellAnchor>
  <xdr:twoCellAnchor>
    <xdr:from>
      <xdr:col>1</xdr:col>
      <xdr:colOff>542925</xdr:colOff>
      <xdr:row>0</xdr:row>
      <xdr:rowOff>133350</xdr:rowOff>
    </xdr:from>
    <xdr:to>
      <xdr:col>1</xdr:col>
      <xdr:colOff>1485900</xdr:colOff>
      <xdr:row>0</xdr:row>
      <xdr:rowOff>428625</xdr:rowOff>
    </xdr:to>
    <xdr:sp macro="" textlink="">
      <xdr:nvSpPr>
        <xdr:cNvPr id="1638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23900" y="1333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0</xdr:row>
      <xdr:rowOff>104775</xdr:rowOff>
    </xdr:from>
    <xdr:to>
      <xdr:col>7</xdr:col>
      <xdr:colOff>180975</xdr:colOff>
      <xdr:row>0</xdr:row>
      <xdr:rowOff>504825</xdr:rowOff>
    </xdr:to>
    <xdr:sp macro="" textlink="">
      <xdr:nvSpPr>
        <xdr:cNvPr id="15364" name="WordArt 4"/>
        <xdr:cNvSpPr>
          <a:spLocks noChangeArrowheads="1" noChangeShapeType="1" noTextEdit="1"/>
        </xdr:cNvSpPr>
      </xdr:nvSpPr>
      <xdr:spPr bwMode="auto">
        <a:xfrm>
          <a:off x="1847850" y="104775"/>
          <a:ext cx="3067050" cy="4000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Bracket in Formula</a:t>
          </a:r>
        </a:p>
      </xdr:txBody>
    </xdr:sp>
    <xdr:clientData/>
  </xdr:twoCellAnchor>
  <xdr:twoCellAnchor>
    <xdr:from>
      <xdr:col>1</xdr:col>
      <xdr:colOff>238125</xdr:colOff>
      <xdr:row>0</xdr:row>
      <xdr:rowOff>104775</xdr:rowOff>
    </xdr:from>
    <xdr:to>
      <xdr:col>2</xdr:col>
      <xdr:colOff>571500</xdr:colOff>
      <xdr:row>0</xdr:row>
      <xdr:rowOff>400050</xdr:rowOff>
    </xdr:to>
    <xdr:sp macro="" textlink="">
      <xdr:nvSpPr>
        <xdr:cNvPr id="1536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419100" y="1047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76200</xdr:rowOff>
    </xdr:from>
    <xdr:to>
      <xdr:col>7</xdr:col>
      <xdr:colOff>200025</xdr:colOff>
      <xdr:row>0</xdr:row>
      <xdr:rowOff>457200</xdr:rowOff>
    </xdr:to>
    <xdr:sp macro="" textlink="">
      <xdr:nvSpPr>
        <xdr:cNvPr id="14340" name="WordArt 4"/>
        <xdr:cNvSpPr>
          <a:spLocks noChangeArrowheads="1" noChangeShapeType="1" noTextEdit="1"/>
        </xdr:cNvSpPr>
      </xdr:nvSpPr>
      <xdr:spPr bwMode="auto">
        <a:xfrm>
          <a:off x="2047875" y="76200"/>
          <a:ext cx="33147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Filename Formula</a:t>
          </a:r>
        </a:p>
      </xdr:txBody>
    </xdr:sp>
    <xdr:clientData/>
  </xdr:twoCellAnchor>
  <xdr:twoCellAnchor>
    <xdr:from>
      <xdr:col>1</xdr:col>
      <xdr:colOff>476250</xdr:colOff>
      <xdr:row>0</xdr:row>
      <xdr:rowOff>76200</xdr:rowOff>
    </xdr:from>
    <xdr:to>
      <xdr:col>2</xdr:col>
      <xdr:colOff>381000</xdr:colOff>
      <xdr:row>0</xdr:row>
      <xdr:rowOff>371475</xdr:rowOff>
    </xdr:to>
    <xdr:sp macro="" textlink="">
      <xdr:nvSpPr>
        <xdr:cNvPr id="1434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57225" y="762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104775</xdr:rowOff>
    </xdr:from>
    <xdr:to>
      <xdr:col>7</xdr:col>
      <xdr:colOff>342900</xdr:colOff>
      <xdr:row>0</xdr:row>
      <xdr:rowOff>485775</xdr:rowOff>
    </xdr:to>
    <xdr:sp macro="" textlink="">
      <xdr:nvSpPr>
        <xdr:cNvPr id="13316" name="WordArt 4"/>
        <xdr:cNvSpPr>
          <a:spLocks noChangeArrowheads="1" noChangeShapeType="1" noTextEdit="1"/>
        </xdr:cNvSpPr>
      </xdr:nvSpPr>
      <xdr:spPr bwMode="auto">
        <a:xfrm>
          <a:off x="2057400" y="104775"/>
          <a:ext cx="30194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Instant Charts</a:t>
          </a:r>
        </a:p>
      </xdr:txBody>
    </xdr:sp>
    <xdr:clientData/>
  </xdr:twoCellAnchor>
  <xdr:twoCellAnchor>
    <xdr:from>
      <xdr:col>1</xdr:col>
      <xdr:colOff>457200</xdr:colOff>
      <xdr:row>0</xdr:row>
      <xdr:rowOff>142875</xdr:rowOff>
    </xdr:from>
    <xdr:to>
      <xdr:col>3</xdr:col>
      <xdr:colOff>19050</xdr:colOff>
      <xdr:row>0</xdr:row>
      <xdr:rowOff>438150</xdr:rowOff>
    </xdr:to>
    <xdr:sp macro="" textlink="">
      <xdr:nvSpPr>
        <xdr:cNvPr id="13317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38175" y="142875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95250</xdr:rowOff>
    </xdr:from>
    <xdr:to>
      <xdr:col>7</xdr:col>
      <xdr:colOff>352425</xdr:colOff>
      <xdr:row>0</xdr:row>
      <xdr:rowOff>476250</xdr:rowOff>
    </xdr:to>
    <xdr:sp macro="" textlink="">
      <xdr:nvSpPr>
        <xdr:cNvPr id="12292" name="WordArt 4"/>
        <xdr:cNvSpPr>
          <a:spLocks noChangeArrowheads="1" noChangeShapeType="1" noTextEdit="1"/>
        </xdr:cNvSpPr>
      </xdr:nvSpPr>
      <xdr:spPr bwMode="auto">
        <a:xfrm>
          <a:off x="2038350" y="95250"/>
          <a:ext cx="30480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SUM (using names)</a:t>
          </a:r>
        </a:p>
      </xdr:txBody>
    </xdr:sp>
    <xdr:clientData/>
  </xdr:twoCellAnchor>
  <xdr:twoCellAnchor>
    <xdr:from>
      <xdr:col>2</xdr:col>
      <xdr:colOff>28575</xdr:colOff>
      <xdr:row>0</xdr:row>
      <xdr:rowOff>95250</xdr:rowOff>
    </xdr:from>
    <xdr:to>
      <xdr:col>3</xdr:col>
      <xdr:colOff>200025</xdr:colOff>
      <xdr:row>0</xdr:row>
      <xdr:rowOff>390525</xdr:rowOff>
    </xdr:to>
    <xdr:sp macro="" textlink="">
      <xdr:nvSpPr>
        <xdr:cNvPr id="12293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81915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95250</xdr:rowOff>
    </xdr:from>
    <xdr:to>
      <xdr:col>7</xdr:col>
      <xdr:colOff>123825</xdr:colOff>
      <xdr:row>0</xdr:row>
      <xdr:rowOff>476250</xdr:rowOff>
    </xdr:to>
    <xdr:sp macro="" textlink="">
      <xdr:nvSpPr>
        <xdr:cNvPr id="11268" name="WordArt 4"/>
        <xdr:cNvSpPr>
          <a:spLocks noChangeArrowheads="1" noChangeShapeType="1" noTextEdit="1"/>
        </xdr:cNvSpPr>
      </xdr:nvSpPr>
      <xdr:spPr bwMode="auto">
        <a:xfrm>
          <a:off x="2038350" y="95250"/>
          <a:ext cx="28194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Show all Formula</a:t>
          </a:r>
        </a:p>
      </xdr:txBody>
    </xdr:sp>
    <xdr:clientData/>
  </xdr:twoCellAnchor>
  <xdr:twoCellAnchor>
    <xdr:from>
      <xdr:col>1</xdr:col>
      <xdr:colOff>581025</xdr:colOff>
      <xdr:row>0</xdr:row>
      <xdr:rowOff>95250</xdr:rowOff>
    </xdr:from>
    <xdr:to>
      <xdr:col>3</xdr:col>
      <xdr:colOff>142875</xdr:colOff>
      <xdr:row>0</xdr:row>
      <xdr:rowOff>390525</xdr:rowOff>
    </xdr:to>
    <xdr:sp macro="" textlink="">
      <xdr:nvSpPr>
        <xdr:cNvPr id="11269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762000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76200</xdr:rowOff>
    </xdr:from>
    <xdr:to>
      <xdr:col>7</xdr:col>
      <xdr:colOff>85725</xdr:colOff>
      <xdr:row>0</xdr:row>
      <xdr:rowOff>485775</xdr:rowOff>
    </xdr:to>
    <xdr:sp macro="" textlink="">
      <xdr:nvSpPr>
        <xdr:cNvPr id="10244" name="WordArt 4"/>
        <xdr:cNvSpPr>
          <a:spLocks noChangeArrowheads="1" noChangeShapeType="1" noTextEdit="1"/>
        </xdr:cNvSpPr>
      </xdr:nvSpPr>
      <xdr:spPr bwMode="auto">
        <a:xfrm>
          <a:off x="1943100" y="76200"/>
          <a:ext cx="2305050" cy="4095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Percentages</a:t>
          </a:r>
        </a:p>
      </xdr:txBody>
    </xdr:sp>
    <xdr:clientData/>
  </xdr:twoCellAnchor>
  <xdr:twoCellAnchor>
    <xdr:from>
      <xdr:col>2</xdr:col>
      <xdr:colOff>285750</xdr:colOff>
      <xdr:row>0</xdr:row>
      <xdr:rowOff>57150</xdr:rowOff>
    </xdr:from>
    <xdr:to>
      <xdr:col>3</xdr:col>
      <xdr:colOff>304800</xdr:colOff>
      <xdr:row>0</xdr:row>
      <xdr:rowOff>352425</xdr:rowOff>
    </xdr:to>
    <xdr:sp macro="" textlink="">
      <xdr:nvSpPr>
        <xdr:cNvPr id="10245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666750" y="571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1047750</xdr:colOff>
      <xdr:row>0</xdr:row>
      <xdr:rowOff>114300</xdr:rowOff>
    </xdr:from>
    <xdr:to>
      <xdr:col>9</xdr:col>
      <xdr:colOff>19050</xdr:colOff>
      <xdr:row>0</xdr:row>
      <xdr:rowOff>495300</xdr:rowOff>
    </xdr:to>
    <xdr:sp macro="" textlink="">
      <xdr:nvSpPr>
        <xdr:cNvPr id="9220" name="WordArt 4"/>
        <xdr:cNvSpPr>
          <a:spLocks noChangeArrowheads="1" noChangeShapeType="1" noTextEdit="1"/>
        </xdr:cNvSpPr>
      </xdr:nvSpPr>
      <xdr:spPr bwMode="auto">
        <a:xfrm>
          <a:off x="1581150" y="114300"/>
          <a:ext cx="4648200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Split Forename and Surname</a:t>
          </a:r>
        </a:p>
      </xdr:txBody>
    </xdr:sp>
    <xdr:clientData/>
  </xdr:twoCellAnchor>
  <xdr:twoCellAnchor>
    <xdr:from>
      <xdr:col>1</xdr:col>
      <xdr:colOff>123825</xdr:colOff>
      <xdr:row>0</xdr:row>
      <xdr:rowOff>114300</xdr:rowOff>
    </xdr:from>
    <xdr:to>
      <xdr:col>2</xdr:col>
      <xdr:colOff>714375</xdr:colOff>
      <xdr:row>0</xdr:row>
      <xdr:rowOff>409575</xdr:rowOff>
    </xdr:to>
    <xdr:sp macro="" textlink="">
      <xdr:nvSpPr>
        <xdr:cNvPr id="9221" name="AutoShape 5">
          <a:hlinkClick xmlns:r="http://schemas.openxmlformats.org/officeDocument/2006/relationships" r:id="rId1" tooltip="Home"/>
        </xdr:cNvPr>
        <xdr:cNvSpPr>
          <a:spLocks noChangeArrowheads="1"/>
        </xdr:cNvSpPr>
      </xdr:nvSpPr>
      <xdr:spPr bwMode="auto">
        <a:xfrm>
          <a:off x="304800" y="11430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65</xdr:row>
      <xdr:rowOff>0</xdr:rowOff>
    </xdr:from>
    <xdr:to>
      <xdr:col>9</xdr:col>
      <xdr:colOff>142875</xdr:colOff>
      <xdr:row>86</xdr:row>
      <xdr:rowOff>104775</xdr:rowOff>
    </xdr:to>
    <xdr:pic>
      <xdr:nvPicPr>
        <xdr:cNvPr id="7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5" y="10991850"/>
          <a:ext cx="3800475" cy="350520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twoCellAnchor>
    <xdr:from>
      <xdr:col>3</xdr:col>
      <xdr:colOff>323850</xdr:colOff>
      <xdr:row>0</xdr:row>
      <xdr:rowOff>95250</xdr:rowOff>
    </xdr:from>
    <xdr:to>
      <xdr:col>7</xdr:col>
      <xdr:colOff>638175</xdr:colOff>
      <xdr:row>0</xdr:row>
      <xdr:rowOff>476250</xdr:rowOff>
    </xdr:to>
    <xdr:sp macro="" textlink="">
      <xdr:nvSpPr>
        <xdr:cNvPr id="7173" name="WordArt 5"/>
        <xdr:cNvSpPr>
          <a:spLocks noChangeArrowheads="1" noChangeShapeType="1" noTextEdit="1"/>
        </xdr:cNvSpPr>
      </xdr:nvSpPr>
      <xdr:spPr bwMode="auto">
        <a:xfrm>
          <a:off x="1781175" y="95250"/>
          <a:ext cx="2752725" cy="3810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00FFFF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666699"/>
                  </a:gs>
                  <a:gs pos="50000">
                    <a:srgbClr val="FFFFFF"/>
                  </a:gs>
                  <a:gs pos="100000">
                    <a:srgbClr val="666699"/>
                  </a:gs>
                </a:gsLst>
                <a:lin ang="5400000" scaled="1"/>
              </a:gradFill>
              <a:effectLst>
                <a:prstShdw prst="shdw13" dist="53882" dir="13500000">
                  <a:srgbClr val="875B0D">
                    <a:alpha val="50000"/>
                  </a:srgbClr>
                </a:prstShdw>
              </a:effectLst>
              <a:latin typeface="Arial Black"/>
            </a:rPr>
            <a:t>TIME Calculation</a:t>
          </a:r>
        </a:p>
      </xdr:txBody>
    </xdr:sp>
    <xdr:clientData/>
  </xdr:twoCellAnchor>
  <xdr:twoCellAnchor>
    <xdr:from>
      <xdr:col>1</xdr:col>
      <xdr:colOff>266700</xdr:colOff>
      <xdr:row>0</xdr:row>
      <xdr:rowOff>95250</xdr:rowOff>
    </xdr:from>
    <xdr:to>
      <xdr:col>2</xdr:col>
      <xdr:colOff>600075</xdr:colOff>
      <xdr:row>0</xdr:row>
      <xdr:rowOff>390525</xdr:rowOff>
    </xdr:to>
    <xdr:sp macro="" textlink="">
      <xdr:nvSpPr>
        <xdr:cNvPr id="7174" name="AutoShape 6">
          <a:hlinkClick xmlns:r="http://schemas.openxmlformats.org/officeDocument/2006/relationships" r:id="rId2" tooltip="Home"/>
        </xdr:cNvPr>
        <xdr:cNvSpPr>
          <a:spLocks noChangeArrowheads="1"/>
        </xdr:cNvSpPr>
      </xdr:nvSpPr>
      <xdr:spPr bwMode="auto">
        <a:xfrm>
          <a:off x="504825" y="952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8</xdr:row>
      <xdr:rowOff>95250</xdr:rowOff>
    </xdr:from>
    <xdr:to>
      <xdr:col>6</xdr:col>
      <xdr:colOff>523875</xdr:colOff>
      <xdr:row>36</xdr:row>
      <xdr:rowOff>19050</xdr:rowOff>
    </xdr:to>
    <xdr:pic>
      <xdr:nvPicPr>
        <xdr:cNvPr id="175105" name="Picture 1" descr="Tool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62150" y="1390650"/>
          <a:ext cx="2219325" cy="46577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38</xdr:row>
      <xdr:rowOff>95250</xdr:rowOff>
    </xdr:from>
    <xdr:to>
      <xdr:col>7</xdr:col>
      <xdr:colOff>304800</xdr:colOff>
      <xdr:row>60</xdr:row>
      <xdr:rowOff>57150</xdr:rowOff>
    </xdr:to>
    <xdr:pic>
      <xdr:nvPicPr>
        <xdr:cNvPr id="175106" name="Picture 2" descr="Tool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28800" y="6448425"/>
          <a:ext cx="2743200" cy="35242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361950</xdr:colOff>
      <xdr:row>0</xdr:row>
      <xdr:rowOff>85725</xdr:rowOff>
    </xdr:from>
    <xdr:to>
      <xdr:col>5</xdr:col>
      <xdr:colOff>352425</xdr:colOff>
      <xdr:row>3</xdr:row>
      <xdr:rowOff>104775</xdr:rowOff>
    </xdr:to>
    <xdr:sp macro="" textlink="">
      <xdr:nvSpPr>
        <xdr:cNvPr id="175107" name="WordArt 3"/>
        <xdr:cNvSpPr>
          <a:spLocks noChangeArrowheads="1" noChangeShapeType="1" noTextEdit="1"/>
        </xdr:cNvSpPr>
      </xdr:nvSpPr>
      <xdr:spPr bwMode="auto">
        <a:xfrm>
          <a:off x="1581150" y="85725"/>
          <a:ext cx="1819275" cy="504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PerspectiveBottom"/>
            <a:lightRig rig="legacyFlat3" dir="t"/>
          </a:scene3d>
          <a:sp3d extrusionH="887400" prstMaterial="legacyMatte">
            <a:extrusionClr>
              <a:srgbClr val="FF0000"/>
            </a:extrusionClr>
          </a:sp3d>
        </a:bodyPr>
        <a:lstStyle/>
        <a:p>
          <a:pPr algn="ctr" rtl="0"/>
          <a:r>
            <a:rPr lang="en-US" sz="3600" kern="10" spc="0">
              <a:ln w="12700">
                <a:round/>
                <a:headEnd/>
                <a:tailEnd/>
              </a:ln>
              <a:gradFill rotWithShape="1">
                <a:gsLst>
                  <a:gs pos="0">
                    <a:srgbClr val="FF0000"/>
                  </a:gs>
                  <a:gs pos="100000">
                    <a:srgbClr val="000000"/>
                  </a:gs>
                </a:gsLst>
                <a:lin ang="5400000" scaled="1"/>
              </a:gradFill>
              <a:effectLst/>
              <a:latin typeface="Arial Black"/>
            </a:rPr>
            <a:t>Add-Ins</a:t>
          </a:r>
        </a:p>
      </xdr:txBody>
    </xdr:sp>
    <xdr:clientData/>
  </xdr:twoCellAnchor>
  <xdr:twoCellAnchor>
    <xdr:from>
      <xdr:col>6</xdr:col>
      <xdr:colOff>276225</xdr:colOff>
      <xdr:row>0</xdr:row>
      <xdr:rowOff>38100</xdr:rowOff>
    </xdr:from>
    <xdr:to>
      <xdr:col>11</xdr:col>
      <xdr:colOff>400050</xdr:colOff>
      <xdr:row>4</xdr:row>
      <xdr:rowOff>38100</xdr:rowOff>
    </xdr:to>
    <xdr:sp macro="" textlink="">
      <xdr:nvSpPr>
        <xdr:cNvPr id="175108" name="WordArt 4"/>
        <xdr:cNvSpPr>
          <a:spLocks noChangeArrowheads="1" noChangeShapeType="1" noTextEdit="1"/>
        </xdr:cNvSpPr>
      </xdr:nvSpPr>
      <xdr:spPr bwMode="auto">
        <a:xfrm>
          <a:off x="3933825" y="38100"/>
          <a:ext cx="3171825" cy="6477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PerspectiveBottom"/>
            <a:lightRig rig="legacyFlat3" dir="t"/>
          </a:scene3d>
          <a:sp3d extrusionH="887400" prstMaterial="legacyMatte">
            <a:extrusionClr>
              <a:srgbClr val="520402"/>
            </a:extrusionClr>
          </a:sp3d>
        </a:bodyPr>
        <a:lstStyle/>
        <a:p>
          <a:pPr algn="ctr" rtl="0"/>
          <a:r>
            <a:rPr lang="en-US" sz="3600" kern="10" spc="0">
              <a:ln w="12700">
                <a:round/>
                <a:headEnd/>
                <a:tailEnd/>
              </a:ln>
              <a:gradFill rotWithShape="0">
                <a:gsLst>
                  <a:gs pos="0">
                    <a:srgbClr val="520402"/>
                  </a:gs>
                  <a:gs pos="100000">
                    <a:srgbClr val="FFCC00"/>
                  </a:gs>
                </a:gsLst>
                <a:lin ang="5400000" scaled="1"/>
              </a:gradFill>
              <a:effectLst/>
              <a:latin typeface="Arial Black"/>
            </a:rPr>
            <a:t>Analysis ToolPak</a:t>
          </a:r>
        </a:p>
      </xdr:txBody>
    </xdr:sp>
    <xdr:clientData/>
  </xdr:twoCellAnchor>
  <xdr:twoCellAnchor>
    <xdr:from>
      <xdr:col>0</xdr:col>
      <xdr:colOff>257175</xdr:colOff>
      <xdr:row>8</xdr:row>
      <xdr:rowOff>76200</xdr:rowOff>
    </xdr:from>
    <xdr:to>
      <xdr:col>1</xdr:col>
      <xdr:colOff>66675</xdr:colOff>
      <xdr:row>11</xdr:row>
      <xdr:rowOff>28575</xdr:rowOff>
    </xdr:to>
    <xdr:sp macro="" textlink="">
      <xdr:nvSpPr>
        <xdr:cNvPr id="175111" name="Rectangle 7"/>
        <xdr:cNvSpPr>
          <a:spLocks noChangeArrowheads="1"/>
        </xdr:cNvSpPr>
      </xdr:nvSpPr>
      <xdr:spPr bwMode="auto">
        <a:xfrm>
          <a:off x="257175" y="1371600"/>
          <a:ext cx="419100" cy="49530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64008" tIns="77724" rIns="64008" bIns="77724" anchor="ctr" upright="1"/>
        <a:lstStyle/>
        <a:p>
          <a:pPr algn="ctr" rtl="1">
            <a:defRPr sz="1000"/>
          </a:pPr>
          <a:r>
            <a:rPr lang="en-US" sz="2600" b="0" i="0" strike="noStrike">
              <a:solidFill>
                <a:srgbClr val="000000"/>
              </a:solidFill>
              <a:latin typeface="Arial Black"/>
            </a:rPr>
            <a:t>1</a:t>
          </a:r>
        </a:p>
      </xdr:txBody>
    </xdr:sp>
    <xdr:clientData/>
  </xdr:twoCellAnchor>
  <xdr:twoCellAnchor>
    <xdr:from>
      <xdr:col>0</xdr:col>
      <xdr:colOff>257175</xdr:colOff>
      <xdr:row>40</xdr:row>
      <xdr:rowOff>9525</xdr:rowOff>
    </xdr:from>
    <xdr:to>
      <xdr:col>1</xdr:col>
      <xdr:colOff>66675</xdr:colOff>
      <xdr:row>42</xdr:row>
      <xdr:rowOff>123825</xdr:rowOff>
    </xdr:to>
    <xdr:sp macro="" textlink="">
      <xdr:nvSpPr>
        <xdr:cNvPr id="175112" name="Rectangle 8"/>
        <xdr:cNvSpPr>
          <a:spLocks noChangeArrowheads="1"/>
        </xdr:cNvSpPr>
      </xdr:nvSpPr>
      <xdr:spPr bwMode="auto">
        <a:xfrm>
          <a:off x="257175" y="6686550"/>
          <a:ext cx="419100" cy="43815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64008" tIns="77724" rIns="64008" bIns="77724" anchor="ctr" upright="1"/>
        <a:lstStyle/>
        <a:p>
          <a:pPr algn="ctr" rtl="1">
            <a:defRPr sz="1000"/>
          </a:pPr>
          <a:r>
            <a:rPr lang="en-US" sz="2600" b="0" i="0" strike="noStrike">
              <a:solidFill>
                <a:srgbClr val="000000"/>
              </a:solidFill>
              <a:latin typeface="Arial Black"/>
            </a:rPr>
            <a:t>2</a:t>
          </a:r>
        </a:p>
      </xdr:txBody>
    </xdr:sp>
    <xdr:clientData/>
  </xdr:twoCellAnchor>
  <xdr:twoCellAnchor>
    <xdr:from>
      <xdr:col>6</xdr:col>
      <xdr:colOff>180975</xdr:colOff>
      <xdr:row>30</xdr:row>
      <xdr:rowOff>9525</xdr:rowOff>
    </xdr:from>
    <xdr:to>
      <xdr:col>8</xdr:col>
      <xdr:colOff>47625</xdr:colOff>
      <xdr:row>32</xdr:row>
      <xdr:rowOff>142875</xdr:rowOff>
    </xdr:to>
    <xdr:sp macro="" textlink="">
      <xdr:nvSpPr>
        <xdr:cNvPr id="175113" name="Line 9"/>
        <xdr:cNvSpPr>
          <a:spLocks noChangeShapeType="1"/>
        </xdr:cNvSpPr>
      </xdr:nvSpPr>
      <xdr:spPr bwMode="auto">
        <a:xfrm flipH="1" flipV="1">
          <a:off x="3838575" y="5067300"/>
          <a:ext cx="1085850" cy="45720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104775</xdr:colOff>
      <xdr:row>42</xdr:row>
      <xdr:rowOff>76200</xdr:rowOff>
    </xdr:from>
    <xdr:to>
      <xdr:col>8</xdr:col>
      <xdr:colOff>581025</xdr:colOff>
      <xdr:row>45</xdr:row>
      <xdr:rowOff>47625</xdr:rowOff>
    </xdr:to>
    <xdr:sp macro="" textlink="">
      <xdr:nvSpPr>
        <xdr:cNvPr id="175114" name="Line 10"/>
        <xdr:cNvSpPr>
          <a:spLocks noChangeShapeType="1"/>
        </xdr:cNvSpPr>
      </xdr:nvSpPr>
      <xdr:spPr bwMode="auto">
        <a:xfrm flipH="1" flipV="1">
          <a:off x="4371975" y="7077075"/>
          <a:ext cx="1085850" cy="45720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219075</xdr:colOff>
      <xdr:row>1</xdr:row>
      <xdr:rowOff>47625</xdr:rowOff>
    </xdr:from>
    <xdr:to>
      <xdr:col>1</xdr:col>
      <xdr:colOff>552450</xdr:colOff>
      <xdr:row>3</xdr:row>
      <xdr:rowOff>19050</xdr:rowOff>
    </xdr:to>
    <xdr:sp macro="" textlink="">
      <xdr:nvSpPr>
        <xdr:cNvPr id="175116" name="AutoShape 12">
          <a:hlinkClick xmlns:r="http://schemas.openxmlformats.org/officeDocument/2006/relationships" r:id="rId3" tooltip="Home"/>
        </xdr:cNvPr>
        <xdr:cNvSpPr>
          <a:spLocks noChangeArrowheads="1"/>
        </xdr:cNvSpPr>
      </xdr:nvSpPr>
      <xdr:spPr bwMode="auto">
        <a:xfrm>
          <a:off x="219075" y="209550"/>
          <a:ext cx="942975" cy="295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666699"/>
            </a:gs>
            <a:gs pos="50000">
              <a:srgbClr val="FFFFFF"/>
            </a:gs>
            <a:gs pos="100000">
              <a:srgbClr val="666699"/>
            </a:gs>
          </a:gsLst>
          <a:lin ang="5400000" scaled="1"/>
        </a:gradFill>
        <a:ln w="9525">
          <a:solidFill>
            <a:srgbClr val="6666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800000"/>
              </a:solidFill>
              <a:latin typeface="Arial"/>
              <a:cs typeface="Arial"/>
            </a:rPr>
            <a:t>Back</a:t>
          </a:r>
        </a:p>
      </xdr:txBody>
    </xdr:sp>
    <xdr:clientData fPrintsWithSheet="0"/>
  </xdr:twoCellAnchor>
  <xdr:twoCellAnchor>
    <xdr:from>
      <xdr:col>7</xdr:col>
      <xdr:colOff>180975</xdr:colOff>
      <xdr:row>9</xdr:row>
      <xdr:rowOff>9525</xdr:rowOff>
    </xdr:from>
    <xdr:to>
      <xdr:col>12</xdr:col>
      <xdr:colOff>600075</xdr:colOff>
      <xdr:row>17</xdr:row>
      <xdr:rowOff>66675</xdr:rowOff>
    </xdr:to>
    <xdr:sp macro="" textlink="">
      <xdr:nvSpPr>
        <xdr:cNvPr id="175118" name="Rectangle 14"/>
        <xdr:cNvSpPr>
          <a:spLocks noChangeArrowheads="1"/>
        </xdr:cNvSpPr>
      </xdr:nvSpPr>
      <xdr:spPr bwMode="auto">
        <a:xfrm>
          <a:off x="4448175" y="1466850"/>
          <a:ext cx="3467100" cy="1552575"/>
        </a:xfrm>
        <a:prstGeom prst="rect">
          <a:avLst/>
        </a:prstGeom>
        <a:solidFill>
          <a:srgbClr val="FFFF99"/>
        </a:solidFill>
        <a:ln w="76200" cmpd="tri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1100" b="1" i="0" strike="noStrike">
              <a:solidFill>
                <a:srgbClr val="0000FF"/>
              </a:solidFill>
              <a:latin typeface="Arial"/>
              <a:cs typeface="Arial"/>
            </a:rPr>
            <a:t>The Analysis ToolPak is an add-in file containing extra functions which are not built in to Excel.  The functions cover areas such as Date and Mathematical operations.</a:t>
          </a:r>
        </a:p>
        <a:p>
          <a:pPr algn="l" rtl="1">
            <a:defRPr sz="1000"/>
          </a:pPr>
          <a:endParaRPr lang="en-US" sz="1100" b="1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100" b="1" i="0" strike="noStrike">
              <a:solidFill>
                <a:srgbClr val="0000FF"/>
              </a:solidFill>
              <a:latin typeface="Arial"/>
              <a:cs typeface="Arial"/>
            </a:rPr>
            <a:t>Some of the Formulas required this Analysis ToolPak</a:t>
          </a:r>
        </a:p>
      </xdr:txBody>
    </xdr:sp>
    <xdr:clientData/>
  </xdr:twoCellAnchor>
  <xdr:twoCellAnchor>
    <xdr:from>
      <xdr:col>2</xdr:col>
      <xdr:colOff>28575</xdr:colOff>
      <xdr:row>42</xdr:row>
      <xdr:rowOff>76200</xdr:rowOff>
    </xdr:from>
    <xdr:to>
      <xdr:col>3</xdr:col>
      <xdr:colOff>104775</xdr:colOff>
      <xdr:row>46</xdr:row>
      <xdr:rowOff>9525</xdr:rowOff>
    </xdr:to>
    <xdr:sp macro="" textlink="">
      <xdr:nvSpPr>
        <xdr:cNvPr id="175120" name="Line 16"/>
        <xdr:cNvSpPr>
          <a:spLocks noChangeShapeType="1"/>
        </xdr:cNvSpPr>
      </xdr:nvSpPr>
      <xdr:spPr bwMode="auto">
        <a:xfrm flipV="1">
          <a:off x="1247775" y="7077075"/>
          <a:ext cx="685800" cy="581025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VFAIRPORT\Local%20Settings\Temp\ExcelForm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VFAIRPORT\Local%20Settings\Temp\ExcelFormula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xlfhelp\XLF97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Documentation"/>
      <sheetName val="Instructions"/>
      <sheetName val="Colour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SUM"/>
      <sheetName val="DOLLAR"/>
      <sheetName val="DMIN"/>
      <sheetName val="DMAX"/>
      <sheetName val="DGET"/>
      <sheetName val="DELTA"/>
      <sheetName val="DEC2HEX"/>
      <sheetName val="DEC2BIN"/>
      <sheetName val="DCOUNTA"/>
      <sheetName val="DCOUNT"/>
      <sheetName val="DB"/>
      <sheetName val="DAYS360"/>
      <sheetName val="DAY"/>
      <sheetName val="DAVERAGE"/>
      <sheetName val="DATEVALUE"/>
      <sheetName val="DATEDIF"/>
      <sheetName val="DATE"/>
      <sheetName val="COUNTIF"/>
      <sheetName val="COUNTBLANK"/>
      <sheetName val="COUNTA"/>
      <sheetName val="COUNT"/>
      <sheetName val="CORREL"/>
      <sheetName val="CONVERT"/>
      <sheetName val="CONCATENATE"/>
      <sheetName val="COMBIN"/>
      <sheetName val="CODE"/>
      <sheetName val="CLEAN"/>
      <sheetName val="CHOOSE"/>
      <sheetName val="CHAR"/>
      <sheetName val="CELL"/>
      <sheetName val="CEILING"/>
      <sheetName val="BIN2DEC"/>
      <sheetName val="AVERAGE"/>
      <sheetName val="AREAS"/>
      <sheetName val="AND"/>
      <sheetName val="ADDRESS"/>
      <sheetName val="ABS"/>
      <sheetName val=" AutoSum Shortcut Key"/>
      <sheetName val=" Age Calculation"/>
      <sheetName val=" Brackets in formula"/>
      <sheetName val=" Filename formula"/>
      <sheetName val=" Instant Charts"/>
      <sheetName val="SUM_using_names"/>
      <sheetName val=" Show all formula"/>
      <sheetName val=" Time Calculation"/>
      <sheetName val=" TimeSheet For Flexi"/>
      <sheetName val=" Split ForenameSurname"/>
      <sheetName val=" Percenta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Documentation"/>
      <sheetName val="Instructions"/>
      <sheetName val="Colours"/>
      <sheetName val="Analysis ToolPak"/>
      <sheetName val="FunctionList"/>
      <sheetName val="Show_all_formula"/>
      <sheetName val="SUM_using_names"/>
      <sheetName val="Instant_Charts"/>
      <sheetName val="Filename_formula"/>
      <sheetName val="Brackets_in_formula"/>
      <sheetName val="Calculate_Age"/>
      <sheetName val="AutoSum_Shortcut_Key"/>
      <sheetName val="97 AVERAGEA"/>
      <sheetName val="97 MAXA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GROWTH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INVERS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BTOTAL"/>
      <sheetName val="SUBTOTAL2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TYPE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TimeSheet"/>
      <sheetName val="Project_Dates"/>
      <sheetName val="Macros"/>
      <sheetName val="XLF97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drawing" Target="../drawings/drawing15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showGridLines="0" showRowColHeaders="0" workbookViewId="0">
      <pane xSplit="15" ySplit="27" topLeftCell="P28" activePane="bottomRight" state="frozen"/>
      <selection pane="topRight" activeCell="P1" sqref="P1"/>
      <selection pane="bottomLeft" activeCell="A28" sqref="A28"/>
      <selection pane="bottomRight"/>
    </sheetView>
  </sheetViews>
  <sheetFormatPr defaultRowHeight="12.75" x14ac:dyDescent="0.2"/>
  <cols>
    <col min="1" max="1" width="2.140625" customWidth="1"/>
    <col min="15" max="15" width="2.28515625" customWidth="1"/>
    <col min="16" max="16" width="2.140625" customWidth="1"/>
  </cols>
  <sheetData>
    <row r="1" spans="1:16" ht="18" customHeight="1" x14ac:dyDescent="0.2">
      <c r="A1" s="479"/>
      <c r="B1" s="479"/>
      <c r="C1" s="479"/>
      <c r="D1" s="479"/>
      <c r="E1" s="479"/>
      <c r="F1" s="479"/>
      <c r="G1" s="479"/>
      <c r="H1" s="479"/>
      <c r="I1" s="479"/>
      <c r="J1" s="519" t="s">
        <v>423</v>
      </c>
      <c r="K1" s="523">
        <f ca="1">TODAY()</f>
        <v>45434</v>
      </c>
      <c r="L1" s="523"/>
      <c r="M1" s="523"/>
      <c r="N1" s="523"/>
      <c r="O1" s="479"/>
      <c r="P1" s="1"/>
    </row>
    <row r="2" spans="1:16" x14ac:dyDescent="0.2">
      <c r="A2" s="479"/>
      <c r="O2" s="479"/>
      <c r="P2" s="1"/>
    </row>
    <row r="3" spans="1:16" x14ac:dyDescent="0.2">
      <c r="A3" s="479"/>
      <c r="O3" s="479"/>
      <c r="P3" s="1"/>
    </row>
    <row r="4" spans="1:16" x14ac:dyDescent="0.2">
      <c r="A4" s="479"/>
      <c r="O4" s="479"/>
      <c r="P4" s="1"/>
    </row>
    <row r="5" spans="1:16" x14ac:dyDescent="0.2">
      <c r="A5" s="479"/>
      <c r="O5" s="479"/>
      <c r="P5" s="1"/>
    </row>
    <row r="6" spans="1:16" x14ac:dyDescent="0.2">
      <c r="A6" s="479"/>
      <c r="O6" s="479"/>
      <c r="P6" s="1"/>
    </row>
    <row r="7" spans="1:16" x14ac:dyDescent="0.2">
      <c r="A7" s="479"/>
      <c r="O7" s="479"/>
      <c r="P7" s="1"/>
    </row>
    <row r="8" spans="1:16" x14ac:dyDescent="0.2">
      <c r="A8" s="479"/>
      <c r="O8" s="479"/>
      <c r="P8" s="1"/>
    </row>
    <row r="9" spans="1:16" x14ac:dyDescent="0.2">
      <c r="A9" s="479"/>
      <c r="O9" s="479"/>
      <c r="P9" s="1"/>
    </row>
    <row r="10" spans="1:16" x14ac:dyDescent="0.2">
      <c r="A10" s="479"/>
      <c r="O10" s="479"/>
      <c r="P10" s="1"/>
    </row>
    <row r="11" spans="1:16" x14ac:dyDescent="0.2">
      <c r="A11" s="479"/>
      <c r="O11" s="479"/>
      <c r="P11" s="1"/>
    </row>
    <row r="12" spans="1:16" x14ac:dyDescent="0.2">
      <c r="A12" s="479"/>
      <c r="O12" s="479"/>
      <c r="P12" s="1"/>
    </row>
    <row r="13" spans="1:16" x14ac:dyDescent="0.2">
      <c r="A13" s="479"/>
      <c r="O13" s="479"/>
      <c r="P13" s="1"/>
    </row>
    <row r="14" spans="1:16" x14ac:dyDescent="0.2">
      <c r="A14" s="479"/>
      <c r="O14" s="479"/>
      <c r="P14" s="1"/>
    </row>
    <row r="15" spans="1:16" x14ac:dyDescent="0.2">
      <c r="A15" s="479"/>
      <c r="O15" s="479"/>
      <c r="P15" s="1"/>
    </row>
    <row r="16" spans="1:16" x14ac:dyDescent="0.2">
      <c r="A16" s="479"/>
      <c r="O16" s="479"/>
      <c r="P16" s="1"/>
    </row>
    <row r="17" spans="1:16" x14ac:dyDescent="0.2">
      <c r="A17" s="479"/>
      <c r="O17" s="479"/>
      <c r="P17" s="1"/>
    </row>
    <row r="18" spans="1:16" x14ac:dyDescent="0.2">
      <c r="A18" s="479"/>
      <c r="O18" s="479"/>
      <c r="P18" s="1"/>
    </row>
    <row r="19" spans="1:16" x14ac:dyDescent="0.2">
      <c r="A19" s="479"/>
      <c r="O19" s="479"/>
      <c r="P19" s="1"/>
    </row>
    <row r="20" spans="1:16" x14ac:dyDescent="0.2">
      <c r="A20" s="479"/>
      <c r="O20" s="479"/>
      <c r="P20" s="1"/>
    </row>
    <row r="21" spans="1:16" x14ac:dyDescent="0.2">
      <c r="A21" s="479"/>
      <c r="O21" s="479"/>
      <c r="P21" s="1"/>
    </row>
    <row r="22" spans="1:16" x14ac:dyDescent="0.2">
      <c r="A22" s="479"/>
      <c r="O22" s="479"/>
      <c r="P22" s="1"/>
    </row>
    <row r="23" spans="1:16" x14ac:dyDescent="0.2">
      <c r="A23" s="479"/>
      <c r="O23" s="479"/>
      <c r="P23" s="1"/>
    </row>
    <row r="24" spans="1:16" x14ac:dyDescent="0.2">
      <c r="A24" s="479"/>
      <c r="O24" s="479"/>
      <c r="P24" s="1"/>
    </row>
    <row r="25" spans="1:16" x14ac:dyDescent="0.2">
      <c r="A25" s="479"/>
      <c r="O25" s="479"/>
      <c r="P25" s="1"/>
    </row>
    <row r="26" spans="1:16" x14ac:dyDescent="0.2">
      <c r="A26" s="479"/>
      <c r="O26" s="479"/>
      <c r="P26" s="1"/>
    </row>
    <row r="27" spans="1:16" x14ac:dyDescent="0.2">
      <c r="A27" s="479"/>
      <c r="B27" s="520" t="s">
        <v>424</v>
      </c>
      <c r="C27" s="479"/>
      <c r="D27" s="479"/>
      <c r="E27" s="479"/>
      <c r="F27" s="479"/>
      <c r="G27" s="479"/>
      <c r="H27" s="479"/>
      <c r="I27" s="479"/>
      <c r="J27" s="479"/>
      <c r="K27" s="479"/>
      <c r="L27" s="479"/>
      <c r="M27" s="479"/>
      <c r="N27" s="479"/>
      <c r="O27" s="479"/>
      <c r="P27" s="1"/>
    </row>
  </sheetData>
  <sheetProtection password="F663" sheet="1" objects="1" scenarios="1" selectLockedCells="1"/>
  <mergeCells count="1">
    <mergeCell ref="K1:N1"/>
  </mergeCells>
  <phoneticPr fontId="0" type="noConversion"/>
  <pageMargins left="0.75" right="0.75" top="1" bottom="1" header="0.5" footer="0.5"/>
  <headerFooter alignWithMargins="0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382"/>
  <sheetViews>
    <sheetView showGridLines="0" workbookViewId="0">
      <pane ySplit="5" topLeftCell="A12" activePane="bottomLeft" state="frozen"/>
      <selection pane="bottomLeft" activeCell="A6" sqref="A6"/>
    </sheetView>
  </sheetViews>
  <sheetFormatPr defaultRowHeight="12.75" x14ac:dyDescent="0.2"/>
  <cols>
    <col min="1" max="1" width="10.140625" customWidth="1"/>
    <col min="13" max="13" width="24.28515625" style="471" customWidth="1"/>
  </cols>
  <sheetData>
    <row r="1" spans="1:16" ht="24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</row>
    <row r="2" spans="1:16" ht="23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1"/>
      <c r="O2" s="1"/>
      <c r="P2" s="1"/>
    </row>
    <row r="3" spans="1:1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1"/>
      <c r="O3" s="1"/>
      <c r="P3" s="1"/>
    </row>
    <row r="4" spans="1:16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N4" s="1"/>
      <c r="O4" s="1"/>
      <c r="P4" s="1"/>
    </row>
    <row r="5" spans="1:16" ht="15.75" x14ac:dyDescent="0.2">
      <c r="A5" s="1"/>
      <c r="B5" s="1"/>
      <c r="C5" s="1"/>
      <c r="D5" s="1"/>
      <c r="E5" s="1"/>
      <c r="F5" s="1"/>
      <c r="G5" s="521" t="s">
        <v>2011</v>
      </c>
      <c r="H5" s="524">
        <f ca="1">TODAY()</f>
        <v>45434</v>
      </c>
      <c r="I5" s="524"/>
      <c r="J5" s="524"/>
      <c r="K5" s="524"/>
      <c r="L5" s="1"/>
      <c r="N5" s="1"/>
      <c r="O5" s="1"/>
      <c r="P5" s="1"/>
    </row>
    <row r="6" spans="1:16" x14ac:dyDescent="0.2">
      <c r="A6" s="522"/>
      <c r="M6" s="472"/>
    </row>
    <row r="7" spans="1:16" x14ac:dyDescent="0.2">
      <c r="M7" s="472"/>
    </row>
    <row r="8" spans="1:16" x14ac:dyDescent="0.2">
      <c r="M8" s="472"/>
    </row>
    <row r="9" spans="1:16" x14ac:dyDescent="0.2">
      <c r="M9" s="472"/>
    </row>
    <row r="10" spans="1:16" x14ac:dyDescent="0.2">
      <c r="M10" s="472"/>
    </row>
    <row r="11" spans="1:16" x14ac:dyDescent="0.2">
      <c r="M11" s="472"/>
    </row>
    <row r="12" spans="1:16" x14ac:dyDescent="0.2">
      <c r="M12" s="472"/>
    </row>
    <row r="13" spans="1:16" x14ac:dyDescent="0.2">
      <c r="M13" s="472"/>
    </row>
    <row r="14" spans="1:16" x14ac:dyDescent="0.2">
      <c r="M14" s="472"/>
    </row>
    <row r="15" spans="1:16" x14ac:dyDescent="0.2">
      <c r="M15" s="472"/>
    </row>
    <row r="16" spans="1:16" x14ac:dyDescent="0.2">
      <c r="M16" s="472"/>
    </row>
    <row r="17" spans="13:13" x14ac:dyDescent="0.2">
      <c r="M17" s="472"/>
    </row>
    <row r="18" spans="13:13" x14ac:dyDescent="0.2">
      <c r="M18" s="472"/>
    </row>
    <row r="19" spans="13:13" x14ac:dyDescent="0.2">
      <c r="M19" s="472"/>
    </row>
    <row r="20" spans="13:13" x14ac:dyDescent="0.2">
      <c r="M20" s="473"/>
    </row>
    <row r="21" spans="13:13" x14ac:dyDescent="0.2">
      <c r="M21" s="472"/>
    </row>
    <row r="22" spans="13:13" x14ac:dyDescent="0.2">
      <c r="M22" s="472"/>
    </row>
    <row r="23" spans="13:13" x14ac:dyDescent="0.2">
      <c r="M23" s="472"/>
    </row>
    <row r="24" spans="13:13" x14ac:dyDescent="0.2">
      <c r="M24" s="472"/>
    </row>
    <row r="25" spans="13:13" x14ac:dyDescent="0.2">
      <c r="M25" s="472"/>
    </row>
    <row r="26" spans="13:13" x14ac:dyDescent="0.2">
      <c r="M26" s="472"/>
    </row>
    <row r="27" spans="13:13" x14ac:dyDescent="0.2">
      <c r="M27" s="472"/>
    </row>
    <row r="28" spans="13:13" x14ac:dyDescent="0.2">
      <c r="M28" s="472"/>
    </row>
    <row r="29" spans="13:13" x14ac:dyDescent="0.2">
      <c r="M29" s="472"/>
    </row>
    <row r="30" spans="13:13" x14ac:dyDescent="0.2">
      <c r="M30" s="472"/>
    </row>
    <row r="31" spans="13:13" x14ac:dyDescent="0.2">
      <c r="M31" s="472"/>
    </row>
    <row r="32" spans="13:13" x14ac:dyDescent="0.2">
      <c r="M32" s="472"/>
    </row>
    <row r="33" spans="13:13" x14ac:dyDescent="0.2">
      <c r="M33" s="472"/>
    </row>
    <row r="34" spans="13:13" x14ac:dyDescent="0.2">
      <c r="M34" s="472"/>
    </row>
    <row r="35" spans="13:13" x14ac:dyDescent="0.2">
      <c r="M35" s="472"/>
    </row>
    <row r="36" spans="13:13" x14ac:dyDescent="0.2">
      <c r="M36" s="472"/>
    </row>
    <row r="37" spans="13:13" x14ac:dyDescent="0.2">
      <c r="M37" s="472"/>
    </row>
    <row r="38" spans="13:13" x14ac:dyDescent="0.2">
      <c r="M38" s="472"/>
    </row>
    <row r="39" spans="13:13" x14ac:dyDescent="0.2">
      <c r="M39" s="472"/>
    </row>
    <row r="40" spans="13:13" x14ac:dyDescent="0.2">
      <c r="M40" s="472"/>
    </row>
    <row r="41" spans="13:13" x14ac:dyDescent="0.2">
      <c r="M41" s="472"/>
    </row>
    <row r="42" spans="13:13" x14ac:dyDescent="0.2">
      <c r="M42" s="472"/>
    </row>
    <row r="43" spans="13:13" x14ac:dyDescent="0.2">
      <c r="M43" s="472"/>
    </row>
    <row r="44" spans="13:13" x14ac:dyDescent="0.2">
      <c r="M44" s="472"/>
    </row>
    <row r="45" spans="13:13" x14ac:dyDescent="0.2">
      <c r="M45" s="472"/>
    </row>
    <row r="46" spans="13:13" x14ac:dyDescent="0.2">
      <c r="M46" s="472"/>
    </row>
    <row r="47" spans="13:13" x14ac:dyDescent="0.2">
      <c r="M47" s="472"/>
    </row>
    <row r="48" spans="13:13" x14ac:dyDescent="0.2">
      <c r="M48" s="472"/>
    </row>
    <row r="49" spans="13:13" x14ac:dyDescent="0.2">
      <c r="M49" s="472"/>
    </row>
    <row r="50" spans="13:13" x14ac:dyDescent="0.2">
      <c r="M50" s="472"/>
    </row>
    <row r="51" spans="13:13" x14ac:dyDescent="0.2">
      <c r="M51" s="472"/>
    </row>
    <row r="52" spans="13:13" x14ac:dyDescent="0.2">
      <c r="M52" s="472"/>
    </row>
    <row r="53" spans="13:13" x14ac:dyDescent="0.2">
      <c r="M53" s="472"/>
    </row>
    <row r="54" spans="13:13" x14ac:dyDescent="0.2">
      <c r="M54" s="472"/>
    </row>
    <row r="55" spans="13:13" x14ac:dyDescent="0.2">
      <c r="M55" s="472"/>
    </row>
    <row r="56" spans="13:13" x14ac:dyDescent="0.2">
      <c r="M56" s="472"/>
    </row>
    <row r="57" spans="13:13" x14ac:dyDescent="0.2">
      <c r="M57" s="472"/>
    </row>
    <row r="58" spans="13:13" x14ac:dyDescent="0.2">
      <c r="M58" s="472"/>
    </row>
    <row r="59" spans="13:13" x14ac:dyDescent="0.2">
      <c r="M59" s="472"/>
    </row>
    <row r="60" spans="13:13" x14ac:dyDescent="0.2">
      <c r="M60" s="472"/>
    </row>
    <row r="61" spans="13:13" x14ac:dyDescent="0.2">
      <c r="M61" s="472"/>
    </row>
    <row r="62" spans="13:13" x14ac:dyDescent="0.2">
      <c r="M62" s="472"/>
    </row>
    <row r="63" spans="13:13" x14ac:dyDescent="0.2">
      <c r="M63" s="472"/>
    </row>
    <row r="64" spans="13:13" x14ac:dyDescent="0.2">
      <c r="M64" s="472"/>
    </row>
    <row r="65" spans="13:13" x14ac:dyDescent="0.2">
      <c r="M65" s="472"/>
    </row>
    <row r="66" spans="13:13" x14ac:dyDescent="0.2">
      <c r="M66" s="472"/>
    </row>
    <row r="67" spans="13:13" x14ac:dyDescent="0.2">
      <c r="M67" s="472"/>
    </row>
    <row r="68" spans="13:13" x14ac:dyDescent="0.2">
      <c r="M68" s="472"/>
    </row>
    <row r="69" spans="13:13" x14ac:dyDescent="0.2">
      <c r="M69" s="472"/>
    </row>
    <row r="70" spans="13:13" x14ac:dyDescent="0.2">
      <c r="M70" s="472"/>
    </row>
    <row r="71" spans="13:13" x14ac:dyDescent="0.2">
      <c r="M71" s="472"/>
    </row>
    <row r="72" spans="13:13" x14ac:dyDescent="0.2">
      <c r="M72" s="472"/>
    </row>
    <row r="73" spans="13:13" x14ac:dyDescent="0.2">
      <c r="M73" s="472"/>
    </row>
    <row r="74" spans="13:13" x14ac:dyDescent="0.2">
      <c r="M74" s="472"/>
    </row>
    <row r="75" spans="13:13" x14ac:dyDescent="0.2">
      <c r="M75" s="472"/>
    </row>
    <row r="76" spans="13:13" x14ac:dyDescent="0.2">
      <c r="M76" s="472"/>
    </row>
    <row r="77" spans="13:13" x14ac:dyDescent="0.2">
      <c r="M77" s="472"/>
    </row>
    <row r="78" spans="13:13" x14ac:dyDescent="0.2">
      <c r="M78" s="472"/>
    </row>
    <row r="79" spans="13:13" x14ac:dyDescent="0.2">
      <c r="M79" s="472"/>
    </row>
    <row r="80" spans="13:13" x14ac:dyDescent="0.2">
      <c r="M80" s="472"/>
    </row>
    <row r="81" spans="13:13" x14ac:dyDescent="0.2">
      <c r="M81" s="472"/>
    </row>
    <row r="82" spans="13:13" x14ac:dyDescent="0.2">
      <c r="M82" s="472"/>
    </row>
    <row r="83" spans="13:13" x14ac:dyDescent="0.2">
      <c r="M83" s="472"/>
    </row>
    <row r="84" spans="13:13" x14ac:dyDescent="0.2">
      <c r="M84" s="472"/>
    </row>
    <row r="85" spans="13:13" x14ac:dyDescent="0.2">
      <c r="M85" s="472"/>
    </row>
    <row r="86" spans="13:13" x14ac:dyDescent="0.2">
      <c r="M86" s="472"/>
    </row>
    <row r="87" spans="13:13" x14ac:dyDescent="0.2">
      <c r="M87" s="472"/>
    </row>
    <row r="88" spans="13:13" x14ac:dyDescent="0.2">
      <c r="M88" s="472"/>
    </row>
    <row r="89" spans="13:13" x14ac:dyDescent="0.2">
      <c r="M89" s="472"/>
    </row>
    <row r="90" spans="13:13" x14ac:dyDescent="0.2">
      <c r="M90" s="472"/>
    </row>
    <row r="91" spans="13:13" x14ac:dyDescent="0.2">
      <c r="M91" s="472"/>
    </row>
    <row r="92" spans="13:13" x14ac:dyDescent="0.2">
      <c r="M92" s="472"/>
    </row>
    <row r="93" spans="13:13" x14ac:dyDescent="0.2">
      <c r="M93" s="472"/>
    </row>
    <row r="94" spans="13:13" x14ac:dyDescent="0.2">
      <c r="M94" s="474"/>
    </row>
    <row r="95" spans="13:13" x14ac:dyDescent="0.2">
      <c r="M95" s="472"/>
    </row>
    <row r="96" spans="13:13" x14ac:dyDescent="0.2">
      <c r="M96" s="472"/>
    </row>
    <row r="97" spans="13:13" x14ac:dyDescent="0.2">
      <c r="M97" s="472"/>
    </row>
    <row r="98" spans="13:13" x14ac:dyDescent="0.2">
      <c r="M98" s="475"/>
    </row>
    <row r="99" spans="13:13" x14ac:dyDescent="0.2">
      <c r="M99" s="472"/>
    </row>
    <row r="100" spans="13:13" x14ac:dyDescent="0.2">
      <c r="M100" s="474"/>
    </row>
    <row r="101" spans="13:13" x14ac:dyDescent="0.2">
      <c r="M101" s="472"/>
    </row>
    <row r="102" spans="13:13" x14ac:dyDescent="0.2">
      <c r="M102" s="472"/>
    </row>
    <row r="103" spans="13:13" x14ac:dyDescent="0.2">
      <c r="M103" s="472"/>
    </row>
    <row r="104" spans="13:13" x14ac:dyDescent="0.2">
      <c r="M104" s="472"/>
    </row>
    <row r="105" spans="13:13" x14ac:dyDescent="0.2">
      <c r="M105" s="472"/>
    </row>
    <row r="106" spans="13:13" x14ac:dyDescent="0.2">
      <c r="M106" s="472"/>
    </row>
    <row r="107" spans="13:13" x14ac:dyDescent="0.2">
      <c r="M107" s="472"/>
    </row>
    <row r="108" spans="13:13" x14ac:dyDescent="0.2">
      <c r="M108" s="472"/>
    </row>
    <row r="109" spans="13:13" x14ac:dyDescent="0.2">
      <c r="M109" s="472"/>
    </row>
    <row r="110" spans="13:13" x14ac:dyDescent="0.2">
      <c r="M110" s="472"/>
    </row>
    <row r="111" spans="13:13" x14ac:dyDescent="0.2">
      <c r="M111" s="472"/>
    </row>
    <row r="112" spans="13:13" x14ac:dyDescent="0.2">
      <c r="M112" s="472"/>
    </row>
    <row r="113" spans="6:13" x14ac:dyDescent="0.2">
      <c r="M113" s="472"/>
    </row>
    <row r="114" spans="6:13" x14ac:dyDescent="0.2">
      <c r="M114" s="472"/>
    </row>
    <row r="115" spans="6:13" x14ac:dyDescent="0.2">
      <c r="M115" s="472"/>
    </row>
    <row r="116" spans="6:13" x14ac:dyDescent="0.2">
      <c r="M116" s="472"/>
    </row>
    <row r="117" spans="6:13" x14ac:dyDescent="0.2">
      <c r="M117" s="472"/>
    </row>
    <row r="118" spans="6:13" x14ac:dyDescent="0.2">
      <c r="M118" s="472"/>
    </row>
    <row r="119" spans="6:13" x14ac:dyDescent="0.2">
      <c r="M119" s="472"/>
    </row>
    <row r="120" spans="6:13" x14ac:dyDescent="0.2">
      <c r="M120" s="472"/>
    </row>
    <row r="121" spans="6:13" x14ac:dyDescent="0.2">
      <c r="M121" s="472"/>
    </row>
    <row r="122" spans="6:13" x14ac:dyDescent="0.2">
      <c r="M122" s="472"/>
    </row>
    <row r="123" spans="6:13" x14ac:dyDescent="0.2">
      <c r="M123" s="474"/>
    </row>
    <row r="124" spans="6:13" x14ac:dyDescent="0.2">
      <c r="M124" s="472"/>
    </row>
    <row r="125" spans="6:13" x14ac:dyDescent="0.2">
      <c r="M125" s="472"/>
    </row>
    <row r="126" spans="6:13" x14ac:dyDescent="0.2">
      <c r="M126" s="472"/>
    </row>
    <row r="127" spans="6:13" x14ac:dyDescent="0.2">
      <c r="M127" s="472"/>
    </row>
    <row r="128" spans="6:13" x14ac:dyDescent="0.2">
      <c r="F128" s="1"/>
      <c r="M128" s="472"/>
    </row>
    <row r="129" spans="13:13" x14ac:dyDescent="0.2">
      <c r="M129" s="472"/>
    </row>
    <row r="130" spans="13:13" x14ac:dyDescent="0.2">
      <c r="M130" s="472"/>
    </row>
    <row r="131" spans="13:13" x14ac:dyDescent="0.2">
      <c r="M131" s="472"/>
    </row>
    <row r="132" spans="13:13" x14ac:dyDescent="0.2">
      <c r="M132" s="472"/>
    </row>
    <row r="133" spans="13:13" x14ac:dyDescent="0.2">
      <c r="M133" s="472"/>
    </row>
    <row r="134" spans="13:13" x14ac:dyDescent="0.2">
      <c r="M134" s="472"/>
    </row>
    <row r="135" spans="13:13" x14ac:dyDescent="0.2">
      <c r="M135" s="472"/>
    </row>
    <row r="136" spans="13:13" x14ac:dyDescent="0.2">
      <c r="M136" s="472"/>
    </row>
    <row r="137" spans="13:13" x14ac:dyDescent="0.2">
      <c r="M137" s="472"/>
    </row>
    <row r="138" spans="13:13" x14ac:dyDescent="0.2">
      <c r="M138" s="472"/>
    </row>
    <row r="139" spans="13:13" x14ac:dyDescent="0.2">
      <c r="M139" s="472"/>
    </row>
    <row r="140" spans="13:13" x14ac:dyDescent="0.2">
      <c r="M140" s="472"/>
    </row>
    <row r="141" spans="13:13" x14ac:dyDescent="0.2">
      <c r="M141" s="472"/>
    </row>
    <row r="142" spans="13:13" x14ac:dyDescent="0.2">
      <c r="M142" s="474"/>
    </row>
    <row r="143" spans="13:13" x14ac:dyDescent="0.2">
      <c r="M143" s="472"/>
    </row>
    <row r="144" spans="13:13" x14ac:dyDescent="0.2">
      <c r="M144" s="472"/>
    </row>
    <row r="145" spans="13:13" x14ac:dyDescent="0.2">
      <c r="M145" s="472"/>
    </row>
    <row r="146" spans="13:13" x14ac:dyDescent="0.2">
      <c r="M146" s="474"/>
    </row>
    <row r="147" spans="13:13" x14ac:dyDescent="0.2">
      <c r="M147" s="474"/>
    </row>
    <row r="148" spans="13:13" x14ac:dyDescent="0.2">
      <c r="M148" s="472"/>
    </row>
    <row r="149" spans="13:13" x14ac:dyDescent="0.2">
      <c r="M149" s="472"/>
    </row>
    <row r="150" spans="13:13" x14ac:dyDescent="0.2">
      <c r="M150" s="472"/>
    </row>
    <row r="151" spans="13:13" x14ac:dyDescent="0.2">
      <c r="M151" s="472"/>
    </row>
    <row r="152" spans="13:13" x14ac:dyDescent="0.2">
      <c r="M152" s="472"/>
    </row>
    <row r="153" spans="13:13" x14ac:dyDescent="0.2">
      <c r="M153" s="472"/>
    </row>
    <row r="154" spans="13:13" x14ac:dyDescent="0.2">
      <c r="M154" s="472"/>
    </row>
    <row r="155" spans="13:13" x14ac:dyDescent="0.2">
      <c r="M155" s="472"/>
    </row>
    <row r="156" spans="13:13" x14ac:dyDescent="0.2">
      <c r="M156" s="472"/>
    </row>
    <row r="157" spans="13:13" x14ac:dyDescent="0.2">
      <c r="M157" s="472"/>
    </row>
    <row r="158" spans="13:13" x14ac:dyDescent="0.2">
      <c r="M158" s="472"/>
    </row>
    <row r="159" spans="13:13" x14ac:dyDescent="0.2">
      <c r="M159" s="472"/>
    </row>
    <row r="160" spans="13:13" x14ac:dyDescent="0.2">
      <c r="M160" s="472"/>
    </row>
    <row r="161" spans="13:13" x14ac:dyDescent="0.2">
      <c r="M161" s="472"/>
    </row>
    <row r="207" spans="6:6" x14ac:dyDescent="0.2">
      <c r="F207" s="1"/>
    </row>
    <row r="254" spans="6:6" x14ac:dyDescent="0.2">
      <c r="F254" s="1"/>
    </row>
    <row r="310" spans="6:6" x14ac:dyDescent="0.2">
      <c r="F310" s="471"/>
    </row>
    <row r="357" spans="6:6" x14ac:dyDescent="0.2">
      <c r="F357" s="1"/>
    </row>
    <row r="382" spans="1:1" x14ac:dyDescent="0.2">
      <c r="A382" s="522"/>
    </row>
  </sheetData>
  <sheetProtection password="F663" sheet="1" objects="1" scenarios="1" selectLockedCells="1"/>
  <mergeCells count="1">
    <mergeCell ref="H5:K5"/>
  </mergeCells>
  <phoneticPr fontId="0" type="noConversion"/>
  <pageMargins left="0.75" right="0.75" top="1" bottom="1" header="0.5" footer="0.5"/>
  <pageSetup orientation="portrait" r:id="rId1"/>
  <headerFooter alignWithMargins="0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I38"/>
  <sheetViews>
    <sheetView showGridLines="0" workbookViewId="0">
      <pane ySplit="1" topLeftCell="A2" activePane="bottomLeft" state="frozen"/>
      <selection activeCell="A3" sqref="A3"/>
      <selection pane="bottomLeft" activeCell="C16" sqref="C16"/>
    </sheetView>
  </sheetViews>
  <sheetFormatPr defaultRowHeight="12.75" x14ac:dyDescent="0.2"/>
  <cols>
    <col min="1" max="1" width="3" customWidth="1"/>
    <col min="3" max="3" width="10.5703125" customWidth="1"/>
    <col min="4" max="4" width="14.140625" customWidth="1"/>
    <col min="5" max="5" width="12.140625" customWidth="1"/>
    <col min="6" max="6" width="19.140625" customWidth="1"/>
    <col min="8" max="8" width="8.42578125" customWidth="1"/>
  </cols>
  <sheetData>
    <row r="1" spans="1:9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2921</v>
      </c>
      <c r="D3" s="6" t="s">
        <v>2923</v>
      </c>
      <c r="E3" s="6" t="s">
        <v>146</v>
      </c>
    </row>
    <row r="4" spans="1:9" x14ac:dyDescent="0.2">
      <c r="C4" s="161">
        <v>35796</v>
      </c>
      <c r="D4" s="161">
        <v>35886</v>
      </c>
      <c r="E4" s="8">
        <f>YEARFRAC(C4,D4)</f>
        <v>0.25</v>
      </c>
      <c r="F4" s="66" t="s">
        <v>147</v>
      </c>
    </row>
    <row r="5" spans="1:9" x14ac:dyDescent="0.2">
      <c r="C5" s="161">
        <v>35796</v>
      </c>
      <c r="D5" s="161">
        <v>36160</v>
      </c>
      <c r="E5" s="82">
        <f>YEARFRAC(C5,D5)</f>
        <v>1</v>
      </c>
      <c r="F5" s="66" t="s">
        <v>148</v>
      </c>
    </row>
    <row r="6" spans="1:9" x14ac:dyDescent="0.2">
      <c r="C6" s="161">
        <v>35796</v>
      </c>
      <c r="D6" s="161">
        <v>35886</v>
      </c>
      <c r="E6" s="39">
        <f>YEARFRAC(C6,D6)</f>
        <v>0.25</v>
      </c>
      <c r="F6" s="66" t="s">
        <v>149</v>
      </c>
    </row>
    <row r="8" spans="1:9" ht="13.5" thickBot="1" x14ac:dyDescent="0.25">
      <c r="B8" s="2" t="s">
        <v>3118</v>
      </c>
      <c r="C8" s="2"/>
      <c r="D8" s="2"/>
      <c r="E8" s="2"/>
      <c r="F8" s="2"/>
      <c r="G8" s="2"/>
      <c r="H8" s="2"/>
    </row>
    <row r="9" spans="1:9" x14ac:dyDescent="0.2">
      <c r="B9" t="s">
        <v>150</v>
      </c>
    </row>
    <row r="10" spans="1:9" x14ac:dyDescent="0.2">
      <c r="B10" t="s">
        <v>151</v>
      </c>
    </row>
    <row r="12" spans="1:9" ht="13.5" thickBot="1" x14ac:dyDescent="0.25">
      <c r="B12" s="2" t="s">
        <v>998</v>
      </c>
      <c r="C12" s="2"/>
      <c r="D12" s="2"/>
      <c r="E12" s="2"/>
      <c r="F12" s="2"/>
      <c r="G12" s="2"/>
      <c r="H12" s="2"/>
    </row>
    <row r="13" spans="1:9" x14ac:dyDescent="0.2">
      <c r="B13" t="s">
        <v>152</v>
      </c>
    </row>
    <row r="14" spans="1:9" x14ac:dyDescent="0.2">
      <c r="B14" t="s">
        <v>153</v>
      </c>
    </row>
    <row r="15" spans="1:9" x14ac:dyDescent="0.2">
      <c r="B15" t="s">
        <v>154</v>
      </c>
    </row>
    <row r="16" spans="1:9" x14ac:dyDescent="0.2">
      <c r="B16" t="s">
        <v>155</v>
      </c>
    </row>
    <row r="17" spans="2:8" x14ac:dyDescent="0.2">
      <c r="B17" t="s">
        <v>156</v>
      </c>
    </row>
    <row r="18" spans="2:8" x14ac:dyDescent="0.2">
      <c r="B18" t="s">
        <v>2268</v>
      </c>
    </row>
    <row r="19" spans="2:8" x14ac:dyDescent="0.2">
      <c r="B19" t="s">
        <v>2269</v>
      </c>
    </row>
    <row r="21" spans="2:8" ht="13.5" thickBot="1" x14ac:dyDescent="0.25">
      <c r="B21" s="2" t="s">
        <v>3355</v>
      </c>
      <c r="C21" s="2"/>
      <c r="D21" s="2"/>
      <c r="E21" s="2"/>
      <c r="F21" s="2"/>
      <c r="G21" s="2"/>
      <c r="H21" s="2"/>
    </row>
    <row r="22" spans="2:8" x14ac:dyDescent="0.2">
      <c r="B22" t="s">
        <v>2270</v>
      </c>
    </row>
    <row r="24" spans="2:8" ht="13.5" thickBot="1" x14ac:dyDescent="0.25">
      <c r="B24" s="2" t="s">
        <v>1001</v>
      </c>
      <c r="C24" s="2"/>
      <c r="D24" s="2"/>
      <c r="E24" s="2"/>
      <c r="F24" s="2"/>
      <c r="G24" s="2"/>
      <c r="H24" s="2"/>
    </row>
    <row r="25" spans="2:8" x14ac:dyDescent="0.2">
      <c r="B25" t="s">
        <v>2271</v>
      </c>
    </row>
    <row r="26" spans="2:8" x14ac:dyDescent="0.2">
      <c r="B26" t="s">
        <v>2272</v>
      </c>
    </row>
    <row r="27" spans="2:8" x14ac:dyDescent="0.2">
      <c r="B27" t="s">
        <v>2273</v>
      </c>
    </row>
    <row r="28" spans="2:8" x14ac:dyDescent="0.2">
      <c r="B28" t="s">
        <v>2274</v>
      </c>
    </row>
    <row r="29" spans="2:8" x14ac:dyDescent="0.2">
      <c r="B29" t="s">
        <v>2275</v>
      </c>
    </row>
    <row r="31" spans="2:8" x14ac:dyDescent="0.2">
      <c r="B31" s="6" t="s">
        <v>2490</v>
      </c>
      <c r="C31" s="6" t="s">
        <v>2491</v>
      </c>
      <c r="D31" s="6" t="s">
        <v>2276</v>
      </c>
      <c r="E31" s="6" t="s">
        <v>2277</v>
      </c>
    </row>
    <row r="32" spans="2:8" x14ac:dyDescent="0.2">
      <c r="B32" s="161">
        <v>35796</v>
      </c>
      <c r="C32" s="161">
        <v>36160</v>
      </c>
      <c r="D32" s="83">
        <v>12000</v>
      </c>
      <c r="E32" s="252">
        <f>YEARFRAC(B32,C32+1,4)*D32</f>
        <v>12000</v>
      </c>
      <c r="F32" s="13" t="s">
        <v>2278</v>
      </c>
    </row>
    <row r="33" spans="2:6" x14ac:dyDescent="0.2">
      <c r="B33" s="161">
        <v>35796</v>
      </c>
      <c r="C33" s="161">
        <v>35885</v>
      </c>
      <c r="D33" s="83">
        <v>12000</v>
      </c>
      <c r="E33" s="252">
        <f>YEARFRAC(B33,C33+1,4)*D33</f>
        <v>3000</v>
      </c>
      <c r="F33" s="13" t="s">
        <v>2279</v>
      </c>
    </row>
    <row r="34" spans="2:6" x14ac:dyDescent="0.2">
      <c r="B34" s="161">
        <v>35796</v>
      </c>
      <c r="C34" s="161">
        <v>35976</v>
      </c>
      <c r="D34" s="83">
        <v>12000</v>
      </c>
      <c r="E34" s="252">
        <f>YEARFRAC(B34,C34+1,4)*D34</f>
        <v>6000</v>
      </c>
      <c r="F34" s="13" t="s">
        <v>2280</v>
      </c>
    </row>
    <row r="36" spans="2:6" x14ac:dyDescent="0.2">
      <c r="B36" t="s">
        <v>2659</v>
      </c>
    </row>
    <row r="37" spans="2:6" x14ac:dyDescent="0.2">
      <c r="B37" t="s">
        <v>2281</v>
      </c>
    </row>
    <row r="38" spans="2:6" x14ac:dyDescent="0.2">
      <c r="B38" t="s">
        <v>2282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6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K13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5703125" customWidth="1"/>
    <col min="5" max="5" width="11.42578125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  <c r="K1" s="478"/>
    </row>
    <row r="3" spans="1:11" x14ac:dyDescent="0.2">
      <c r="C3" s="6" t="s">
        <v>1463</v>
      </c>
      <c r="D3" s="6" t="s">
        <v>1626</v>
      </c>
    </row>
    <row r="4" spans="1:11" x14ac:dyDescent="0.2">
      <c r="C4" s="161">
        <v>36154</v>
      </c>
      <c r="D4" s="8">
        <f>YEAR(C4)</f>
        <v>1998</v>
      </c>
      <c r="E4" s="63" t="s">
        <v>142</v>
      </c>
    </row>
    <row r="6" spans="1:11" ht="13.5" thickBot="1" x14ac:dyDescent="0.25">
      <c r="B6" s="2" t="s">
        <v>3118</v>
      </c>
      <c r="C6" s="2"/>
      <c r="D6" s="2"/>
      <c r="E6" s="2"/>
      <c r="F6" s="2"/>
      <c r="G6" s="2"/>
      <c r="H6" s="2"/>
      <c r="I6" s="2"/>
    </row>
    <row r="7" spans="1:11" x14ac:dyDescent="0.2">
      <c r="B7" t="s">
        <v>143</v>
      </c>
    </row>
    <row r="9" spans="1:11" ht="13.5" thickBot="1" x14ac:dyDescent="0.25">
      <c r="B9" s="2" t="s">
        <v>998</v>
      </c>
      <c r="C9" s="2"/>
      <c r="D9" s="2"/>
      <c r="E9" s="2"/>
      <c r="F9" s="2"/>
      <c r="G9" s="2"/>
      <c r="H9" s="2"/>
      <c r="I9" s="2"/>
    </row>
    <row r="10" spans="1:11" x14ac:dyDescent="0.2">
      <c r="B10" t="s">
        <v>144</v>
      </c>
    </row>
    <row r="12" spans="1:11" ht="13.5" thickBot="1" x14ac:dyDescent="0.25">
      <c r="B12" s="2" t="s">
        <v>3355</v>
      </c>
      <c r="C12" s="2"/>
      <c r="D12" s="2"/>
      <c r="E12" s="2"/>
      <c r="F12" s="2"/>
      <c r="G12" s="2"/>
      <c r="H12" s="2"/>
      <c r="I12" s="2"/>
    </row>
    <row r="13" spans="1:11" x14ac:dyDescent="0.2">
      <c r="B13" t="s">
        <v>145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I32"/>
  <sheetViews>
    <sheetView showGridLines="0" workbookViewId="0">
      <pane ySplit="1" topLeftCell="A2" activePane="bottomLeft" state="frozen"/>
      <selection activeCell="A3" sqref="A3"/>
      <selection pane="bottomLeft" activeCell="I7" sqref="I7"/>
    </sheetView>
  </sheetViews>
  <sheetFormatPr defaultRowHeight="12.75" x14ac:dyDescent="0.2"/>
  <cols>
    <col min="1" max="1" width="2.7109375" customWidth="1"/>
    <col min="2" max="2" width="10.42578125" customWidth="1"/>
    <col min="3" max="3" width="3" customWidth="1"/>
    <col min="4" max="4" width="14.140625" customWidth="1"/>
    <col min="5" max="5" width="13.28515625" customWidth="1"/>
    <col min="6" max="6" width="14.7109375" customWidth="1"/>
    <col min="7" max="7" width="21.42578125" customWidth="1"/>
  </cols>
  <sheetData>
    <row r="1" spans="1:9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D3" s="6" t="s">
        <v>727</v>
      </c>
      <c r="E3" s="6" t="s">
        <v>127</v>
      </c>
      <c r="F3" s="6" t="s">
        <v>3113</v>
      </c>
    </row>
    <row r="4" spans="1:9" x14ac:dyDescent="0.2">
      <c r="D4" s="161">
        <v>35796</v>
      </c>
      <c r="E4" s="7">
        <v>28</v>
      </c>
      <c r="F4" s="221">
        <f>WORKDAY(D4,E4)</f>
        <v>35836</v>
      </c>
      <c r="G4" s="13" t="s">
        <v>128</v>
      </c>
    </row>
    <row r="5" spans="1:9" x14ac:dyDescent="0.2">
      <c r="D5" s="161">
        <v>35796</v>
      </c>
      <c r="E5" s="7">
        <v>28</v>
      </c>
      <c r="F5" s="243">
        <f>WORKDAY(D5,E5)</f>
        <v>35836</v>
      </c>
      <c r="G5" s="13" t="s">
        <v>129</v>
      </c>
    </row>
    <row r="7" spans="1:9" ht="13.5" thickBot="1" x14ac:dyDescent="0.25">
      <c r="B7" s="2" t="s">
        <v>3118</v>
      </c>
      <c r="C7" s="2"/>
      <c r="D7" s="2"/>
      <c r="E7" s="2"/>
      <c r="F7" s="2"/>
      <c r="G7" s="2"/>
      <c r="H7" s="2"/>
    </row>
    <row r="8" spans="1:9" x14ac:dyDescent="0.2">
      <c r="B8" t="s">
        <v>130</v>
      </c>
    </row>
    <row r="9" spans="1:9" x14ac:dyDescent="0.2">
      <c r="B9" t="s">
        <v>131</v>
      </c>
    </row>
    <row r="10" spans="1:9" x14ac:dyDescent="0.2">
      <c r="B10" t="s">
        <v>132</v>
      </c>
    </row>
    <row r="12" spans="1:9" ht="13.5" thickBot="1" x14ac:dyDescent="0.25">
      <c r="B12" s="2" t="s">
        <v>998</v>
      </c>
      <c r="C12" s="2"/>
      <c r="D12" s="2"/>
      <c r="E12" s="2"/>
      <c r="F12" s="2"/>
      <c r="G12" s="2"/>
      <c r="H12" s="2"/>
    </row>
    <row r="13" spans="1:9" x14ac:dyDescent="0.2">
      <c r="B13" t="s">
        <v>133</v>
      </c>
    </row>
    <row r="15" spans="1:9" ht="13.5" thickBot="1" x14ac:dyDescent="0.25">
      <c r="B15" s="2" t="s">
        <v>3355</v>
      </c>
      <c r="C15" s="2"/>
      <c r="D15" s="2"/>
      <c r="E15" s="2"/>
      <c r="F15" s="2"/>
      <c r="G15" s="2"/>
      <c r="H15" s="2"/>
    </row>
    <row r="16" spans="1:9" x14ac:dyDescent="0.2">
      <c r="B16" t="s">
        <v>134</v>
      </c>
    </row>
    <row r="17" spans="2:8" x14ac:dyDescent="0.2">
      <c r="B17" t="s">
        <v>135</v>
      </c>
    </row>
    <row r="19" spans="2:8" ht="13.5" thickBot="1" x14ac:dyDescent="0.25">
      <c r="B19" s="2" t="s">
        <v>1001</v>
      </c>
      <c r="C19" s="2"/>
      <c r="D19" s="2"/>
      <c r="E19" s="2"/>
      <c r="F19" s="2"/>
      <c r="G19" s="2"/>
      <c r="H19" s="2"/>
    </row>
    <row r="20" spans="2:8" x14ac:dyDescent="0.2">
      <c r="B20" t="s">
        <v>136</v>
      </c>
    </row>
    <row r="21" spans="2:8" x14ac:dyDescent="0.2">
      <c r="B21" t="s">
        <v>137</v>
      </c>
    </row>
    <row r="23" spans="2:8" x14ac:dyDescent="0.2">
      <c r="D23" s="6" t="s">
        <v>138</v>
      </c>
      <c r="E23" s="6" t="s">
        <v>139</v>
      </c>
      <c r="F23" s="6" t="s">
        <v>140</v>
      </c>
    </row>
    <row r="24" spans="2:8" x14ac:dyDescent="0.2">
      <c r="D24" s="373">
        <v>35828</v>
      </c>
      <c r="E24" s="7">
        <v>2</v>
      </c>
      <c r="F24" s="468">
        <f>WORKDAY(D24,E24,$D$28:$D$32)</f>
        <v>35830</v>
      </c>
    </row>
    <row r="25" spans="2:8" x14ac:dyDescent="0.2">
      <c r="D25" s="373">
        <v>36144</v>
      </c>
      <c r="E25" s="7">
        <v>28</v>
      </c>
      <c r="F25" s="468">
        <f>WORKDAY(D25,E25,$D$28:$D$32)</f>
        <v>36186</v>
      </c>
    </row>
    <row r="26" spans="2:8" x14ac:dyDescent="0.2">
      <c r="F26" s="13" t="s">
        <v>141</v>
      </c>
    </row>
    <row r="27" spans="2:8" x14ac:dyDescent="0.2">
      <c r="D27" s="6" t="s">
        <v>3630</v>
      </c>
    </row>
    <row r="28" spans="2:8" x14ac:dyDescent="0.2">
      <c r="B28" s="88" t="s">
        <v>3631</v>
      </c>
      <c r="D28" s="469">
        <v>35916</v>
      </c>
    </row>
    <row r="29" spans="2:8" x14ac:dyDescent="0.2">
      <c r="B29" s="88" t="s">
        <v>3632</v>
      </c>
      <c r="D29" s="469">
        <v>36154</v>
      </c>
    </row>
    <row r="30" spans="2:8" x14ac:dyDescent="0.2">
      <c r="B30" s="88" t="s">
        <v>3633</v>
      </c>
      <c r="D30" s="469">
        <v>35431</v>
      </c>
    </row>
    <row r="31" spans="2:8" x14ac:dyDescent="0.2">
      <c r="B31" s="88" t="s">
        <v>3633</v>
      </c>
      <c r="D31" s="469">
        <v>35796</v>
      </c>
    </row>
    <row r="32" spans="2:8" x14ac:dyDescent="0.2">
      <c r="B32" s="88" t="s">
        <v>3633</v>
      </c>
      <c r="D32" s="470">
        <v>36161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2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I45"/>
  <sheetViews>
    <sheetView showGridLines="0" workbookViewId="0">
      <pane ySplit="1" topLeftCell="A2" activePane="bottomLeft" state="frozen"/>
      <selection activeCell="A3" sqref="A3"/>
      <selection pane="bottomLeft" activeCell="D8" sqref="D8"/>
    </sheetView>
  </sheetViews>
  <sheetFormatPr defaultRowHeight="12.75" x14ac:dyDescent="0.2"/>
  <cols>
    <col min="1" max="1" width="2.7109375" customWidth="1"/>
    <col min="3" max="3" width="12.5703125" customWidth="1"/>
    <col min="4" max="4" width="10.85546875" customWidth="1"/>
    <col min="5" max="5" width="17.28515625" customWidth="1"/>
    <col min="8" max="8" width="13.28515625" customWidth="1"/>
  </cols>
  <sheetData>
    <row r="1" spans="1:9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1463</v>
      </c>
      <c r="D3" s="6" t="s">
        <v>100</v>
      </c>
    </row>
    <row r="4" spans="1:9" x14ac:dyDescent="0.2">
      <c r="C4" s="373">
        <v>35796</v>
      </c>
      <c r="D4" s="221">
        <f>WEEKDAY(C4)</f>
        <v>5</v>
      </c>
      <c r="E4" s="13" t="s">
        <v>101</v>
      </c>
    </row>
    <row r="5" spans="1:9" x14ac:dyDescent="0.2">
      <c r="C5" s="373">
        <v>35796</v>
      </c>
      <c r="D5" s="221">
        <f>WEEKDAY(C5)</f>
        <v>5</v>
      </c>
      <c r="E5" s="13" t="s">
        <v>102</v>
      </c>
    </row>
    <row r="6" spans="1:9" x14ac:dyDescent="0.2">
      <c r="C6" s="373">
        <v>35796</v>
      </c>
      <c r="D6" s="221">
        <f>WEEKDAY(C6,1)</f>
        <v>5</v>
      </c>
      <c r="E6" s="13" t="s">
        <v>103</v>
      </c>
    </row>
    <row r="7" spans="1:9" x14ac:dyDescent="0.2">
      <c r="C7" s="373">
        <v>35796</v>
      </c>
      <c r="D7" s="221">
        <f>WEEKDAY(C7,2)</f>
        <v>4</v>
      </c>
      <c r="E7" s="13" t="s">
        <v>104</v>
      </c>
    </row>
    <row r="8" spans="1:9" x14ac:dyDescent="0.2">
      <c r="C8" s="373">
        <v>35796</v>
      </c>
      <c r="D8" s="221">
        <f>WEEKDAY(C8,3)</f>
        <v>3</v>
      </c>
      <c r="E8" s="13" t="s">
        <v>105</v>
      </c>
    </row>
    <row r="10" spans="1:9" ht="13.5" thickBot="1" x14ac:dyDescent="0.25">
      <c r="B10" s="2" t="s">
        <v>3118</v>
      </c>
      <c r="C10" s="2"/>
      <c r="D10" s="2"/>
      <c r="E10" s="2"/>
      <c r="F10" s="2"/>
      <c r="G10" s="2"/>
      <c r="H10" s="2"/>
    </row>
    <row r="11" spans="1:9" x14ac:dyDescent="0.2">
      <c r="B11" t="s">
        <v>106</v>
      </c>
    </row>
    <row r="13" spans="1:9" ht="13.5" thickBot="1" x14ac:dyDescent="0.25">
      <c r="B13" s="2" t="s">
        <v>998</v>
      </c>
      <c r="C13" s="2"/>
      <c r="D13" s="2"/>
      <c r="E13" s="2"/>
      <c r="F13" s="2"/>
      <c r="G13" s="2"/>
      <c r="H13" s="2"/>
    </row>
    <row r="14" spans="1:9" x14ac:dyDescent="0.2">
      <c r="B14" t="s">
        <v>107</v>
      </c>
    </row>
    <row r="15" spans="1:9" x14ac:dyDescent="0.2">
      <c r="B15" t="s">
        <v>108</v>
      </c>
    </row>
    <row r="16" spans="1:9" x14ac:dyDescent="0.2">
      <c r="B16" t="s">
        <v>109</v>
      </c>
    </row>
    <row r="17" spans="2:8" x14ac:dyDescent="0.2">
      <c r="B17" t="s">
        <v>110</v>
      </c>
    </row>
    <row r="18" spans="2:8" x14ac:dyDescent="0.2">
      <c r="B18" t="s">
        <v>111</v>
      </c>
    </row>
    <row r="19" spans="2:8" x14ac:dyDescent="0.2">
      <c r="B19" t="s">
        <v>112</v>
      </c>
    </row>
    <row r="21" spans="2:8" ht="13.5" thickBot="1" x14ac:dyDescent="0.25">
      <c r="B21" s="2" t="s">
        <v>3355</v>
      </c>
      <c r="C21" s="2"/>
      <c r="D21" s="2"/>
      <c r="E21" s="2"/>
      <c r="F21" s="2"/>
      <c r="G21" s="2"/>
      <c r="H21" s="2"/>
    </row>
    <row r="22" spans="2:8" x14ac:dyDescent="0.2">
      <c r="B22" t="s">
        <v>113</v>
      </c>
    </row>
    <row r="23" spans="2:8" x14ac:dyDescent="0.2">
      <c r="B23" t="s">
        <v>125</v>
      </c>
    </row>
    <row r="24" spans="2:8" x14ac:dyDescent="0.2">
      <c r="B24" t="s">
        <v>126</v>
      </c>
    </row>
    <row r="26" spans="2:8" ht="13.5" thickBot="1" x14ac:dyDescent="0.25">
      <c r="B26" s="2" t="s">
        <v>1001</v>
      </c>
      <c r="C26" s="2"/>
      <c r="D26" s="2"/>
      <c r="E26" s="2"/>
      <c r="F26" s="2"/>
      <c r="G26" s="2"/>
      <c r="H26" s="2"/>
    </row>
    <row r="27" spans="2:8" x14ac:dyDescent="0.2">
      <c r="B27" t="s">
        <v>114</v>
      </c>
    </row>
    <row r="28" spans="2:8" x14ac:dyDescent="0.2">
      <c r="B28" t="s">
        <v>115</v>
      </c>
    </row>
    <row r="29" spans="2:8" x14ac:dyDescent="0.2">
      <c r="B29" t="s">
        <v>116</v>
      </c>
    </row>
    <row r="30" spans="2:8" x14ac:dyDescent="0.2">
      <c r="B30" t="s">
        <v>117</v>
      </c>
    </row>
    <row r="31" spans="2:8" x14ac:dyDescent="0.2">
      <c r="B31" t="s">
        <v>118</v>
      </c>
    </row>
    <row r="33" spans="3:5" x14ac:dyDescent="0.2">
      <c r="C33" s="6" t="s">
        <v>119</v>
      </c>
      <c r="D33" s="6" t="s">
        <v>120</v>
      </c>
      <c r="E33" s="6" t="s">
        <v>121</v>
      </c>
    </row>
    <row r="34" spans="3:5" x14ac:dyDescent="0.2">
      <c r="C34" s="161">
        <v>35802</v>
      </c>
      <c r="D34" s="465">
        <f>WEEKDAY(C34)</f>
        <v>4</v>
      </c>
      <c r="E34" s="466">
        <f>LOOKUP(WEEKDAY(C34),C39:D45)</f>
        <v>30</v>
      </c>
    </row>
    <row r="35" spans="3:5" x14ac:dyDescent="0.2">
      <c r="E35" s="13" t="s">
        <v>122</v>
      </c>
    </row>
    <row r="37" spans="3:5" x14ac:dyDescent="0.2">
      <c r="C37" s="158" t="s">
        <v>123</v>
      </c>
      <c r="D37" s="160"/>
    </row>
    <row r="38" spans="3:5" x14ac:dyDescent="0.2">
      <c r="C38" s="6" t="s">
        <v>124</v>
      </c>
      <c r="D38" s="6" t="s">
        <v>2755</v>
      </c>
    </row>
    <row r="39" spans="3:5" x14ac:dyDescent="0.2">
      <c r="C39" s="50">
        <v>1</v>
      </c>
      <c r="D39" s="467">
        <v>50</v>
      </c>
    </row>
    <row r="40" spans="3:5" x14ac:dyDescent="0.2">
      <c r="C40" s="50">
        <v>2</v>
      </c>
      <c r="D40" s="467">
        <v>25</v>
      </c>
    </row>
    <row r="41" spans="3:5" x14ac:dyDescent="0.2">
      <c r="C41" s="50">
        <v>3</v>
      </c>
      <c r="D41" s="467">
        <v>25</v>
      </c>
    </row>
    <row r="42" spans="3:5" x14ac:dyDescent="0.2">
      <c r="C42" s="50">
        <v>4</v>
      </c>
      <c r="D42" s="467">
        <v>30</v>
      </c>
    </row>
    <row r="43" spans="3:5" x14ac:dyDescent="0.2">
      <c r="C43" s="50">
        <v>5</v>
      </c>
      <c r="D43" s="467">
        <v>40</v>
      </c>
    </row>
    <row r="44" spans="3:5" x14ac:dyDescent="0.2">
      <c r="C44" s="50">
        <v>6</v>
      </c>
      <c r="D44" s="467">
        <v>50</v>
      </c>
    </row>
    <row r="45" spans="3:5" x14ac:dyDescent="0.2">
      <c r="C45" s="50">
        <v>7</v>
      </c>
      <c r="D45" s="467">
        <v>100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K131"/>
  <sheetViews>
    <sheetView showGridLines="0" workbookViewId="0">
      <pane ySplit="1" topLeftCell="A44" activePane="bottomLeft" state="frozen"/>
      <selection activeCell="A3" sqref="A3"/>
      <selection pane="bottomLeft" activeCell="F59" sqref="F59"/>
    </sheetView>
  </sheetViews>
  <sheetFormatPr defaultRowHeight="12.75" x14ac:dyDescent="0.2"/>
  <cols>
    <col min="1" max="1" width="2.7109375" customWidth="1"/>
    <col min="10" max="10" width="8.85546875" customWidth="1"/>
  </cols>
  <sheetData>
    <row r="1" spans="1:11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H3" s="257" t="s">
        <v>30</v>
      </c>
    </row>
    <row r="4" spans="1:11" x14ac:dyDescent="0.2">
      <c r="H4" s="257" t="s">
        <v>3483</v>
      </c>
    </row>
    <row r="5" spans="1:11" x14ac:dyDescent="0.2">
      <c r="C5" s="256" t="s">
        <v>31</v>
      </c>
      <c r="D5" s="256" t="s">
        <v>32</v>
      </c>
      <c r="E5" s="256" t="s">
        <v>33</v>
      </c>
      <c r="F5" s="256" t="s">
        <v>34</v>
      </c>
      <c r="G5" s="256" t="s">
        <v>35</v>
      </c>
      <c r="H5" s="256" t="s">
        <v>36</v>
      </c>
    </row>
    <row r="6" spans="1:11" x14ac:dyDescent="0.2">
      <c r="C6" s="6" t="s">
        <v>3555</v>
      </c>
      <c r="D6" s="7">
        <v>10</v>
      </c>
      <c r="E6" s="7">
        <v>20</v>
      </c>
      <c r="F6" s="7">
        <v>30</v>
      </c>
      <c r="G6" s="7">
        <v>40</v>
      </c>
      <c r="H6" s="7">
        <v>50</v>
      </c>
    </row>
    <row r="7" spans="1:11" x14ac:dyDescent="0.2">
      <c r="C7" s="6" t="s">
        <v>3556</v>
      </c>
      <c r="D7" s="7">
        <v>80</v>
      </c>
      <c r="E7" s="7">
        <v>90</v>
      </c>
      <c r="F7" s="7">
        <v>100</v>
      </c>
      <c r="G7" s="7">
        <v>110</v>
      </c>
      <c r="H7" s="7">
        <v>120</v>
      </c>
    </row>
    <row r="8" spans="1:11" x14ac:dyDescent="0.2">
      <c r="C8" s="6" t="s">
        <v>3557</v>
      </c>
      <c r="D8" s="7">
        <v>97</v>
      </c>
      <c r="E8" s="7">
        <v>69</v>
      </c>
      <c r="F8" s="7">
        <v>45</v>
      </c>
      <c r="G8" s="7">
        <v>51</v>
      </c>
      <c r="H8" s="7">
        <v>77</v>
      </c>
    </row>
    <row r="11" spans="1:11" x14ac:dyDescent="0.2">
      <c r="C11" s="20"/>
      <c r="D11" s="162"/>
      <c r="E11" s="162"/>
      <c r="F11" s="59" t="s">
        <v>3488</v>
      </c>
      <c r="G11" s="7" t="s">
        <v>3556</v>
      </c>
    </row>
    <row r="12" spans="1:11" x14ac:dyDescent="0.2">
      <c r="C12" s="20"/>
      <c r="D12" s="162"/>
      <c r="E12" s="162"/>
      <c r="F12" s="59" t="s">
        <v>37</v>
      </c>
      <c r="G12" s="7">
        <v>4</v>
      </c>
    </row>
    <row r="14" spans="1:11" x14ac:dyDescent="0.2">
      <c r="E14" s="20"/>
      <c r="F14" s="59" t="s">
        <v>3490</v>
      </c>
      <c r="G14" s="8">
        <f>VLOOKUP(G11,C6:H8,G12,FALSE)</f>
        <v>100</v>
      </c>
    </row>
    <row r="15" spans="1:11" x14ac:dyDescent="0.2">
      <c r="G15" s="13" t="s">
        <v>38</v>
      </c>
    </row>
    <row r="17" spans="2:10" ht="13.5" thickBot="1" x14ac:dyDescent="0.25">
      <c r="B17" s="2" t="s">
        <v>2865</v>
      </c>
      <c r="C17" s="2"/>
      <c r="D17" s="2"/>
      <c r="E17" s="2"/>
      <c r="F17" s="2"/>
      <c r="G17" s="2"/>
      <c r="H17" s="2"/>
      <c r="I17" s="2"/>
      <c r="J17" s="2"/>
    </row>
    <row r="18" spans="2:10" x14ac:dyDescent="0.2">
      <c r="B18" t="s">
        <v>39</v>
      </c>
    </row>
    <row r="19" spans="2:10" x14ac:dyDescent="0.2">
      <c r="B19" t="s">
        <v>40</v>
      </c>
    </row>
    <row r="21" spans="2:10" ht="13.5" thickBot="1" x14ac:dyDescent="0.25">
      <c r="B21" s="2" t="s">
        <v>998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s="61" t="s">
        <v>41</v>
      </c>
    </row>
    <row r="23" spans="2:10" x14ac:dyDescent="0.2">
      <c r="B23" t="s">
        <v>3495</v>
      </c>
    </row>
    <row r="24" spans="2:10" x14ac:dyDescent="0.2">
      <c r="B24" t="s">
        <v>930</v>
      </c>
    </row>
    <row r="25" spans="2:10" x14ac:dyDescent="0.2">
      <c r="B25" t="s">
        <v>931</v>
      </c>
    </row>
    <row r="26" spans="2:10" x14ac:dyDescent="0.2">
      <c r="B26" t="s">
        <v>3498</v>
      </c>
    </row>
    <row r="28" spans="2:10" ht="13.5" thickBot="1" x14ac:dyDescent="0.25">
      <c r="B28" s="2" t="s">
        <v>3355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2424</v>
      </c>
    </row>
    <row r="31" spans="2:10" ht="13.5" thickBot="1" x14ac:dyDescent="0.25">
      <c r="B31" s="2" t="s">
        <v>1937</v>
      </c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t="s">
        <v>932</v>
      </c>
    </row>
    <row r="33" spans="2:2" x14ac:dyDescent="0.2">
      <c r="B33" t="s">
        <v>933</v>
      </c>
    </row>
    <row r="34" spans="2:2" x14ac:dyDescent="0.2">
      <c r="B34" t="s">
        <v>934</v>
      </c>
    </row>
    <row r="35" spans="2:2" x14ac:dyDescent="0.2">
      <c r="B35" t="s">
        <v>3502</v>
      </c>
    </row>
    <row r="37" spans="2:2" x14ac:dyDescent="0.2">
      <c r="B37" t="s">
        <v>935</v>
      </c>
    </row>
    <row r="38" spans="2:2" x14ac:dyDescent="0.2">
      <c r="B38" t="s">
        <v>936</v>
      </c>
    </row>
    <row r="39" spans="2:2" x14ac:dyDescent="0.2">
      <c r="B39" t="s">
        <v>3505</v>
      </c>
    </row>
    <row r="40" spans="2:2" x14ac:dyDescent="0.2">
      <c r="B40" t="s">
        <v>3506</v>
      </c>
    </row>
    <row r="42" spans="2:2" x14ac:dyDescent="0.2">
      <c r="B42" t="s">
        <v>937</v>
      </c>
    </row>
    <row r="43" spans="2:2" x14ac:dyDescent="0.2">
      <c r="B43" t="s">
        <v>3508</v>
      </c>
    </row>
    <row r="45" spans="2:2" x14ac:dyDescent="0.2">
      <c r="B45" t="s">
        <v>938</v>
      </c>
    </row>
    <row r="46" spans="2:2" x14ac:dyDescent="0.2">
      <c r="B46" t="s">
        <v>939</v>
      </c>
    </row>
    <row r="49" spans="2:10" x14ac:dyDescent="0.2">
      <c r="D49" s="6" t="s">
        <v>3555</v>
      </c>
      <c r="E49" s="6" t="s">
        <v>3556</v>
      </c>
      <c r="F49" s="6" t="s">
        <v>3557</v>
      </c>
    </row>
    <row r="50" spans="2:10" x14ac:dyDescent="0.2">
      <c r="C50" s="6" t="s">
        <v>3362</v>
      </c>
      <c r="D50" s="7">
        <v>10</v>
      </c>
      <c r="E50" s="7">
        <v>80</v>
      </c>
      <c r="F50" s="7">
        <v>97</v>
      </c>
    </row>
    <row r="51" spans="2:10" x14ac:dyDescent="0.2">
      <c r="C51" s="6" t="s">
        <v>3134</v>
      </c>
      <c r="D51" s="7">
        <v>20</v>
      </c>
      <c r="E51" s="7">
        <v>90</v>
      </c>
      <c r="F51" s="7">
        <v>69</v>
      </c>
    </row>
    <row r="52" spans="2:10" x14ac:dyDescent="0.2">
      <c r="C52" s="6" t="s">
        <v>3361</v>
      </c>
      <c r="D52" s="7">
        <v>30</v>
      </c>
      <c r="E52" s="7">
        <v>100</v>
      </c>
      <c r="F52" s="7">
        <v>45</v>
      </c>
    </row>
    <row r="53" spans="2:10" x14ac:dyDescent="0.2">
      <c r="C53" s="6" t="s">
        <v>3363</v>
      </c>
      <c r="D53" s="7">
        <v>40</v>
      </c>
      <c r="E53" s="7">
        <v>110</v>
      </c>
      <c r="F53" s="7">
        <v>51</v>
      </c>
    </row>
    <row r="54" spans="2:10" x14ac:dyDescent="0.2">
      <c r="C54" s="6" t="s">
        <v>1952</v>
      </c>
      <c r="D54" s="7">
        <v>50</v>
      </c>
      <c r="E54" s="7">
        <v>120</v>
      </c>
      <c r="F54" s="7">
        <v>77</v>
      </c>
    </row>
    <row r="56" spans="2:10" x14ac:dyDescent="0.2">
      <c r="B56" s="20"/>
      <c r="C56" s="162"/>
      <c r="D56" s="162"/>
      <c r="E56" s="59" t="s">
        <v>3512</v>
      </c>
      <c r="F56" s="7" t="s">
        <v>1384</v>
      </c>
    </row>
    <row r="57" spans="2:10" x14ac:dyDescent="0.2">
      <c r="B57" s="20"/>
      <c r="C57" s="162"/>
      <c r="D57" s="162"/>
      <c r="E57" s="59" t="s">
        <v>3488</v>
      </c>
      <c r="F57" s="7" t="s">
        <v>940</v>
      </c>
    </row>
    <row r="59" spans="2:10" x14ac:dyDescent="0.2">
      <c r="D59" s="20"/>
      <c r="E59" s="59" t="s">
        <v>3490</v>
      </c>
      <c r="F59" s="8">
        <f>VLOOKUP(F56,C50:F54,MATCH(F57,D49:F49,0)+1,FALSE)</f>
        <v>69</v>
      </c>
    </row>
    <row r="60" spans="2:10" x14ac:dyDescent="0.2">
      <c r="F60" s="4" t="s">
        <v>941</v>
      </c>
    </row>
    <row r="62" spans="2:10" ht="13.5" thickBot="1" x14ac:dyDescent="0.25">
      <c r="B62" s="2" t="s">
        <v>1962</v>
      </c>
      <c r="C62" s="2"/>
      <c r="D62" s="2"/>
      <c r="E62" s="2"/>
      <c r="F62" s="2"/>
      <c r="G62" s="2"/>
      <c r="H62" s="2"/>
      <c r="I62" s="2"/>
      <c r="J62" s="2"/>
    </row>
    <row r="63" spans="2:10" x14ac:dyDescent="0.2">
      <c r="B63" t="s">
        <v>942</v>
      </c>
    </row>
    <row r="64" spans="2:10" x14ac:dyDescent="0.2">
      <c r="B64" t="s">
        <v>3516</v>
      </c>
    </row>
    <row r="65" spans="2:9" x14ac:dyDescent="0.2">
      <c r="B65" t="s">
        <v>943</v>
      </c>
    </row>
    <row r="66" spans="2:9" x14ac:dyDescent="0.2">
      <c r="B66" t="s">
        <v>944</v>
      </c>
    </row>
    <row r="67" spans="2:9" x14ac:dyDescent="0.2">
      <c r="B67" t="s">
        <v>945</v>
      </c>
    </row>
    <row r="69" spans="2:9" x14ac:dyDescent="0.2">
      <c r="B69" t="s">
        <v>946</v>
      </c>
    </row>
    <row r="70" spans="2:9" x14ac:dyDescent="0.2">
      <c r="B70" t="s">
        <v>947</v>
      </c>
    </row>
    <row r="71" spans="2:9" x14ac:dyDescent="0.2">
      <c r="B71" t="s">
        <v>3522</v>
      </c>
    </row>
    <row r="73" spans="2:9" ht="13.5" thickBot="1" x14ac:dyDescent="0.25">
      <c r="B73" s="242" t="s">
        <v>3523</v>
      </c>
      <c r="C73" s="242" t="s">
        <v>3524</v>
      </c>
      <c r="D73" s="242" t="s">
        <v>2755</v>
      </c>
      <c r="F73" t="s">
        <v>948</v>
      </c>
    </row>
    <row r="74" spans="2:9" ht="14.25" thickTop="1" thickBot="1" x14ac:dyDescent="0.25">
      <c r="B74" s="258" t="s">
        <v>1180</v>
      </c>
      <c r="C74" s="259" t="s">
        <v>3525</v>
      </c>
      <c r="D74" s="260">
        <f>VLOOKUP(C74,F75:I79,MATCH(B74,G74:I74,0)+1,FALSE)</f>
        <v>50</v>
      </c>
      <c r="G74" s="438" t="s">
        <v>1180</v>
      </c>
      <c r="H74" s="439" t="s">
        <v>1182</v>
      </c>
      <c r="I74" s="440" t="s">
        <v>3526</v>
      </c>
    </row>
    <row r="75" spans="2:9" ht="13.5" thickTop="1" x14ac:dyDescent="0.2">
      <c r="B75" s="258" t="s">
        <v>3526</v>
      </c>
      <c r="C75" s="259" t="s">
        <v>3527</v>
      </c>
      <c r="D75" s="260">
        <f>VLOOKUP(C75,F75:I79,MATCH(B75,G74:I74,0)+1,FALSE)</f>
        <v>600</v>
      </c>
      <c r="F75" s="441" t="s">
        <v>3527</v>
      </c>
      <c r="G75" s="442">
        <v>500</v>
      </c>
      <c r="H75" s="442">
        <v>450</v>
      </c>
      <c r="I75" s="443">
        <v>600</v>
      </c>
    </row>
    <row r="76" spans="2:9" x14ac:dyDescent="0.2">
      <c r="B76" s="258" t="s">
        <v>1182</v>
      </c>
      <c r="C76" s="259" t="s">
        <v>3528</v>
      </c>
      <c r="D76" s="260">
        <f>VLOOKUP(C76,F75:I79,MATCH(B76,G74:I74,0)+1,FALSE)</f>
        <v>1200</v>
      </c>
      <c r="F76" s="444" t="s">
        <v>3528</v>
      </c>
      <c r="G76" s="7">
        <v>1000</v>
      </c>
      <c r="H76" s="7">
        <v>1200</v>
      </c>
      <c r="I76" s="445">
        <v>800</v>
      </c>
    </row>
    <row r="77" spans="2:9" x14ac:dyDescent="0.2">
      <c r="B77" s="258" t="s">
        <v>3526</v>
      </c>
      <c r="C77" s="259" t="s">
        <v>3529</v>
      </c>
      <c r="D77" s="260">
        <f>VLOOKUP(C77,F75:I79,MATCH(B77,G74:I74,0)+1,FALSE)</f>
        <v>275</v>
      </c>
      <c r="F77" s="444" t="s">
        <v>3529</v>
      </c>
      <c r="G77" s="7">
        <v>250</v>
      </c>
      <c r="H77" s="7">
        <v>350</v>
      </c>
      <c r="I77" s="445">
        <v>275</v>
      </c>
    </row>
    <row r="78" spans="2:9" x14ac:dyDescent="0.2">
      <c r="B78" s="258" t="s">
        <v>1182</v>
      </c>
      <c r="C78" s="259" t="s">
        <v>3525</v>
      </c>
      <c r="D78" s="260">
        <f>VLOOKUP(C78,F75:I79,MATCH(B78,G74:I74,0)+1,FALSE)</f>
        <v>70</v>
      </c>
      <c r="F78" s="444" t="s">
        <v>3525</v>
      </c>
      <c r="G78" s="7">
        <v>50</v>
      </c>
      <c r="H78" s="7">
        <v>70</v>
      </c>
      <c r="I78" s="445">
        <v>45</v>
      </c>
    </row>
    <row r="79" spans="2:9" ht="13.5" thickBot="1" x14ac:dyDescent="0.25">
      <c r="B79" s="258" t="s">
        <v>1182</v>
      </c>
      <c r="C79" s="259" t="s">
        <v>3530</v>
      </c>
      <c r="D79" s="260">
        <f>VLOOKUP(C79,F75:I79,MATCH(B79,G74:I74,0)+1,FALSE)</f>
        <v>290</v>
      </c>
      <c r="F79" s="446" t="s">
        <v>3530</v>
      </c>
      <c r="G79" s="181">
        <v>300</v>
      </c>
      <c r="H79" s="181">
        <v>290</v>
      </c>
      <c r="I79" s="447">
        <v>310</v>
      </c>
    </row>
    <row r="80" spans="2:9" ht="13.5" thickTop="1" x14ac:dyDescent="0.2">
      <c r="B80" s="258" t="s">
        <v>1180</v>
      </c>
      <c r="C80" s="259" t="s">
        <v>3527</v>
      </c>
      <c r="D80" s="260">
        <f>VLOOKUP(C80,F75:I79,MATCH(B80,G74:I74,0)+1,FALSE)</f>
        <v>500</v>
      </c>
    </row>
    <row r="81" spans="2:10" x14ac:dyDescent="0.2">
      <c r="B81" s="258" t="s">
        <v>1182</v>
      </c>
      <c r="C81" s="259" t="s">
        <v>3528</v>
      </c>
      <c r="D81" s="260">
        <f>VLOOKUP(C81,F75:I79,MATCH(B81,G74:I74,0)+1,FALSE)</f>
        <v>1200</v>
      </c>
    </row>
    <row r="82" spans="2:10" x14ac:dyDescent="0.2">
      <c r="D82" s="13" t="s">
        <v>949</v>
      </c>
    </row>
    <row r="85" spans="2:10" ht="13.5" thickBot="1" x14ac:dyDescent="0.25">
      <c r="B85" s="2" t="s">
        <v>1977</v>
      </c>
      <c r="C85" s="2"/>
      <c r="D85" s="2"/>
      <c r="E85" s="2"/>
      <c r="F85" s="2"/>
      <c r="G85" s="2"/>
      <c r="H85" s="2"/>
      <c r="I85" s="2"/>
      <c r="J85" s="2"/>
    </row>
    <row r="86" spans="2:10" x14ac:dyDescent="0.2">
      <c r="B86" t="s">
        <v>3532</v>
      </c>
    </row>
    <row r="87" spans="2:10" x14ac:dyDescent="0.2">
      <c r="B87" t="s">
        <v>3533</v>
      </c>
    </row>
    <row r="88" spans="2:10" x14ac:dyDescent="0.2">
      <c r="B88" t="s">
        <v>3534</v>
      </c>
    </row>
    <row r="89" spans="2:10" x14ac:dyDescent="0.2">
      <c r="B89" t="s">
        <v>3535</v>
      </c>
    </row>
    <row r="91" spans="2:10" x14ac:dyDescent="0.2">
      <c r="B91" t="s">
        <v>3536</v>
      </c>
    </row>
    <row r="92" spans="2:10" x14ac:dyDescent="0.2">
      <c r="B92" t="s">
        <v>950</v>
      </c>
    </row>
    <row r="94" spans="2:10" x14ac:dyDescent="0.2">
      <c r="B94" t="s">
        <v>3538</v>
      </c>
    </row>
    <row r="95" spans="2:10" x14ac:dyDescent="0.2">
      <c r="B95" t="s">
        <v>3539</v>
      </c>
    </row>
    <row r="96" spans="2:10" x14ac:dyDescent="0.2">
      <c r="B96" t="s">
        <v>951</v>
      </c>
    </row>
    <row r="97" spans="2:9" x14ac:dyDescent="0.2">
      <c r="B97" t="s">
        <v>3541</v>
      </c>
    </row>
    <row r="98" spans="2:9" x14ac:dyDescent="0.2">
      <c r="B98" t="s">
        <v>3155</v>
      </c>
    </row>
    <row r="99" spans="2:9" x14ac:dyDescent="0.2">
      <c r="B99" t="s">
        <v>952</v>
      </c>
    </row>
    <row r="101" spans="2:9" x14ac:dyDescent="0.2">
      <c r="B101" t="s">
        <v>3157</v>
      </c>
    </row>
    <row r="102" spans="2:9" x14ac:dyDescent="0.2">
      <c r="B102" t="s">
        <v>953</v>
      </c>
    </row>
    <row r="103" spans="2:9" x14ac:dyDescent="0.2">
      <c r="B103" t="s">
        <v>954</v>
      </c>
    </row>
    <row r="104" spans="2:9" x14ac:dyDescent="0.2">
      <c r="B104" t="s">
        <v>3160</v>
      </c>
    </row>
    <row r="105" spans="2:9" x14ac:dyDescent="0.2">
      <c r="B105" t="s">
        <v>955</v>
      </c>
    </row>
    <row r="106" spans="2:9" x14ac:dyDescent="0.2">
      <c r="B106" t="s">
        <v>3162</v>
      </c>
    </row>
    <row r="107" spans="2:9" x14ac:dyDescent="0.2">
      <c r="B107" t="s">
        <v>956</v>
      </c>
    </row>
    <row r="108" spans="2:9" x14ac:dyDescent="0.2">
      <c r="B108" t="s">
        <v>3164</v>
      </c>
    </row>
    <row r="109" spans="2:9" x14ac:dyDescent="0.2">
      <c r="B109" t="s">
        <v>957</v>
      </c>
    </row>
    <row r="110" spans="2:9" x14ac:dyDescent="0.2">
      <c r="B110" t="s">
        <v>958</v>
      </c>
    </row>
    <row r="112" spans="2:9" ht="13.5" thickBot="1" x14ac:dyDescent="0.25">
      <c r="G112" s="267" t="s">
        <v>3169</v>
      </c>
      <c r="H112" s="267"/>
      <c r="I112" s="267"/>
    </row>
    <row r="113" spans="2:9" ht="14.25" thickTop="1" thickBot="1" x14ac:dyDescent="0.25">
      <c r="C113" s="267" t="s">
        <v>3167</v>
      </c>
      <c r="D113" s="267"/>
      <c r="G113" s="448" t="s">
        <v>3168</v>
      </c>
      <c r="H113" s="449" t="s">
        <v>3060</v>
      </c>
      <c r="I113" s="450" t="s">
        <v>2015</v>
      </c>
    </row>
    <row r="114" spans="2:9" ht="13.5" thickTop="1" x14ac:dyDescent="0.2">
      <c r="C114" s="451" t="s">
        <v>3168</v>
      </c>
      <c r="D114" s="452">
        <v>2</v>
      </c>
      <c r="F114" s="453">
        <v>1</v>
      </c>
      <c r="G114" s="454">
        <v>0</v>
      </c>
      <c r="H114" s="454">
        <v>0</v>
      </c>
      <c r="I114" s="455">
        <v>0</v>
      </c>
    </row>
    <row r="115" spans="2:9" x14ac:dyDescent="0.2">
      <c r="C115" s="456" t="s">
        <v>3060</v>
      </c>
      <c r="D115" s="457">
        <v>1</v>
      </c>
      <c r="F115" s="458">
        <v>100</v>
      </c>
      <c r="G115" s="28">
        <v>0.06</v>
      </c>
      <c r="H115" s="28">
        <v>0.03</v>
      </c>
      <c r="I115" s="459">
        <v>0.12</v>
      </c>
    </row>
    <row r="116" spans="2:9" ht="13.5" thickBot="1" x14ac:dyDescent="0.25">
      <c r="C116" s="460" t="s">
        <v>2015</v>
      </c>
      <c r="D116" s="461">
        <v>3</v>
      </c>
      <c r="F116" s="462">
        <v>300</v>
      </c>
      <c r="G116" s="463">
        <v>0.08</v>
      </c>
      <c r="H116" s="463">
        <v>0.05</v>
      </c>
      <c r="I116" s="464">
        <v>0.15</v>
      </c>
    </row>
    <row r="117" spans="2:9" ht="13.5" thickTop="1" x14ac:dyDescent="0.2"/>
    <row r="119" spans="2:9" x14ac:dyDescent="0.2">
      <c r="C119" s="267" t="s">
        <v>274</v>
      </c>
      <c r="D119" s="267"/>
      <c r="E119" s="267"/>
      <c r="F119" s="267"/>
      <c r="G119" s="267"/>
    </row>
    <row r="120" spans="2:9" x14ac:dyDescent="0.2">
      <c r="C120" s="6" t="s">
        <v>3054</v>
      </c>
      <c r="D120" s="6" t="s">
        <v>275</v>
      </c>
      <c r="E120" s="6" t="s">
        <v>2849</v>
      </c>
      <c r="F120" s="6" t="s">
        <v>276</v>
      </c>
      <c r="G120" s="6" t="s">
        <v>3360</v>
      </c>
    </row>
    <row r="121" spans="2:9" x14ac:dyDescent="0.2">
      <c r="C121" s="259" t="s">
        <v>3168</v>
      </c>
      <c r="D121" s="258">
        <v>100</v>
      </c>
      <c r="E121" s="252">
        <f>VLOOKUP(C121,C114:D116,2,FALSE)</f>
        <v>2</v>
      </c>
      <c r="F121" s="39">
        <f>VLOOKUP(D121,F114:I116,MATCH(C121,G113:I113,0)+1,TRUE)</f>
        <v>0.06</v>
      </c>
      <c r="G121" s="252">
        <f t="shared" ref="G121:G126" si="0">(D121*E121)-(D121*E121*F121)</f>
        <v>188</v>
      </c>
    </row>
    <row r="122" spans="2:9" x14ac:dyDescent="0.2">
      <c r="C122" s="259" t="s">
        <v>3060</v>
      </c>
      <c r="D122" s="258">
        <v>200</v>
      </c>
      <c r="E122" s="252">
        <f>VLOOKUP(C122,C114:D116,2,FALSE)</f>
        <v>1</v>
      </c>
      <c r="F122" s="39">
        <f>VLOOKUP(D122,F114:I116,MATCH(C122,G113:I113,0)+1,TRUE)</f>
        <v>0.03</v>
      </c>
      <c r="G122" s="252">
        <f t="shared" si="0"/>
        <v>194</v>
      </c>
    </row>
    <row r="123" spans="2:9" x14ac:dyDescent="0.2">
      <c r="C123" s="259" t="s">
        <v>2015</v>
      </c>
      <c r="D123" s="258">
        <v>150</v>
      </c>
      <c r="E123" s="252">
        <f>VLOOKUP(C123,C114:D116,2,FALSE)</f>
        <v>3</v>
      </c>
      <c r="F123" s="39">
        <f>VLOOKUP(D123,F114:I116,MATCH(C123,G113:I113,0)+1,TRUE)</f>
        <v>0.12</v>
      </c>
      <c r="G123" s="252">
        <f t="shared" si="0"/>
        <v>396</v>
      </c>
    </row>
    <row r="124" spans="2:9" x14ac:dyDescent="0.2">
      <c r="C124" s="259" t="s">
        <v>3168</v>
      </c>
      <c r="D124" s="258">
        <v>225</v>
      </c>
      <c r="E124" s="252">
        <f>VLOOKUP(C124,C114:D116,2,FALSE)</f>
        <v>2</v>
      </c>
      <c r="F124" s="39">
        <f>VLOOKUP(D124,F114:I116,MATCH(C124,G113:I113,0)+1,TRUE)</f>
        <v>0.06</v>
      </c>
      <c r="G124" s="252">
        <f t="shared" si="0"/>
        <v>423</v>
      </c>
    </row>
    <row r="125" spans="2:9" x14ac:dyDescent="0.2">
      <c r="C125" s="259" t="s">
        <v>3060</v>
      </c>
      <c r="D125" s="258">
        <v>50</v>
      </c>
      <c r="E125" s="252">
        <f>VLOOKUP(C125,C114:D116,2,FALSE)</f>
        <v>1</v>
      </c>
      <c r="F125" s="39">
        <f>VLOOKUP(D125,F114:I116,MATCH(C125,G113:I113,0)+1,TRUE)</f>
        <v>0</v>
      </c>
      <c r="G125" s="252">
        <f t="shared" si="0"/>
        <v>50</v>
      </c>
    </row>
    <row r="126" spans="2:9" x14ac:dyDescent="0.2">
      <c r="C126" s="259" t="s">
        <v>2015</v>
      </c>
      <c r="D126" s="258">
        <v>500</v>
      </c>
      <c r="E126" s="252">
        <f>VLOOKUP(C126,C114:D116,2,FALSE)</f>
        <v>3</v>
      </c>
      <c r="F126" s="39">
        <f>VLOOKUP(D126,F114:I116,MATCH(C126,G113:I113,0)+1,TRUE)</f>
        <v>0.15</v>
      </c>
      <c r="G126" s="252">
        <f t="shared" si="0"/>
        <v>1275</v>
      </c>
    </row>
    <row r="127" spans="2:9" ht="21" customHeight="1" x14ac:dyDescent="0.2"/>
    <row r="128" spans="2:9" x14ac:dyDescent="0.2">
      <c r="B128" t="s">
        <v>959</v>
      </c>
    </row>
    <row r="129" spans="2:3" x14ac:dyDescent="0.2">
      <c r="B129" t="s">
        <v>2849</v>
      </c>
      <c r="C129" s="13" t="s">
        <v>97</v>
      </c>
    </row>
    <row r="130" spans="2:3" x14ac:dyDescent="0.2">
      <c r="B130" t="s">
        <v>276</v>
      </c>
      <c r="C130" s="13" t="s">
        <v>98</v>
      </c>
    </row>
    <row r="131" spans="2:3" x14ac:dyDescent="0.2">
      <c r="B131" t="s">
        <v>3360</v>
      </c>
      <c r="C131" s="13" t="s">
        <v>99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8" fitToHeight="5" orientation="portrait" r:id="rId1"/>
  <headerFooter alignWithMargins="0">
    <oddHeader>&amp;LExcel Function Dictionary
© 1998 - 2000 Peter Noneley&amp;R&amp;A
Page &amp;P of &amp;N</oddHeader>
  </headerFooter>
  <rowBreaks count="3" manualBreakCount="3">
    <brk id="30" max="65535" man="1"/>
    <brk id="61" max="65535" man="1"/>
    <brk id="84" max="6553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K45"/>
  <sheetViews>
    <sheetView showGridLines="0" workbookViewId="0">
      <pane ySplit="1" topLeftCell="A2" activePane="bottomLeft" state="frozen"/>
      <selection activeCell="A3" sqref="A3"/>
      <selection pane="bottomLeft" activeCell="J9" sqref="J9"/>
    </sheetView>
  </sheetViews>
  <sheetFormatPr defaultRowHeight="12.75" x14ac:dyDescent="0.2"/>
  <cols>
    <col min="1" max="1" width="2.7109375" customWidth="1"/>
    <col min="7" max="7" width="9.7109375" customWidth="1"/>
    <col min="8" max="8" width="10" customWidth="1"/>
    <col min="10" max="10" width="7" customWidth="1"/>
  </cols>
  <sheetData>
    <row r="1" spans="1:11" ht="39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6" t="s">
        <v>3378</v>
      </c>
      <c r="E3" s="6" t="s">
        <v>3378</v>
      </c>
      <c r="G3" s="6" t="s">
        <v>3378</v>
      </c>
    </row>
    <row r="4" spans="1:11" x14ac:dyDescent="0.2">
      <c r="C4" s="7">
        <v>10</v>
      </c>
      <c r="E4" s="7">
        <v>10</v>
      </c>
      <c r="G4" s="7">
        <v>10</v>
      </c>
    </row>
    <row r="5" spans="1:11" x14ac:dyDescent="0.2">
      <c r="C5" s="7">
        <v>10</v>
      </c>
      <c r="E5" s="7">
        <v>10</v>
      </c>
      <c r="G5" s="7">
        <v>11</v>
      </c>
    </row>
    <row r="6" spans="1:11" x14ac:dyDescent="0.2">
      <c r="C6" s="7">
        <v>9</v>
      </c>
      <c r="E6" s="7">
        <v>11</v>
      </c>
      <c r="G6" s="7">
        <v>9</v>
      </c>
    </row>
    <row r="7" spans="1:11" x14ac:dyDescent="0.2">
      <c r="C7" s="7">
        <v>10</v>
      </c>
      <c r="E7" s="7">
        <v>10</v>
      </c>
      <c r="G7" s="7">
        <v>12</v>
      </c>
    </row>
    <row r="9" spans="1:11" x14ac:dyDescent="0.2">
      <c r="C9" s="8">
        <f>VARP(C4:C7)</f>
        <v>0.1875</v>
      </c>
      <c r="E9" s="8">
        <f>VARP(E4:E7)</f>
        <v>0.1875</v>
      </c>
      <c r="G9" s="8">
        <f>VARP(G4:G7)</f>
        <v>1.25</v>
      </c>
    </row>
    <row r="10" spans="1:11" x14ac:dyDescent="0.2">
      <c r="C10" s="4" t="s">
        <v>19</v>
      </c>
      <c r="E10" s="4" t="s">
        <v>20</v>
      </c>
      <c r="G10" s="4" t="s">
        <v>21</v>
      </c>
    </row>
    <row r="12" spans="1:11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1" x14ac:dyDescent="0.2">
      <c r="B13" t="s">
        <v>22</v>
      </c>
    </row>
    <row r="14" spans="1:11" x14ac:dyDescent="0.2">
      <c r="B14" t="s">
        <v>23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24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  <row r="22" spans="2:10" ht="13.5" thickBot="1" x14ac:dyDescent="0.25">
      <c r="B22" s="2" t="s">
        <v>1001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t="s">
        <v>1887</v>
      </c>
    </row>
    <row r="24" spans="2:10" x14ac:dyDescent="0.2">
      <c r="B24" t="s">
        <v>1888</v>
      </c>
    </row>
    <row r="25" spans="2:10" x14ac:dyDescent="0.2">
      <c r="B25" t="s">
        <v>25</v>
      </c>
    </row>
    <row r="26" spans="2:10" x14ac:dyDescent="0.2">
      <c r="B26" t="s">
        <v>26</v>
      </c>
    </row>
    <row r="27" spans="2:10" x14ac:dyDescent="0.2">
      <c r="B27" t="s">
        <v>853</v>
      </c>
    </row>
    <row r="28" spans="2:10" x14ac:dyDescent="0.2">
      <c r="B28" t="s">
        <v>15</v>
      </c>
    </row>
    <row r="30" spans="2:10" x14ac:dyDescent="0.2">
      <c r="D30" s="158" t="s">
        <v>1895</v>
      </c>
      <c r="E30" s="159"/>
      <c r="F30" s="159"/>
      <c r="G30" s="159"/>
      <c r="H30" s="160"/>
    </row>
    <row r="31" spans="2:10" x14ac:dyDescent="0.2">
      <c r="D31" s="6" t="s">
        <v>1019</v>
      </c>
      <c r="E31" s="6" t="s">
        <v>1020</v>
      </c>
      <c r="F31" s="6" t="s">
        <v>1021</v>
      </c>
      <c r="G31" s="6" t="s">
        <v>1896</v>
      </c>
      <c r="H31" s="6" t="s">
        <v>1897</v>
      </c>
    </row>
    <row r="32" spans="2:10" x14ac:dyDescent="0.2">
      <c r="C32" s="6" t="s">
        <v>1898</v>
      </c>
      <c r="D32" s="7">
        <v>1.4</v>
      </c>
      <c r="E32" s="7">
        <v>1.5</v>
      </c>
      <c r="F32" s="7">
        <v>1.6</v>
      </c>
      <c r="G32" s="7">
        <v>1.5</v>
      </c>
      <c r="H32" s="407">
        <f>VARP(D32:G32)</f>
        <v>5.0000000000000088E-3</v>
      </c>
      <c r="I32" s="13" t="s">
        <v>27</v>
      </c>
    </row>
    <row r="33" spans="2:10" x14ac:dyDescent="0.2">
      <c r="C33" s="6" t="s">
        <v>1900</v>
      </c>
      <c r="D33" s="7">
        <v>1.5</v>
      </c>
      <c r="E33" s="7">
        <v>1.5</v>
      </c>
      <c r="F33" s="7">
        <v>1.4</v>
      </c>
      <c r="G33" s="7">
        <v>1.5</v>
      </c>
      <c r="H33" s="407">
        <f>VARP(D33:G33)</f>
        <v>1.8750000000000034E-3</v>
      </c>
      <c r="I33" s="13" t="s">
        <v>28</v>
      </c>
    </row>
    <row r="34" spans="2:10" x14ac:dyDescent="0.2">
      <c r="C34" s="6" t="s">
        <v>702</v>
      </c>
      <c r="D34" s="7">
        <v>1.5</v>
      </c>
      <c r="E34" s="7">
        <v>1.6</v>
      </c>
      <c r="F34" s="7">
        <v>1.7</v>
      </c>
      <c r="G34" s="7">
        <v>1.8</v>
      </c>
      <c r="H34" s="407">
        <f>VARP(D34:G34)</f>
        <v>1.2500000000000001E-2</v>
      </c>
      <c r="I34" s="13" t="s">
        <v>29</v>
      </c>
    </row>
    <row r="36" spans="2:10" x14ac:dyDescent="0.2">
      <c r="E36" s="20"/>
      <c r="F36" s="162"/>
      <c r="G36" s="21" t="s">
        <v>858</v>
      </c>
      <c r="H36" s="407">
        <f>MIN(H32:H34)</f>
        <v>1.8750000000000034E-3</v>
      </c>
      <c r="I36" s="13" t="s">
        <v>859</v>
      </c>
    </row>
    <row r="38" spans="2:10" x14ac:dyDescent="0.2">
      <c r="D38" s="20" t="s">
        <v>860</v>
      </c>
      <c r="E38" s="162"/>
      <c r="F38" s="162"/>
      <c r="G38" s="162"/>
      <c r="H38" s="8" t="str">
        <f>INDEX(C32:C34,MATCH(MIN(H32:H34),H32:H34,0))</f>
        <v>Machine 2</v>
      </c>
    </row>
    <row r="39" spans="2:10" x14ac:dyDescent="0.2">
      <c r="H39" s="66" t="s">
        <v>861</v>
      </c>
    </row>
    <row r="41" spans="2:10" ht="13.5" thickBot="1" x14ac:dyDescent="0.25">
      <c r="B41" s="2" t="s">
        <v>708</v>
      </c>
      <c r="C41" s="2"/>
      <c r="D41" s="2"/>
      <c r="E41" s="2"/>
      <c r="F41" s="2"/>
      <c r="G41" s="2"/>
      <c r="H41" s="2"/>
      <c r="I41" s="2"/>
      <c r="J41" s="2"/>
    </row>
    <row r="42" spans="2:10" x14ac:dyDescent="0.2">
      <c r="E42" s="88" t="s">
        <v>709</v>
      </c>
      <c r="F42" s="167" t="s">
        <v>862</v>
      </c>
    </row>
    <row r="43" spans="2:10" x14ac:dyDescent="0.2">
      <c r="E43" s="88" t="s">
        <v>841</v>
      </c>
      <c r="F43" s="167" t="s">
        <v>863</v>
      </c>
    </row>
    <row r="44" spans="2:10" x14ac:dyDescent="0.2">
      <c r="D44" s="88"/>
      <c r="E44" s="88" t="s">
        <v>843</v>
      </c>
      <c r="F44" s="167" t="s">
        <v>861</v>
      </c>
    </row>
    <row r="45" spans="2:10" x14ac:dyDescent="0.2">
      <c r="E45" s="88" t="s">
        <v>844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K47"/>
  <sheetViews>
    <sheetView showGridLines="0" workbookViewId="0">
      <pane ySplit="1" topLeftCell="A2" activePane="bottomLeft" state="frozen"/>
      <selection activeCell="A3" sqref="A3"/>
      <selection pane="bottomLeft" activeCell="I6" sqref="I6"/>
    </sheetView>
  </sheetViews>
  <sheetFormatPr defaultRowHeight="12.75" x14ac:dyDescent="0.2"/>
  <cols>
    <col min="1" max="1" width="2.7109375" customWidth="1"/>
    <col min="7" max="7" width="9.7109375" customWidth="1"/>
    <col min="8" max="8" width="10" customWidth="1"/>
    <col min="10" max="10" width="7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6" t="s">
        <v>3378</v>
      </c>
      <c r="E3" s="6" t="s">
        <v>3378</v>
      </c>
      <c r="G3" s="6" t="s">
        <v>3378</v>
      </c>
    </row>
    <row r="4" spans="1:11" x14ac:dyDescent="0.2">
      <c r="C4" s="7">
        <v>10</v>
      </c>
      <c r="E4" s="7">
        <v>10</v>
      </c>
      <c r="G4" s="7">
        <v>10</v>
      </c>
    </row>
    <row r="5" spans="1:11" x14ac:dyDescent="0.2">
      <c r="C5" s="7">
        <v>10</v>
      </c>
      <c r="E5" s="7">
        <v>10</v>
      </c>
      <c r="G5" s="7">
        <v>11</v>
      </c>
    </row>
    <row r="6" spans="1:11" x14ac:dyDescent="0.2">
      <c r="C6" s="7">
        <v>9</v>
      </c>
      <c r="E6" s="7">
        <v>11</v>
      </c>
      <c r="G6" s="7">
        <v>9</v>
      </c>
    </row>
    <row r="7" spans="1:11" x14ac:dyDescent="0.2">
      <c r="C7" s="7">
        <v>10</v>
      </c>
      <c r="E7" s="7">
        <v>10</v>
      </c>
      <c r="G7" s="7">
        <v>12</v>
      </c>
    </row>
    <row r="9" spans="1:11" x14ac:dyDescent="0.2">
      <c r="C9" s="8">
        <f>VAR(C4:C7)</f>
        <v>0.25</v>
      </c>
      <c r="E9" s="8">
        <f>VAR(E4:E7)</f>
        <v>0.25</v>
      </c>
      <c r="G9" s="8">
        <f>VAR(G4:G7)</f>
        <v>1.6666666666666667</v>
      </c>
    </row>
    <row r="10" spans="1:11" x14ac:dyDescent="0.2">
      <c r="C10" s="4" t="s">
        <v>9</v>
      </c>
      <c r="E10" s="4" t="s">
        <v>10</v>
      </c>
      <c r="G10" s="4" t="s">
        <v>11</v>
      </c>
    </row>
    <row r="12" spans="1:11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1" x14ac:dyDescent="0.2">
      <c r="B13" t="s">
        <v>12</v>
      </c>
    </row>
    <row r="14" spans="1:11" x14ac:dyDescent="0.2">
      <c r="B14" t="s">
        <v>1885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13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  <row r="22" spans="2:10" ht="13.5" thickBot="1" x14ac:dyDescent="0.25">
      <c r="B22" s="2" t="s">
        <v>1001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t="s">
        <v>1887</v>
      </c>
    </row>
    <row r="24" spans="2:10" x14ac:dyDescent="0.2">
      <c r="B24" t="s">
        <v>1888</v>
      </c>
    </row>
    <row r="25" spans="2:10" x14ac:dyDescent="0.2">
      <c r="B25" t="s">
        <v>1889</v>
      </c>
    </row>
    <row r="26" spans="2:10" x14ac:dyDescent="0.2">
      <c r="B26" t="s">
        <v>1890</v>
      </c>
    </row>
    <row r="27" spans="2:10" x14ac:dyDescent="0.2">
      <c r="B27" t="s">
        <v>1891</v>
      </c>
    </row>
    <row r="28" spans="2:10" x14ac:dyDescent="0.2">
      <c r="B28" t="s">
        <v>14</v>
      </c>
    </row>
    <row r="29" spans="2:10" x14ac:dyDescent="0.2">
      <c r="B29" t="s">
        <v>1893</v>
      </c>
    </row>
    <row r="30" spans="2:10" x14ac:dyDescent="0.2">
      <c r="B30" t="s">
        <v>15</v>
      </c>
    </row>
    <row r="32" spans="2:10" x14ac:dyDescent="0.2">
      <c r="D32" s="158" t="s">
        <v>1895</v>
      </c>
      <c r="E32" s="159"/>
      <c r="F32" s="159"/>
      <c r="G32" s="159"/>
      <c r="H32" s="160"/>
    </row>
    <row r="33" spans="2:10" x14ac:dyDescent="0.2">
      <c r="D33" s="6" t="s">
        <v>1019</v>
      </c>
      <c r="E33" s="6" t="s">
        <v>1020</v>
      </c>
      <c r="F33" s="6" t="s">
        <v>1021</v>
      </c>
      <c r="G33" s="6" t="s">
        <v>1896</v>
      </c>
      <c r="H33" s="6" t="s">
        <v>1897</v>
      </c>
    </row>
    <row r="34" spans="2:10" x14ac:dyDescent="0.2">
      <c r="C34" s="6" t="s">
        <v>1898</v>
      </c>
      <c r="D34" s="7">
        <v>1.4</v>
      </c>
      <c r="E34" s="7">
        <v>1.5</v>
      </c>
      <c r="F34" s="7">
        <v>1.6</v>
      </c>
      <c r="G34" s="7">
        <v>1.5</v>
      </c>
      <c r="H34" s="407">
        <f>VAR(D34:G34)</f>
        <v>6.6666666666666784E-3</v>
      </c>
      <c r="I34" s="13" t="s">
        <v>16</v>
      </c>
    </row>
    <row r="35" spans="2:10" x14ac:dyDescent="0.2">
      <c r="C35" s="6" t="s">
        <v>1900</v>
      </c>
      <c r="D35" s="7">
        <v>1.5</v>
      </c>
      <c r="E35" s="7">
        <v>1.5</v>
      </c>
      <c r="F35" s="7">
        <v>1.4</v>
      </c>
      <c r="G35" s="7">
        <v>1.5</v>
      </c>
      <c r="H35" s="407">
        <f>VAR(D35:G35)</f>
        <v>2.5000000000000044E-3</v>
      </c>
      <c r="I35" s="13" t="s">
        <v>17</v>
      </c>
    </row>
    <row r="36" spans="2:10" x14ac:dyDescent="0.2">
      <c r="C36" s="6" t="s">
        <v>702</v>
      </c>
      <c r="D36" s="7">
        <v>1.5</v>
      </c>
      <c r="E36" s="7">
        <v>1.6</v>
      </c>
      <c r="F36" s="7">
        <v>1.7</v>
      </c>
      <c r="G36" s="7">
        <v>1.8</v>
      </c>
      <c r="H36" s="407">
        <f>VAR(D36:G36)</f>
        <v>1.6666666666666666E-2</v>
      </c>
      <c r="I36" s="13" t="s">
        <v>18</v>
      </c>
    </row>
    <row r="38" spans="2:10" x14ac:dyDescent="0.2">
      <c r="E38" s="20"/>
      <c r="F38" s="162"/>
      <c r="G38" s="21" t="s">
        <v>858</v>
      </c>
      <c r="H38" s="407">
        <f>MIN(H34:H36)</f>
        <v>2.5000000000000044E-3</v>
      </c>
      <c r="I38" s="13" t="s">
        <v>705</v>
      </c>
    </row>
    <row r="39" spans="2:10" x14ac:dyDescent="0.2">
      <c r="H39" s="52"/>
      <c r="I39" s="13"/>
    </row>
    <row r="40" spans="2:10" x14ac:dyDescent="0.2">
      <c r="D40" s="20" t="s">
        <v>860</v>
      </c>
      <c r="E40" s="162"/>
      <c r="F40" s="162"/>
      <c r="G40" s="162"/>
      <c r="H40" s="8" t="str">
        <f>INDEX(C34:C36,MATCH(MIN(H34:H36),H34:H36,0))</f>
        <v>Machine 2</v>
      </c>
    </row>
    <row r="41" spans="2:10" x14ac:dyDescent="0.2">
      <c r="H41" s="66" t="s">
        <v>707</v>
      </c>
    </row>
    <row r="43" spans="2:10" ht="13.5" thickBot="1" x14ac:dyDescent="0.25">
      <c r="B43" s="2" t="s">
        <v>708</v>
      </c>
      <c r="C43" s="2"/>
      <c r="D43" s="2"/>
      <c r="E43" s="2"/>
      <c r="F43" s="2"/>
      <c r="G43" s="2"/>
      <c r="H43" s="2"/>
      <c r="I43" s="2"/>
      <c r="J43" s="2"/>
    </row>
    <row r="44" spans="2:10" x14ac:dyDescent="0.2">
      <c r="E44" s="88" t="s">
        <v>709</v>
      </c>
      <c r="F44" s="167" t="s">
        <v>705</v>
      </c>
    </row>
    <row r="45" spans="2:10" x14ac:dyDescent="0.2">
      <c r="E45" s="88" t="s">
        <v>841</v>
      </c>
      <c r="F45" s="167" t="s">
        <v>842</v>
      </c>
    </row>
    <row r="46" spans="2:10" x14ac:dyDescent="0.2">
      <c r="D46" s="88"/>
      <c r="E46" s="88" t="s">
        <v>843</v>
      </c>
      <c r="F46" s="167" t="s">
        <v>707</v>
      </c>
    </row>
    <row r="47" spans="2:10" x14ac:dyDescent="0.2">
      <c r="E47" s="88" t="s">
        <v>844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I54"/>
  <sheetViews>
    <sheetView showGridLines="0" workbookViewId="0">
      <pane ySplit="1" topLeftCell="A2" activePane="bottomLeft" state="frozen"/>
      <selection activeCell="A3" sqref="A3"/>
      <selection pane="bottomLeft" activeCell="J36" sqref="J36"/>
    </sheetView>
  </sheetViews>
  <sheetFormatPr defaultRowHeight="12.75" x14ac:dyDescent="0.2"/>
  <cols>
    <col min="1" max="1" width="2.7109375" customWidth="1"/>
    <col min="2" max="2" width="3.28515625" customWidth="1"/>
    <col min="3" max="3" width="31" customWidth="1"/>
    <col min="8" max="8" width="11" customWidth="1"/>
  </cols>
  <sheetData>
    <row r="1" spans="1:9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57" t="s">
        <v>1340</v>
      </c>
      <c r="D3" s="6" t="s">
        <v>1459</v>
      </c>
    </row>
    <row r="4" spans="1:9" x14ac:dyDescent="0.2">
      <c r="C4" s="24" t="s">
        <v>1341</v>
      </c>
      <c r="D4" s="25" t="e">
        <f>VALUE(MID(C4,SEARCH("£",C4),99))</f>
        <v>#VALUE!</v>
      </c>
      <c r="E4" s="13" t="s">
        <v>1342</v>
      </c>
    </row>
    <row r="6" spans="1:9" x14ac:dyDescent="0.2">
      <c r="C6" s="24" t="s">
        <v>1343</v>
      </c>
      <c r="D6" s="25">
        <f t="shared" ref="D6:D11" si="0">VALUE(MID(SUBSTITUTE(C6," ","    "),SEARCH("???%",SUBSTITUTE(C6," ","    ")),4))</f>
        <v>0.02</v>
      </c>
    </row>
    <row r="7" spans="1:9" x14ac:dyDescent="0.2">
      <c r="C7" s="24" t="s">
        <v>1344</v>
      </c>
      <c r="D7" s="25">
        <f t="shared" si="0"/>
        <v>0.5</v>
      </c>
    </row>
    <row r="8" spans="1:9" x14ac:dyDescent="0.2">
      <c r="C8" s="24" t="s">
        <v>1345</v>
      </c>
      <c r="D8" s="25">
        <f t="shared" si="0"/>
        <v>1</v>
      </c>
    </row>
    <row r="9" spans="1:9" x14ac:dyDescent="0.2">
      <c r="C9" s="24" t="s">
        <v>1346</v>
      </c>
      <c r="D9" s="33">
        <f t="shared" si="0"/>
        <v>0.02</v>
      </c>
    </row>
    <row r="10" spans="1:9" x14ac:dyDescent="0.2">
      <c r="C10" s="24" t="s">
        <v>1347</v>
      </c>
      <c r="D10" s="33">
        <f t="shared" si="0"/>
        <v>0.5</v>
      </c>
    </row>
    <row r="11" spans="1:9" x14ac:dyDescent="0.2">
      <c r="C11" s="24" t="s">
        <v>1348</v>
      </c>
      <c r="D11" s="33">
        <f t="shared" si="0"/>
        <v>1</v>
      </c>
      <c r="E11" s="184" t="s">
        <v>1349</v>
      </c>
    </row>
    <row r="12" spans="1:9" x14ac:dyDescent="0.2">
      <c r="D12" s="4" t="s">
        <v>8</v>
      </c>
    </row>
    <row r="14" spans="1:9" x14ac:dyDescent="0.2">
      <c r="C14" s="24" t="s">
        <v>1350</v>
      </c>
      <c r="D14" s="25">
        <f>VALUE(MID(C14,SEARCH("??:??",C14),5))</f>
        <v>6.25E-2</v>
      </c>
      <c r="E14" s="13" t="s">
        <v>1351</v>
      </c>
    </row>
    <row r="15" spans="1:9" x14ac:dyDescent="0.2">
      <c r="C15" s="24" t="s">
        <v>1350</v>
      </c>
      <c r="D15" s="437">
        <f>VALUE(MID(C15,SEARCH("??:??",C15),5))</f>
        <v>6.25E-2</v>
      </c>
      <c r="E15" s="13" t="s">
        <v>1352</v>
      </c>
    </row>
    <row r="16" spans="1:9" x14ac:dyDescent="0.2">
      <c r="C16" s="24" t="s">
        <v>1353</v>
      </c>
      <c r="D16" s="437">
        <f>VALUE(MID(C16,SEARCH("??:??",C16),5))</f>
        <v>0.4375</v>
      </c>
      <c r="E16" s="13" t="s">
        <v>1354</v>
      </c>
    </row>
    <row r="17" spans="2:8" x14ac:dyDescent="0.2">
      <c r="C17" s="24" t="s">
        <v>1355</v>
      </c>
      <c r="D17" s="437">
        <f>VALUE(MID(C17,SEARCH("??:??",C17),5))</f>
        <v>2.0833333333333332E-2</v>
      </c>
      <c r="E17" s="13" t="s">
        <v>1356</v>
      </c>
    </row>
    <row r="19" spans="2:8" ht="13.5" thickBot="1" x14ac:dyDescent="0.25">
      <c r="B19" s="2" t="s">
        <v>2865</v>
      </c>
      <c r="C19" s="2"/>
      <c r="D19" s="2"/>
      <c r="E19" s="2"/>
      <c r="F19" s="2"/>
      <c r="G19" s="2"/>
      <c r="H19" s="2"/>
    </row>
    <row r="20" spans="2:8" x14ac:dyDescent="0.2">
      <c r="B20" t="s">
        <v>1357</v>
      </c>
    </row>
    <row r="21" spans="2:8" x14ac:dyDescent="0.2">
      <c r="B21" t="s">
        <v>1358</v>
      </c>
    </row>
    <row r="22" spans="2:8" x14ac:dyDescent="0.2">
      <c r="B22" t="s">
        <v>1359</v>
      </c>
    </row>
    <row r="24" spans="2:8" ht="13.5" thickBot="1" x14ac:dyDescent="0.25">
      <c r="B24" s="2" t="s">
        <v>998</v>
      </c>
      <c r="C24" s="2"/>
      <c r="D24" s="2"/>
      <c r="E24" s="2"/>
      <c r="F24" s="2"/>
      <c r="G24" s="2"/>
      <c r="H24" s="2"/>
    </row>
    <row r="25" spans="2:8" x14ac:dyDescent="0.2">
      <c r="B25" s="61" t="s">
        <v>1360</v>
      </c>
    </row>
    <row r="27" spans="2:8" ht="13.5" thickBot="1" x14ac:dyDescent="0.25">
      <c r="B27" s="2" t="s">
        <v>3355</v>
      </c>
      <c r="C27" s="2"/>
      <c r="D27" s="2"/>
      <c r="E27" s="2"/>
      <c r="F27" s="2"/>
      <c r="G27" s="2"/>
      <c r="H27" s="2"/>
    </row>
    <row r="28" spans="2:8" x14ac:dyDescent="0.2">
      <c r="B28" t="s">
        <v>2424</v>
      </c>
    </row>
    <row r="29" spans="2:8" x14ac:dyDescent="0.2">
      <c r="B29" t="s">
        <v>1361</v>
      </c>
    </row>
    <row r="30" spans="2:8" x14ac:dyDescent="0.2">
      <c r="B30" t="s">
        <v>1362</v>
      </c>
    </row>
    <row r="31" spans="2:8" x14ac:dyDescent="0.2">
      <c r="B31" t="s">
        <v>1363</v>
      </c>
    </row>
    <row r="32" spans="2:8" x14ac:dyDescent="0.2">
      <c r="B32" t="s">
        <v>1364</v>
      </c>
    </row>
    <row r="33" spans="2:8" x14ac:dyDescent="0.2">
      <c r="B33" t="s">
        <v>1365</v>
      </c>
    </row>
    <row r="34" spans="2:8" x14ac:dyDescent="0.2">
      <c r="B34" t="s">
        <v>1366</v>
      </c>
    </row>
    <row r="37" spans="2:8" ht="13.5" thickBot="1" x14ac:dyDescent="0.25">
      <c r="B37" s="2" t="s">
        <v>1367</v>
      </c>
      <c r="C37" s="2"/>
      <c r="D37" s="2"/>
      <c r="E37" s="2"/>
      <c r="F37" s="2"/>
      <c r="G37" s="2"/>
      <c r="H37" s="2"/>
    </row>
    <row r="38" spans="2:8" x14ac:dyDescent="0.2">
      <c r="B38" t="s">
        <v>1368</v>
      </c>
    </row>
    <row r="39" spans="2:8" x14ac:dyDescent="0.2">
      <c r="B39" t="s">
        <v>1369</v>
      </c>
    </row>
    <row r="40" spans="2:8" x14ac:dyDescent="0.2">
      <c r="B40" t="s">
        <v>1370</v>
      </c>
    </row>
    <row r="41" spans="2:8" x14ac:dyDescent="0.2">
      <c r="B41" t="s">
        <v>1371</v>
      </c>
    </row>
    <row r="42" spans="2:8" x14ac:dyDescent="0.2">
      <c r="B42" t="s">
        <v>0</v>
      </c>
    </row>
    <row r="43" spans="2:8" x14ac:dyDescent="0.2">
      <c r="B43" t="s">
        <v>1</v>
      </c>
    </row>
    <row r="44" spans="2:8" x14ac:dyDescent="0.2">
      <c r="B44" t="s">
        <v>2</v>
      </c>
    </row>
    <row r="45" spans="2:8" x14ac:dyDescent="0.2">
      <c r="B45" t="s">
        <v>3</v>
      </c>
    </row>
    <row r="46" spans="2:8" x14ac:dyDescent="0.2">
      <c r="B46" t="s">
        <v>4</v>
      </c>
    </row>
    <row r="47" spans="2:8" x14ac:dyDescent="0.2">
      <c r="B47" t="s">
        <v>5</v>
      </c>
    </row>
    <row r="48" spans="2:8" x14ac:dyDescent="0.2">
      <c r="B48" t="s">
        <v>6</v>
      </c>
    </row>
    <row r="50" spans="3:4" x14ac:dyDescent="0.2">
      <c r="C50" s="24" t="s">
        <v>1343</v>
      </c>
      <c r="D50" s="25">
        <f>VALUE(MID(SUBSTITUTE(C50," ","    "),SEARCH("???%",SUBSTITUTE(C50," ","    ")),4))</f>
        <v>0.02</v>
      </c>
    </row>
    <row r="51" spans="3:4" x14ac:dyDescent="0.2">
      <c r="C51" s="24" t="s">
        <v>1344</v>
      </c>
      <c r="D51" s="25">
        <f>VALUE(MID(SUBSTITUTE(C51," ","    "),SEARCH("???%",SUBSTITUTE(C51," ","    ")),4))</f>
        <v>0.5</v>
      </c>
    </row>
    <row r="52" spans="3:4" x14ac:dyDescent="0.2">
      <c r="C52" s="24" t="s">
        <v>1348</v>
      </c>
      <c r="D52" s="25">
        <f>VALUE(MID(SUBSTITUTE(C52," ","    "),SEARCH("???%",SUBSTITUTE(C52," ","    ")),4))</f>
        <v>1</v>
      </c>
    </row>
    <row r="54" spans="3:4" x14ac:dyDescent="0.2">
      <c r="C54" t="s">
        <v>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I20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4" width="16.7109375" customWidth="1"/>
    <col min="8" max="8" width="14.42578125" customWidth="1"/>
  </cols>
  <sheetData>
    <row r="1" spans="1:9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1763</v>
      </c>
      <c r="D3" s="6" t="s">
        <v>1330</v>
      </c>
    </row>
    <row r="4" spans="1:9" x14ac:dyDescent="0.2">
      <c r="C4" s="7" t="s">
        <v>619</v>
      </c>
      <c r="D4" s="8" t="str">
        <f>UPPER(C4)</f>
        <v>ALAN JONES</v>
      </c>
      <c r="E4" s="13" t="s">
        <v>1331</v>
      </c>
    </row>
    <row r="5" spans="1:9" x14ac:dyDescent="0.2">
      <c r="C5" s="7" t="s">
        <v>2341</v>
      </c>
      <c r="D5" s="8" t="str">
        <f>UPPER(C5)</f>
        <v>BOB SMITH</v>
      </c>
      <c r="E5" s="13" t="s">
        <v>1332</v>
      </c>
    </row>
    <row r="6" spans="1:9" x14ac:dyDescent="0.2">
      <c r="C6" s="7" t="s">
        <v>1333</v>
      </c>
      <c r="D6" s="8" t="str">
        <f>UPPER(C6)</f>
        <v>CAROL WILLIAMS</v>
      </c>
      <c r="E6" s="13" t="s">
        <v>1334</v>
      </c>
    </row>
    <row r="7" spans="1:9" x14ac:dyDescent="0.2">
      <c r="C7" s="7" t="s">
        <v>2345</v>
      </c>
      <c r="D7" s="8" t="str">
        <f>UPPER(C7)</f>
        <v>CARDIFF</v>
      </c>
      <c r="E7" s="13" t="s">
        <v>1335</v>
      </c>
    </row>
    <row r="8" spans="1:9" x14ac:dyDescent="0.2">
      <c r="C8" s="7" t="s">
        <v>1336</v>
      </c>
      <c r="D8" s="8" t="str">
        <f>UPPER(C8)</f>
        <v>ABC123</v>
      </c>
      <c r="E8" s="13" t="s">
        <v>1337</v>
      </c>
    </row>
    <row r="10" spans="1:9" ht="13.5" thickBot="1" x14ac:dyDescent="0.25">
      <c r="B10" s="2" t="s">
        <v>2865</v>
      </c>
      <c r="C10" s="2"/>
      <c r="D10" s="2"/>
      <c r="E10" s="2"/>
      <c r="F10" s="2"/>
      <c r="G10" s="2"/>
      <c r="H10" s="2"/>
    </row>
    <row r="11" spans="1:9" x14ac:dyDescent="0.2">
      <c r="B11" t="s">
        <v>1338</v>
      </c>
    </row>
    <row r="13" spans="1:9" ht="13.5" thickBot="1" x14ac:dyDescent="0.25">
      <c r="B13" s="2" t="s">
        <v>998</v>
      </c>
      <c r="C13" s="2"/>
      <c r="D13" s="2"/>
      <c r="E13" s="2"/>
      <c r="F13" s="2"/>
      <c r="G13" s="2"/>
      <c r="H13" s="2"/>
    </row>
    <row r="14" spans="1:9" x14ac:dyDescent="0.2">
      <c r="B14" s="61" t="s">
        <v>1339</v>
      </c>
    </row>
    <row r="16" spans="1:9" ht="13.5" thickBot="1" x14ac:dyDescent="0.25">
      <c r="B16" s="2" t="s">
        <v>3355</v>
      </c>
      <c r="C16" s="2"/>
      <c r="D16" s="2"/>
      <c r="E16" s="2"/>
      <c r="F16" s="2"/>
      <c r="G16" s="2"/>
      <c r="H16" s="2"/>
    </row>
    <row r="17" spans="2:8" x14ac:dyDescent="0.2">
      <c r="B17" t="s">
        <v>2424</v>
      </c>
    </row>
    <row r="19" spans="2:8" ht="13.5" thickBot="1" x14ac:dyDescent="0.25">
      <c r="B19" s="2" t="s">
        <v>1001</v>
      </c>
      <c r="C19" s="2"/>
      <c r="D19" s="2"/>
      <c r="E19" s="2"/>
      <c r="F19" s="2"/>
      <c r="G19" s="2"/>
      <c r="H19" s="2"/>
    </row>
    <row r="20" spans="2:8" x14ac:dyDescent="0.2">
      <c r="B20" t="s">
        <v>625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K20"/>
  <sheetViews>
    <sheetView showGridLines="0" workbookViewId="0">
      <pane ySplit="1" topLeftCell="A2" activePane="bottomLeft" state="frozen"/>
      <selection activeCell="A3" sqref="A3"/>
      <selection pane="bottomLeft" activeCell="H3" sqref="H3"/>
    </sheetView>
  </sheetViews>
  <sheetFormatPr defaultRowHeight="12.75" x14ac:dyDescent="0.2"/>
  <cols>
    <col min="1" max="1" width="2.7109375" customWidth="1"/>
    <col min="4" max="4" width="9.85546875" customWidth="1"/>
    <col min="10" max="10" width="8.7109375" customWidth="1"/>
  </cols>
  <sheetData>
    <row r="1" spans="1:11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38.25" x14ac:dyDescent="0.2">
      <c r="C3" s="6" t="s">
        <v>990</v>
      </c>
      <c r="D3" s="57" t="s">
        <v>1318</v>
      </c>
      <c r="E3" s="57" t="s">
        <v>1319</v>
      </c>
    </row>
    <row r="4" spans="1:11" x14ac:dyDescent="0.2">
      <c r="C4" s="24">
        <v>1.4758899999999999</v>
      </c>
      <c r="D4" s="7">
        <v>0</v>
      </c>
      <c r="E4" s="25">
        <f t="shared" ref="E4:E11" si="0">TRUNC(C4,D4)</f>
        <v>1</v>
      </c>
      <c r="F4" s="13" t="s">
        <v>1320</v>
      </c>
    </row>
    <row r="5" spans="1:11" x14ac:dyDescent="0.2">
      <c r="C5" s="24">
        <v>1.4758899999999999</v>
      </c>
      <c r="D5" s="7">
        <v>1</v>
      </c>
      <c r="E5" s="25">
        <f t="shared" si="0"/>
        <v>1.4</v>
      </c>
      <c r="F5" s="13" t="s">
        <v>1321</v>
      </c>
    </row>
    <row r="6" spans="1:11" x14ac:dyDescent="0.2">
      <c r="C6" s="24">
        <v>1.4758899999999999</v>
      </c>
      <c r="D6" s="7">
        <v>2</v>
      </c>
      <c r="E6" s="25">
        <f t="shared" si="0"/>
        <v>1.47</v>
      </c>
      <c r="F6" s="13" t="s">
        <v>1322</v>
      </c>
    </row>
    <row r="7" spans="1:11" x14ac:dyDescent="0.2">
      <c r="C7" s="24">
        <v>-1.4758899999999999</v>
      </c>
      <c r="D7" s="7">
        <v>1</v>
      </c>
      <c r="E7" s="25">
        <f t="shared" si="0"/>
        <v>-1.4</v>
      </c>
      <c r="F7" s="13" t="s">
        <v>1323</v>
      </c>
    </row>
    <row r="8" spans="1:11" x14ac:dyDescent="0.2">
      <c r="C8" s="24">
        <v>-1.4758899999999999</v>
      </c>
      <c r="D8" s="7">
        <v>2</v>
      </c>
      <c r="E8" s="25">
        <f t="shared" si="0"/>
        <v>-1.47</v>
      </c>
      <c r="F8" s="13" t="s">
        <v>1324</v>
      </c>
    </row>
    <row r="9" spans="1:11" x14ac:dyDescent="0.2">
      <c r="C9" s="24">
        <v>13643.47589</v>
      </c>
      <c r="D9" s="7">
        <v>-1</v>
      </c>
      <c r="E9" s="25">
        <f t="shared" si="0"/>
        <v>13640</v>
      </c>
      <c r="F9" s="13" t="s">
        <v>1325</v>
      </c>
    </row>
    <row r="10" spans="1:11" x14ac:dyDescent="0.2">
      <c r="C10" s="24">
        <v>13643.47589</v>
      </c>
      <c r="D10" s="7">
        <v>-2</v>
      </c>
      <c r="E10" s="25">
        <f t="shared" si="0"/>
        <v>13600</v>
      </c>
      <c r="F10" s="13" t="s">
        <v>1326</v>
      </c>
    </row>
    <row r="11" spans="1:11" x14ac:dyDescent="0.2">
      <c r="C11" s="24">
        <v>13643.47589</v>
      </c>
      <c r="D11" s="7">
        <v>-3</v>
      </c>
      <c r="E11" s="25">
        <f t="shared" si="0"/>
        <v>13000</v>
      </c>
      <c r="F11" s="13" t="s">
        <v>1327</v>
      </c>
    </row>
    <row r="13" spans="1:11" ht="13.5" thickBot="1" x14ac:dyDescent="0.25">
      <c r="B13" s="2" t="s">
        <v>2865</v>
      </c>
      <c r="C13" s="2"/>
      <c r="D13" s="2"/>
      <c r="E13" s="2"/>
      <c r="F13" s="2"/>
      <c r="G13" s="2"/>
      <c r="H13" s="2"/>
      <c r="I13" s="2"/>
      <c r="J13" s="2"/>
    </row>
    <row r="14" spans="1:11" x14ac:dyDescent="0.2">
      <c r="B14" t="s">
        <v>1328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1329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J18"/>
  <sheetViews>
    <sheetView showGridLines="0" workbookViewId="0">
      <pane ySplit="1" topLeftCell="A2" activePane="bottomLeft" state="frozen"/>
      <selection activeCell="A3" sqref="A3"/>
      <selection pane="bottomLeft" activeCell="H5" sqref="H5"/>
    </sheetView>
  </sheetViews>
  <sheetFormatPr defaultRowHeight="12.75" x14ac:dyDescent="0.2"/>
  <cols>
    <col min="1" max="1" width="2.7109375" customWidth="1"/>
    <col min="3" max="3" width="16.28515625" customWidth="1"/>
    <col min="4" max="4" width="12.28515625" customWidth="1"/>
    <col min="9" max="9" width="7.42578125" customWidth="1"/>
  </cols>
  <sheetData>
    <row r="1" spans="1:10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23" t="s">
        <v>1763</v>
      </c>
      <c r="D3" s="23" t="s">
        <v>1306</v>
      </c>
    </row>
    <row r="4" spans="1:10" x14ac:dyDescent="0.2">
      <c r="C4" s="436" t="s">
        <v>1307</v>
      </c>
      <c r="D4" s="25" t="str">
        <f>TRIM(C4)</f>
        <v>ABCD</v>
      </c>
      <c r="E4" s="13" t="s">
        <v>1308</v>
      </c>
    </row>
    <row r="5" spans="1:10" x14ac:dyDescent="0.2">
      <c r="C5" s="436" t="s">
        <v>1309</v>
      </c>
      <c r="D5" s="25" t="str">
        <f>TRIM(C5)</f>
        <v>A B C D</v>
      </c>
      <c r="E5" s="13" t="s">
        <v>1310</v>
      </c>
    </row>
    <row r="6" spans="1:10" x14ac:dyDescent="0.2">
      <c r="C6" s="436" t="s">
        <v>1311</v>
      </c>
      <c r="D6" s="25" t="str">
        <f>TRIM(C6)</f>
        <v>Alan Jones</v>
      </c>
      <c r="E6" s="13" t="s">
        <v>1312</v>
      </c>
    </row>
    <row r="7" spans="1:10" x14ac:dyDescent="0.2">
      <c r="C7" s="436" t="s">
        <v>644</v>
      </c>
      <c r="D7" s="25" t="str">
        <f>TRIM(C7)</f>
        <v>ABCD</v>
      </c>
      <c r="E7" s="13" t="s">
        <v>1313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1314</v>
      </c>
    </row>
    <row r="11" spans="1:10" x14ac:dyDescent="0.2">
      <c r="B11" t="s">
        <v>1315</v>
      </c>
    </row>
    <row r="12" spans="1:10" x14ac:dyDescent="0.2">
      <c r="B12" t="s">
        <v>1316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1317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K58"/>
  <sheetViews>
    <sheetView showGridLines="0" workbookViewId="0">
      <pane ySplit="1" topLeftCell="A30" activePane="bottomLeft" state="frozen"/>
      <selection activeCell="A3" sqref="A3"/>
      <selection pane="bottomLeft" activeCell="F41" sqref="F41"/>
    </sheetView>
  </sheetViews>
  <sheetFormatPr defaultRowHeight="12.75" x14ac:dyDescent="0.2"/>
  <cols>
    <col min="1" max="1" width="2.7109375" customWidth="1"/>
    <col min="10" max="10" width="8.7109375" customWidth="1"/>
  </cols>
  <sheetData>
    <row r="1" spans="1:11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B3" s="158" t="s">
        <v>3079</v>
      </c>
      <c r="C3" s="160"/>
      <c r="E3" s="158" t="s">
        <v>3080</v>
      </c>
      <c r="F3" s="160"/>
    </row>
    <row r="4" spans="1:11" x14ac:dyDescent="0.2">
      <c r="B4" s="6" t="s">
        <v>1722</v>
      </c>
      <c r="C4" s="6" t="s">
        <v>1726</v>
      </c>
      <c r="E4" s="6" t="s">
        <v>1722</v>
      </c>
      <c r="F4" s="6" t="s">
        <v>1726</v>
      </c>
    </row>
    <row r="5" spans="1:11" x14ac:dyDescent="0.2">
      <c r="B5" s="7">
        <v>1</v>
      </c>
      <c r="C5" s="83">
        <v>1000</v>
      </c>
      <c r="E5" s="7">
        <v>7</v>
      </c>
      <c r="F5" s="252">
        <f t="array" ref="F5:F10">TREND(C5:C10,B5:B10,E5:E10)</f>
        <v>4940</v>
      </c>
      <c r="G5" s="13" t="s">
        <v>3081</v>
      </c>
    </row>
    <row r="6" spans="1:11" x14ac:dyDescent="0.2">
      <c r="B6" s="7">
        <v>2</v>
      </c>
      <c r="C6" s="83">
        <v>2000</v>
      </c>
      <c r="E6" s="7">
        <v>8</v>
      </c>
      <c r="F6" s="252">
        <v>5551.4285714285716</v>
      </c>
      <c r="G6" s="13" t="s">
        <v>3082</v>
      </c>
    </row>
    <row r="7" spans="1:11" x14ac:dyDescent="0.2">
      <c r="B7" s="7">
        <v>3</v>
      </c>
      <c r="C7" s="83">
        <v>2500</v>
      </c>
      <c r="E7" s="7">
        <v>9</v>
      </c>
      <c r="F7" s="252">
        <v>6162.8571428571431</v>
      </c>
      <c r="G7" s="13" t="s">
        <v>3082</v>
      </c>
    </row>
    <row r="8" spans="1:11" x14ac:dyDescent="0.2">
      <c r="B8" s="7">
        <v>4</v>
      </c>
      <c r="C8" s="83">
        <v>3500</v>
      </c>
      <c r="E8" s="7">
        <v>10</v>
      </c>
      <c r="F8" s="252">
        <v>6774.2857142857147</v>
      </c>
      <c r="G8" s="13" t="s">
        <v>3082</v>
      </c>
    </row>
    <row r="9" spans="1:11" x14ac:dyDescent="0.2">
      <c r="B9" s="7">
        <v>5</v>
      </c>
      <c r="C9" s="83">
        <v>3800</v>
      </c>
      <c r="E9" s="7">
        <v>11</v>
      </c>
      <c r="F9" s="252">
        <v>7385.7142857142862</v>
      </c>
      <c r="G9" s="13" t="s">
        <v>3082</v>
      </c>
    </row>
    <row r="10" spans="1:11" x14ac:dyDescent="0.2">
      <c r="B10" s="7">
        <v>6</v>
      </c>
      <c r="C10" s="83">
        <v>4000</v>
      </c>
      <c r="E10" s="7">
        <v>12</v>
      </c>
      <c r="F10" s="252">
        <v>7997.1428571428569</v>
      </c>
      <c r="G10" s="13" t="s">
        <v>3082</v>
      </c>
    </row>
    <row r="12" spans="1:11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1" x14ac:dyDescent="0.2">
      <c r="B13" t="s">
        <v>3083</v>
      </c>
    </row>
    <row r="14" spans="1:11" x14ac:dyDescent="0.2">
      <c r="B14" t="s">
        <v>3084</v>
      </c>
    </row>
    <row r="15" spans="1:11" x14ac:dyDescent="0.2">
      <c r="B15" t="s">
        <v>3085</v>
      </c>
    </row>
    <row r="17" spans="2:10" ht="13.5" thickBot="1" x14ac:dyDescent="0.25">
      <c r="B17" s="2" t="s">
        <v>998</v>
      </c>
      <c r="C17" s="2"/>
      <c r="D17" s="2"/>
      <c r="E17" s="2"/>
      <c r="F17" s="2"/>
      <c r="G17" s="2"/>
      <c r="H17" s="2"/>
      <c r="I17" s="2"/>
      <c r="J17" s="2"/>
    </row>
    <row r="18" spans="2:10" x14ac:dyDescent="0.2">
      <c r="B18" s="61" t="s">
        <v>3086</v>
      </c>
    </row>
    <row r="19" spans="2:10" x14ac:dyDescent="0.2">
      <c r="B19" t="s">
        <v>3087</v>
      </c>
    </row>
    <row r="20" spans="2:10" x14ac:dyDescent="0.2">
      <c r="B20" t="s">
        <v>3088</v>
      </c>
    </row>
    <row r="21" spans="2:10" x14ac:dyDescent="0.2">
      <c r="B21" t="s">
        <v>3089</v>
      </c>
    </row>
    <row r="24" spans="2:10" ht="13.5" thickBot="1" x14ac:dyDescent="0.25">
      <c r="B24" s="2" t="s">
        <v>3355</v>
      </c>
      <c r="C24" s="2"/>
      <c r="D24" s="2"/>
      <c r="E24" s="2"/>
      <c r="F24" s="2"/>
      <c r="G24" s="2"/>
      <c r="H24" s="2"/>
      <c r="I24" s="2"/>
      <c r="J24" s="2"/>
    </row>
    <row r="25" spans="2:10" x14ac:dyDescent="0.2">
      <c r="B25" t="s">
        <v>2424</v>
      </c>
    </row>
    <row r="27" spans="2:10" ht="13.5" thickBot="1" x14ac:dyDescent="0.25">
      <c r="B27" s="2" t="s">
        <v>1001</v>
      </c>
      <c r="C27" s="2"/>
      <c r="D27" s="2"/>
      <c r="E27" s="2"/>
      <c r="F27" s="2"/>
      <c r="G27" s="2"/>
      <c r="H27" s="2"/>
      <c r="I27" s="2"/>
      <c r="J27" s="2"/>
    </row>
    <row r="28" spans="2:10" x14ac:dyDescent="0.2">
      <c r="B28" t="s">
        <v>1281</v>
      </c>
    </row>
    <row r="29" spans="2:10" x14ac:dyDescent="0.2">
      <c r="B29" t="s">
        <v>1282</v>
      </c>
    </row>
    <row r="30" spans="2:10" x14ac:dyDescent="0.2">
      <c r="B30" t="s">
        <v>1283</v>
      </c>
    </row>
    <row r="31" spans="2:10" x14ac:dyDescent="0.2">
      <c r="B31" t="s">
        <v>1284</v>
      </c>
    </row>
    <row r="32" spans="2:10" x14ac:dyDescent="0.2">
      <c r="B32" t="s">
        <v>1285</v>
      </c>
    </row>
    <row r="33" spans="2:7" x14ac:dyDescent="0.2">
      <c r="B33" t="s">
        <v>1286</v>
      </c>
    </row>
    <row r="34" spans="2:7" x14ac:dyDescent="0.2">
      <c r="B34" t="s">
        <v>1287</v>
      </c>
    </row>
    <row r="35" spans="2:7" x14ac:dyDescent="0.2">
      <c r="B35" t="s">
        <v>1288</v>
      </c>
    </row>
    <row r="36" spans="2:7" x14ac:dyDescent="0.2">
      <c r="B36" t="s">
        <v>1289</v>
      </c>
    </row>
    <row r="39" spans="2:7" x14ac:dyDescent="0.2">
      <c r="B39" s="158" t="s">
        <v>3079</v>
      </c>
      <c r="C39" s="160"/>
      <c r="E39" s="158" t="s">
        <v>3080</v>
      </c>
      <c r="F39" s="160"/>
    </row>
    <row r="40" spans="2:7" x14ac:dyDescent="0.2">
      <c r="B40" s="6" t="s">
        <v>1722</v>
      </c>
      <c r="C40" s="6" t="s">
        <v>3093</v>
      </c>
      <c r="E40" s="6" t="s">
        <v>1722</v>
      </c>
      <c r="F40" s="6" t="s">
        <v>3093</v>
      </c>
    </row>
    <row r="41" spans="2:7" x14ac:dyDescent="0.2">
      <c r="B41" s="7">
        <v>1</v>
      </c>
      <c r="C41" s="433">
        <v>-5000</v>
      </c>
      <c r="E41" s="7">
        <v>13</v>
      </c>
      <c r="F41" s="434">
        <f t="array" ref="F41:F52">TREND(C41:C52,B41:B52,E41:E52)</f>
        <v>-2225.7575757575751</v>
      </c>
      <c r="G41" s="431" t="s">
        <v>1290</v>
      </c>
    </row>
    <row r="42" spans="2:7" x14ac:dyDescent="0.2">
      <c r="B42" s="7">
        <v>2</v>
      </c>
      <c r="C42" s="433">
        <v>-4800</v>
      </c>
      <c r="E42" s="7">
        <v>14</v>
      </c>
      <c r="F42" s="434">
        <v>-1967.5407925407917</v>
      </c>
      <c r="G42" s="435" t="s">
        <v>1291</v>
      </c>
    </row>
    <row r="43" spans="2:7" x14ac:dyDescent="0.2">
      <c r="B43" s="7">
        <v>3</v>
      </c>
      <c r="C43" s="433">
        <v>-4600</v>
      </c>
      <c r="E43" s="7">
        <v>15</v>
      </c>
      <c r="F43" s="434">
        <v>-1709.3240093240083</v>
      </c>
      <c r="G43" s="435" t="s">
        <v>1292</v>
      </c>
    </row>
    <row r="44" spans="2:7" x14ac:dyDescent="0.2">
      <c r="B44" s="7">
        <v>4</v>
      </c>
      <c r="C44" s="433">
        <v>-4750</v>
      </c>
      <c r="E44" s="7">
        <v>16</v>
      </c>
      <c r="F44" s="434">
        <v>-1451.107226107225</v>
      </c>
      <c r="G44" s="435" t="s">
        <v>1293</v>
      </c>
    </row>
    <row r="45" spans="2:7" x14ac:dyDescent="0.2">
      <c r="B45" s="7">
        <v>5</v>
      </c>
      <c r="C45" s="433">
        <v>-4800</v>
      </c>
      <c r="E45" s="7">
        <v>17</v>
      </c>
      <c r="F45" s="434">
        <v>-1192.8904428904416</v>
      </c>
      <c r="G45" s="435" t="s">
        <v>1294</v>
      </c>
    </row>
    <row r="46" spans="2:7" x14ac:dyDescent="0.2">
      <c r="B46" s="7">
        <v>6</v>
      </c>
      <c r="C46" s="433">
        <v>-4500</v>
      </c>
      <c r="E46" s="7">
        <v>18</v>
      </c>
      <c r="F46" s="434">
        <v>-934.67365967365822</v>
      </c>
      <c r="G46" s="435" t="s">
        <v>1564</v>
      </c>
    </row>
    <row r="47" spans="2:7" x14ac:dyDescent="0.2">
      <c r="B47" s="7">
        <v>7</v>
      </c>
      <c r="C47" s="433">
        <v>-4000</v>
      </c>
      <c r="E47" s="7">
        <v>19</v>
      </c>
      <c r="F47" s="434">
        <v>-676.45687645687485</v>
      </c>
      <c r="G47" s="435" t="s">
        <v>1295</v>
      </c>
    </row>
    <row r="48" spans="2:7" x14ac:dyDescent="0.2">
      <c r="B48" s="7">
        <v>8</v>
      </c>
      <c r="C48" s="433">
        <v>-3800</v>
      </c>
      <c r="E48" s="7">
        <v>20</v>
      </c>
      <c r="F48" s="434">
        <v>-418.24009324009148</v>
      </c>
      <c r="G48" s="435" t="s">
        <v>1296</v>
      </c>
    </row>
    <row r="49" spans="2:10" x14ac:dyDescent="0.2">
      <c r="B49" s="7">
        <v>9</v>
      </c>
      <c r="C49" s="433">
        <v>-3300</v>
      </c>
      <c r="E49" s="7">
        <v>21</v>
      </c>
      <c r="F49" s="434">
        <v>-160.02331002330811</v>
      </c>
      <c r="G49" s="435" t="s">
        <v>1297</v>
      </c>
    </row>
    <row r="50" spans="2:10" x14ac:dyDescent="0.2">
      <c r="B50" s="7">
        <v>10</v>
      </c>
      <c r="C50" s="433">
        <v>-2000</v>
      </c>
      <c r="E50" s="7">
        <v>22</v>
      </c>
      <c r="F50" s="434">
        <v>98.193473193475256</v>
      </c>
      <c r="G50" s="435" t="s">
        <v>1298</v>
      </c>
    </row>
    <row r="51" spans="2:10" x14ac:dyDescent="0.2">
      <c r="B51" s="7">
        <v>11</v>
      </c>
      <c r="C51" s="433">
        <v>-2500</v>
      </c>
      <c r="E51" s="7">
        <v>23</v>
      </c>
      <c r="F51" s="434">
        <v>356.41025641025863</v>
      </c>
      <c r="G51" s="435" t="s">
        <v>1299</v>
      </c>
    </row>
    <row r="52" spans="2:10" x14ac:dyDescent="0.2">
      <c r="B52" s="7">
        <v>12</v>
      </c>
      <c r="C52" s="433">
        <v>-2800</v>
      </c>
      <c r="E52" s="7">
        <v>24</v>
      </c>
      <c r="F52" s="434">
        <v>614.62703962704109</v>
      </c>
      <c r="G52" s="435" t="s">
        <v>1300</v>
      </c>
    </row>
    <row r="54" spans="2:10" ht="13.5" thickBot="1" x14ac:dyDescent="0.25">
      <c r="B54" s="2" t="s">
        <v>1301</v>
      </c>
      <c r="C54" s="2"/>
      <c r="D54" s="2"/>
      <c r="E54" s="2"/>
      <c r="F54" s="2"/>
      <c r="G54" s="2"/>
      <c r="H54" s="2"/>
      <c r="I54" s="2"/>
      <c r="J54" s="2"/>
    </row>
    <row r="55" spans="2:10" x14ac:dyDescent="0.2">
      <c r="B55" t="s">
        <v>1302</v>
      </c>
    </row>
    <row r="56" spans="2:10" x14ac:dyDescent="0.2">
      <c r="B56" t="s">
        <v>1303</v>
      </c>
    </row>
    <row r="57" spans="2:10" x14ac:dyDescent="0.2">
      <c r="B57" t="s">
        <v>1304</v>
      </c>
    </row>
    <row r="58" spans="2:10" x14ac:dyDescent="0.2">
      <c r="B58" t="s">
        <v>1305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K34"/>
  <sheetViews>
    <sheetView showGridLines="0" workbookViewId="0">
      <pane ySplit="1" topLeftCell="A2" activePane="bottomLeft" state="frozen"/>
      <selection activeCell="A3" sqref="A3"/>
      <selection pane="bottomLeft" activeCell="D9" sqref="D9"/>
    </sheetView>
  </sheetViews>
  <sheetFormatPr defaultRowHeight="12.75" x14ac:dyDescent="0.2"/>
  <cols>
    <col min="1" max="1" width="2.7109375" customWidth="1"/>
    <col min="10" max="10" width="8.7109375" customWidth="1"/>
  </cols>
  <sheetData>
    <row r="1" spans="1:11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D3" s="6" t="s">
        <v>3555</v>
      </c>
      <c r="E3" s="6" t="s">
        <v>3556</v>
      </c>
    </row>
    <row r="4" spans="1:11" x14ac:dyDescent="0.2">
      <c r="C4" s="6" t="s">
        <v>3361</v>
      </c>
      <c r="D4" s="7">
        <v>10</v>
      </c>
      <c r="E4" s="7">
        <v>30</v>
      </c>
    </row>
    <row r="5" spans="1:11" x14ac:dyDescent="0.2">
      <c r="C5" s="6" t="s">
        <v>3362</v>
      </c>
      <c r="D5" s="7">
        <v>40</v>
      </c>
      <c r="E5" s="7">
        <v>50</v>
      </c>
    </row>
    <row r="6" spans="1:11" x14ac:dyDescent="0.2">
      <c r="C6" s="6" t="s">
        <v>3363</v>
      </c>
      <c r="D6" s="7">
        <v>70</v>
      </c>
      <c r="E6" s="7">
        <v>80</v>
      </c>
    </row>
    <row r="7" spans="1:11" x14ac:dyDescent="0.2">
      <c r="C7" s="6" t="s">
        <v>3360</v>
      </c>
      <c r="D7" s="8">
        <f>SUM(D4:D6)</f>
        <v>120</v>
      </c>
      <c r="E7" s="8">
        <f>SUM(E4:E6)</f>
        <v>160</v>
      </c>
    </row>
    <row r="9" spans="1:11" x14ac:dyDescent="0.2">
      <c r="C9" s="8">
        <f t="array" ref="C9:G11">TRANSPOSE(C3:E7)</f>
        <v>0</v>
      </c>
      <c r="D9" s="8" t="str">
        <v>Alan</v>
      </c>
      <c r="E9" s="8" t="str">
        <v>Bob</v>
      </c>
      <c r="F9" s="8" t="str">
        <v>Carol</v>
      </c>
      <c r="G9" s="8" t="str">
        <v>Total</v>
      </c>
    </row>
    <row r="10" spans="1:11" x14ac:dyDescent="0.2">
      <c r="C10" s="8" t="str">
        <v>Jan</v>
      </c>
      <c r="D10" s="8">
        <v>10</v>
      </c>
      <c r="E10" s="8">
        <v>40</v>
      </c>
      <c r="F10" s="8">
        <v>70</v>
      </c>
      <c r="G10" s="8">
        <v>120</v>
      </c>
    </row>
    <row r="11" spans="1:11" x14ac:dyDescent="0.2">
      <c r="C11" s="8" t="str">
        <v>Feb</v>
      </c>
      <c r="D11" s="8">
        <v>30</v>
      </c>
      <c r="E11" s="8">
        <v>50</v>
      </c>
      <c r="F11" s="8">
        <v>80</v>
      </c>
      <c r="G11" s="8">
        <v>160</v>
      </c>
    </row>
    <row r="13" spans="1:11" x14ac:dyDescent="0.2">
      <c r="C13" s="431" t="s">
        <v>433</v>
      </c>
      <c r="D13" s="432"/>
      <c r="E13" s="432"/>
      <c r="F13" s="432"/>
      <c r="G13" s="432"/>
    </row>
    <row r="14" spans="1:11" x14ac:dyDescent="0.2">
      <c r="C14" s="432"/>
      <c r="D14" s="432"/>
      <c r="F14" s="432"/>
      <c r="G14" s="432"/>
    </row>
    <row r="15" spans="1:11" x14ac:dyDescent="0.2">
      <c r="C15" s="432"/>
      <c r="D15" s="432"/>
      <c r="E15" s="432"/>
      <c r="F15" s="432"/>
      <c r="G15" s="432"/>
    </row>
    <row r="16" spans="1:11" x14ac:dyDescent="0.2">
      <c r="E16" s="49" t="s">
        <v>434</v>
      </c>
    </row>
    <row r="18" spans="2:10" ht="13.5" thickBot="1" x14ac:dyDescent="0.25">
      <c r="B18" s="2" t="s">
        <v>2865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t="s">
        <v>435</v>
      </c>
    </row>
    <row r="20" spans="2:10" x14ac:dyDescent="0.2">
      <c r="B20" t="s">
        <v>436</v>
      </c>
    </row>
    <row r="21" spans="2:10" x14ac:dyDescent="0.2">
      <c r="B21" t="s">
        <v>437</v>
      </c>
    </row>
    <row r="22" spans="2:10" x14ac:dyDescent="0.2">
      <c r="B22" t="s">
        <v>438</v>
      </c>
    </row>
    <row r="23" spans="2:10" ht="18.95" customHeight="1" x14ac:dyDescent="0.2">
      <c r="B23" t="s">
        <v>439</v>
      </c>
    </row>
    <row r="24" spans="2:10" ht="18.95" customHeight="1" x14ac:dyDescent="0.2">
      <c r="B24" t="s">
        <v>3073</v>
      </c>
    </row>
    <row r="25" spans="2:10" x14ac:dyDescent="0.2">
      <c r="B25" t="s">
        <v>3074</v>
      </c>
    </row>
    <row r="26" spans="2:10" x14ac:dyDescent="0.2">
      <c r="B26" t="s">
        <v>3075</v>
      </c>
    </row>
    <row r="27" spans="2:10" ht="18.95" customHeight="1" x14ac:dyDescent="0.2">
      <c r="B27" t="s">
        <v>3076</v>
      </c>
    </row>
    <row r="28" spans="2:10" x14ac:dyDescent="0.2">
      <c r="B28" t="s">
        <v>3077</v>
      </c>
    </row>
    <row r="30" spans="2:10" ht="13.5" thickBot="1" x14ac:dyDescent="0.25">
      <c r="B30" s="2" t="s">
        <v>998</v>
      </c>
      <c r="C30" s="2"/>
      <c r="D30" s="2"/>
      <c r="E30" s="2"/>
      <c r="F30" s="2"/>
      <c r="G30" s="2"/>
      <c r="H30" s="2"/>
      <c r="I30" s="2"/>
      <c r="J30" s="2"/>
    </row>
    <row r="31" spans="2:10" x14ac:dyDescent="0.2">
      <c r="B31" s="61" t="s">
        <v>3078</v>
      </c>
    </row>
    <row r="33" spans="2:10" ht="13.5" thickBot="1" x14ac:dyDescent="0.25">
      <c r="B33" s="2" t="s">
        <v>3355</v>
      </c>
      <c r="C33" s="2"/>
      <c r="D33" s="2"/>
      <c r="E33" s="2"/>
      <c r="F33" s="2"/>
      <c r="G33" s="2"/>
      <c r="H33" s="2"/>
      <c r="I33" s="2"/>
      <c r="J33" s="2"/>
    </row>
    <row r="34" spans="2:10" x14ac:dyDescent="0.2">
      <c r="B34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H36"/>
  <sheetViews>
    <sheetView showGridLines="0" workbookViewId="0">
      <pane ySplit="1" topLeftCell="A10" activePane="bottomLeft" state="frozen"/>
      <selection activeCell="A3" sqref="A3"/>
      <selection pane="bottomLeft" activeCell="C28" sqref="C28"/>
    </sheetView>
  </sheetViews>
  <sheetFormatPr defaultRowHeight="12.75" x14ac:dyDescent="0.2"/>
  <cols>
    <col min="1" max="1" width="2.7109375" customWidth="1"/>
    <col min="2" max="2" width="9.5703125" customWidth="1"/>
    <col min="3" max="3" width="10.85546875" customWidth="1"/>
    <col min="4" max="4" width="11.85546875" customWidth="1"/>
    <col min="5" max="5" width="17.140625" customWidth="1"/>
    <col min="7" max="7" width="19.140625" customWidth="1"/>
  </cols>
  <sheetData>
    <row r="1" spans="1:8" ht="43.5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3033</v>
      </c>
    </row>
    <row r="4" spans="1:8" x14ac:dyDescent="0.2">
      <c r="C4" s="243">
        <f ca="1">TODAY()</f>
        <v>45434</v>
      </c>
      <c r="D4" s="63" t="s">
        <v>3034</v>
      </c>
    </row>
    <row r="6" spans="1:8" ht="13.5" thickBot="1" x14ac:dyDescent="0.25">
      <c r="B6" s="2" t="s">
        <v>3118</v>
      </c>
      <c r="C6" s="2"/>
      <c r="D6" s="2"/>
      <c r="E6" s="2"/>
      <c r="F6" s="2"/>
      <c r="G6" s="2"/>
    </row>
    <row r="7" spans="1:8" x14ac:dyDescent="0.2">
      <c r="B7" t="s">
        <v>3035</v>
      </c>
    </row>
    <row r="9" spans="1:8" ht="13.5" thickBot="1" x14ac:dyDescent="0.25">
      <c r="B9" s="2" t="s">
        <v>998</v>
      </c>
      <c r="C9" s="2"/>
      <c r="D9" s="2"/>
      <c r="E9" s="2"/>
      <c r="F9" s="2"/>
      <c r="G9" s="2"/>
    </row>
    <row r="10" spans="1:8" x14ac:dyDescent="0.2">
      <c r="B10" t="s">
        <v>3034</v>
      </c>
    </row>
    <row r="12" spans="1:8" ht="13.5" thickBot="1" x14ac:dyDescent="0.25">
      <c r="B12" s="2" t="s">
        <v>3355</v>
      </c>
      <c r="C12" s="2"/>
      <c r="D12" s="2"/>
      <c r="E12" s="2"/>
      <c r="F12" s="2"/>
      <c r="G12" s="2"/>
    </row>
    <row r="13" spans="1:8" x14ac:dyDescent="0.2">
      <c r="B13" t="s">
        <v>3036</v>
      </c>
    </row>
    <row r="15" spans="1:8" ht="13.5" thickBot="1" x14ac:dyDescent="0.25">
      <c r="B15" s="2" t="s">
        <v>1001</v>
      </c>
      <c r="C15" s="2"/>
      <c r="D15" s="2"/>
      <c r="E15" s="2"/>
      <c r="F15" s="2"/>
      <c r="G15" s="2"/>
    </row>
    <row r="16" spans="1:8" x14ac:dyDescent="0.2">
      <c r="B16" t="s">
        <v>3037</v>
      </c>
    </row>
    <row r="17" spans="2:7" x14ac:dyDescent="0.2">
      <c r="B17" t="s">
        <v>3038</v>
      </c>
    </row>
    <row r="19" spans="2:7" x14ac:dyDescent="0.2">
      <c r="C19" s="6" t="s">
        <v>1463</v>
      </c>
      <c r="D19" s="6" t="s">
        <v>3039</v>
      </c>
    </row>
    <row r="20" spans="2:7" x14ac:dyDescent="0.2">
      <c r="C20" s="161">
        <v>35431</v>
      </c>
      <c r="D20" s="8">
        <f ca="1">TODAY()-C20</f>
        <v>10003</v>
      </c>
      <c r="E20" s="63" t="s">
        <v>3040</v>
      </c>
    </row>
    <row r="21" spans="2:7" x14ac:dyDescent="0.2">
      <c r="C21" s="161">
        <v>35652</v>
      </c>
      <c r="D21" s="8">
        <f ca="1">TODAY()-C21</f>
        <v>9782</v>
      </c>
      <c r="E21" s="63" t="s">
        <v>3041</v>
      </c>
    </row>
    <row r="24" spans="2:7" x14ac:dyDescent="0.2">
      <c r="B24" t="s">
        <v>425</v>
      </c>
    </row>
    <row r="25" spans="2:7" x14ac:dyDescent="0.2">
      <c r="B25" t="s">
        <v>426</v>
      </c>
    </row>
    <row r="27" spans="2:7" x14ac:dyDescent="0.2">
      <c r="C27" s="6" t="s">
        <v>1463</v>
      </c>
      <c r="D27" s="6" t="s">
        <v>3039</v>
      </c>
    </row>
    <row r="28" spans="2:7" x14ac:dyDescent="0.2">
      <c r="C28" s="161">
        <v>35431</v>
      </c>
      <c r="D28" s="8">
        <f ca="1">TODAY()-C28+1</f>
        <v>10004</v>
      </c>
      <c r="E28" s="63" t="s">
        <v>427</v>
      </c>
    </row>
    <row r="29" spans="2:7" x14ac:dyDescent="0.2">
      <c r="C29" s="161">
        <v>35652</v>
      </c>
      <c r="D29" s="8">
        <f ca="1">TODAY()-C29+1</f>
        <v>9783</v>
      </c>
      <c r="E29" s="63" t="s">
        <v>428</v>
      </c>
    </row>
    <row r="32" spans="2:7" ht="13.5" thickBot="1" x14ac:dyDescent="0.25">
      <c r="B32" s="2" t="s">
        <v>1001</v>
      </c>
      <c r="C32" s="2"/>
      <c r="D32" s="2"/>
      <c r="E32" s="2"/>
      <c r="F32" s="2"/>
      <c r="G32" s="2"/>
    </row>
    <row r="33" spans="2:5" x14ac:dyDescent="0.2">
      <c r="B33" t="s">
        <v>429</v>
      </c>
    </row>
    <row r="35" spans="2:5" x14ac:dyDescent="0.2">
      <c r="C35" s="6" t="s">
        <v>430</v>
      </c>
      <c r="D35" s="6" t="s">
        <v>431</v>
      </c>
    </row>
    <row r="36" spans="2:5" x14ac:dyDescent="0.2">
      <c r="C36" s="430">
        <v>36526</v>
      </c>
      <c r="D36" s="8">
        <f ca="1">C36-TODAY()</f>
        <v>-8908</v>
      </c>
      <c r="E36" s="63" t="s">
        <v>432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I18"/>
  <sheetViews>
    <sheetView showGridLines="0" workbookViewId="0">
      <pane ySplit="1" topLeftCell="A2" activePane="bottomLeft" state="frozen"/>
      <selection activeCell="A3" sqref="A3"/>
      <selection pane="bottomLeft" activeCell="D4" sqref="D4"/>
    </sheetView>
  </sheetViews>
  <sheetFormatPr defaultRowHeight="12.75" x14ac:dyDescent="0.2"/>
  <cols>
    <col min="1" max="1" width="2.7109375" customWidth="1"/>
    <col min="3" max="3" width="13.28515625" customWidth="1"/>
    <col min="4" max="4" width="14.85546875" customWidth="1"/>
    <col min="5" max="5" width="18.85546875" customWidth="1"/>
    <col min="8" max="8" width="7" customWidth="1"/>
  </cols>
  <sheetData>
    <row r="1" spans="1:9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95" t="s">
        <v>1462</v>
      </c>
      <c r="D3" s="6" t="s">
        <v>3769</v>
      </c>
    </row>
    <row r="4" spans="1:9" x14ac:dyDescent="0.2">
      <c r="C4" s="429" t="s">
        <v>3023</v>
      </c>
      <c r="D4" s="8">
        <f>TIMEVALUE(C4)</f>
        <v>0.60484953703703703</v>
      </c>
      <c r="E4" s="63" t="s">
        <v>3024</v>
      </c>
    </row>
    <row r="5" spans="1:9" x14ac:dyDescent="0.2">
      <c r="C5" s="429" t="s">
        <v>3023</v>
      </c>
      <c r="D5" s="426">
        <f>TIMEVALUE(C5)</f>
        <v>0.60484953703703703</v>
      </c>
      <c r="E5" s="63" t="s">
        <v>3025</v>
      </c>
    </row>
    <row r="6" spans="1:9" x14ac:dyDescent="0.2">
      <c r="C6" s="429" t="s">
        <v>3023</v>
      </c>
      <c r="D6" s="427">
        <f>TIMEVALUE(C6)</f>
        <v>0.60484953703703703</v>
      </c>
      <c r="E6" s="63" t="s">
        <v>3026</v>
      </c>
    </row>
    <row r="8" spans="1:9" ht="13.5" thickBot="1" x14ac:dyDescent="0.25">
      <c r="B8" s="2" t="s">
        <v>3118</v>
      </c>
      <c r="C8" s="2"/>
      <c r="D8" s="2"/>
      <c r="E8" s="2"/>
      <c r="F8" s="2"/>
      <c r="G8" s="2"/>
      <c r="H8" s="2"/>
    </row>
    <row r="9" spans="1:9" x14ac:dyDescent="0.2">
      <c r="B9" t="s">
        <v>3027</v>
      </c>
    </row>
    <row r="10" spans="1:9" x14ac:dyDescent="0.2">
      <c r="B10" t="s">
        <v>3028</v>
      </c>
    </row>
    <row r="11" spans="1:9" x14ac:dyDescent="0.2">
      <c r="B11" t="s">
        <v>3029</v>
      </c>
    </row>
    <row r="13" spans="1:9" ht="13.5" thickBot="1" x14ac:dyDescent="0.25">
      <c r="B13" s="2" t="s">
        <v>998</v>
      </c>
      <c r="C13" s="2"/>
      <c r="D13" s="2"/>
      <c r="E13" s="2"/>
      <c r="F13" s="2"/>
      <c r="G13" s="2"/>
      <c r="H13" s="2"/>
    </row>
    <row r="14" spans="1:9" x14ac:dyDescent="0.2">
      <c r="B14" t="s">
        <v>3030</v>
      </c>
    </row>
    <row r="16" spans="1:9" ht="13.5" thickBot="1" x14ac:dyDescent="0.25">
      <c r="B16" s="2" t="s">
        <v>3355</v>
      </c>
      <c r="C16" s="2"/>
      <c r="D16" s="2"/>
      <c r="E16" s="2"/>
      <c r="F16" s="2"/>
      <c r="G16" s="2"/>
      <c r="H16" s="2"/>
    </row>
    <row r="17" spans="2:2" x14ac:dyDescent="0.2">
      <c r="B17" t="s">
        <v>3031</v>
      </c>
    </row>
    <row r="18" spans="2:2" x14ac:dyDescent="0.2">
      <c r="B18" t="s">
        <v>3032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J17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6" max="6" width="12.5703125" customWidth="1"/>
    <col min="7" max="7" width="18.28515625" customWidth="1"/>
  </cols>
  <sheetData>
    <row r="1" spans="1:10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1628</v>
      </c>
      <c r="D3" s="6" t="s">
        <v>1631</v>
      </c>
      <c r="E3" s="6" t="s">
        <v>1634</v>
      </c>
      <c r="F3" s="6" t="s">
        <v>3769</v>
      </c>
    </row>
    <row r="4" spans="1:10" x14ac:dyDescent="0.2">
      <c r="C4" s="7">
        <v>14</v>
      </c>
      <c r="D4" s="7">
        <v>30</v>
      </c>
      <c r="E4" s="7">
        <v>59</v>
      </c>
      <c r="F4" s="426">
        <f>TIME(C4,D4,E4)</f>
        <v>0.60484953703703703</v>
      </c>
      <c r="G4" s="63" t="s">
        <v>3015</v>
      </c>
    </row>
    <row r="5" spans="1:10" x14ac:dyDescent="0.2">
      <c r="C5" s="7">
        <v>14</v>
      </c>
      <c r="D5" s="7">
        <v>30</v>
      </c>
      <c r="E5" s="7">
        <v>59</v>
      </c>
      <c r="F5" s="427">
        <f>TIME(C5,D5,E5)</f>
        <v>0.60484953703703703</v>
      </c>
      <c r="G5" s="63" t="s">
        <v>3016</v>
      </c>
    </row>
    <row r="6" spans="1:10" x14ac:dyDescent="0.2">
      <c r="C6" s="7">
        <v>14</v>
      </c>
      <c r="D6" s="7">
        <v>30</v>
      </c>
      <c r="E6" s="7">
        <v>59</v>
      </c>
      <c r="F6" s="428">
        <f>TIME(C6,D6,E6)</f>
        <v>0.60484953703703703</v>
      </c>
      <c r="G6" s="63" t="s">
        <v>3017</v>
      </c>
    </row>
    <row r="8" spans="1:10" ht="13.5" thickBot="1" x14ac:dyDescent="0.25">
      <c r="B8" s="2" t="s">
        <v>3118</v>
      </c>
      <c r="C8" s="2"/>
      <c r="D8" s="2"/>
      <c r="E8" s="2"/>
      <c r="F8" s="2"/>
      <c r="G8" s="2"/>
      <c r="H8" s="2"/>
      <c r="I8" s="2"/>
    </row>
    <row r="9" spans="1:10" x14ac:dyDescent="0.2">
      <c r="B9" t="s">
        <v>3018</v>
      </c>
    </row>
    <row r="11" spans="1:10" ht="13.5" thickBot="1" x14ac:dyDescent="0.25">
      <c r="B11" s="2" t="s">
        <v>998</v>
      </c>
      <c r="C11" s="2"/>
      <c r="D11" s="2"/>
      <c r="E11" s="2"/>
      <c r="F11" s="2"/>
      <c r="G11" s="2"/>
      <c r="H11" s="2"/>
      <c r="I11" s="2"/>
    </row>
    <row r="12" spans="1:10" x14ac:dyDescent="0.2">
      <c r="B12" t="s">
        <v>3019</v>
      </c>
    </row>
    <row r="14" spans="1:10" ht="13.5" thickBot="1" x14ac:dyDescent="0.25">
      <c r="B14" s="2" t="s">
        <v>3355</v>
      </c>
      <c r="C14" s="2"/>
      <c r="D14" s="2"/>
      <c r="E14" s="2"/>
      <c r="F14" s="2"/>
      <c r="G14" s="2"/>
      <c r="H14" s="2"/>
      <c r="I14" s="2"/>
    </row>
    <row r="15" spans="1:10" x14ac:dyDescent="0.2">
      <c r="B15" t="s">
        <v>3020</v>
      </c>
    </row>
    <row r="16" spans="1:10" x14ac:dyDescent="0.2">
      <c r="B16" t="s">
        <v>3021</v>
      </c>
    </row>
    <row r="17" spans="2:2" x14ac:dyDescent="0.2">
      <c r="B17" t="s">
        <v>3022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5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K19"/>
  <sheetViews>
    <sheetView showGridLines="0" workbookViewId="0">
      <pane ySplit="1" topLeftCell="A2" activePane="bottomLeft" state="frozen"/>
      <selection activeCell="A3" sqref="A3"/>
      <selection pane="bottomLeft" activeCell="I6" sqref="I6"/>
    </sheetView>
  </sheetViews>
  <sheetFormatPr defaultRowHeight="12.75" x14ac:dyDescent="0.2"/>
  <cols>
    <col min="1" max="1" width="2.7109375" customWidth="1"/>
    <col min="3" max="3" width="11.7109375" customWidth="1"/>
    <col min="10" max="10" width="6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25.5" x14ac:dyDescent="0.2">
      <c r="C3" s="57" t="s">
        <v>2255</v>
      </c>
      <c r="D3" s="57" t="s">
        <v>2256</v>
      </c>
    </row>
    <row r="4" spans="1:11" x14ac:dyDescent="0.2">
      <c r="C4" s="7">
        <v>10</v>
      </c>
      <c r="D4" s="8" t="str">
        <f>TEXT(C4,"0.00")</f>
        <v>10.00</v>
      </c>
      <c r="E4" s="13" t="s">
        <v>3006</v>
      </c>
    </row>
    <row r="5" spans="1:11" x14ac:dyDescent="0.2">
      <c r="C5" s="7">
        <v>10</v>
      </c>
      <c r="D5" s="8" t="str">
        <f>TEXT(C5,"£0.00")</f>
        <v>£10.00</v>
      </c>
      <c r="E5" s="13" t="s">
        <v>3007</v>
      </c>
    </row>
    <row r="6" spans="1:11" x14ac:dyDescent="0.2">
      <c r="C6" s="7">
        <v>10</v>
      </c>
      <c r="D6" s="8" t="str">
        <f>TEXT(C6,"0")</f>
        <v>10</v>
      </c>
      <c r="E6" s="13" t="s">
        <v>3008</v>
      </c>
    </row>
    <row r="7" spans="1:11" x14ac:dyDescent="0.2">
      <c r="C7" s="7">
        <v>10</v>
      </c>
      <c r="D7" s="8" t="str">
        <f>TEXT(C7,"£0")</f>
        <v>£10</v>
      </c>
      <c r="E7" s="13" t="s">
        <v>3009</v>
      </c>
    </row>
    <row r="8" spans="1:11" x14ac:dyDescent="0.2">
      <c r="C8" s="7">
        <v>10.25</v>
      </c>
      <c r="D8" s="8" t="str">
        <f>TEXT(C8,"0.0")</f>
        <v>10.3</v>
      </c>
      <c r="E8" s="13" t="s">
        <v>3010</v>
      </c>
    </row>
    <row r="9" spans="1:11" x14ac:dyDescent="0.2">
      <c r="C9" s="7">
        <v>10.25</v>
      </c>
      <c r="D9" s="8" t="str">
        <f>TEXT(C9,"£0.0")</f>
        <v>£10.3</v>
      </c>
      <c r="E9" s="13" t="s">
        <v>3011</v>
      </c>
    </row>
    <row r="11" spans="1:11" ht="13.5" thickBot="1" x14ac:dyDescent="0.25">
      <c r="B11" s="2" t="s">
        <v>2865</v>
      </c>
      <c r="C11" s="2"/>
      <c r="D11" s="2"/>
      <c r="E11" s="2"/>
      <c r="F11" s="2"/>
      <c r="G11" s="2"/>
      <c r="H11" s="2"/>
      <c r="I11" s="2"/>
      <c r="J11" s="2"/>
    </row>
    <row r="12" spans="1:11" x14ac:dyDescent="0.2">
      <c r="B12" t="s">
        <v>3012</v>
      </c>
    </row>
    <row r="13" spans="1:11" x14ac:dyDescent="0.2">
      <c r="B13" t="s">
        <v>3013</v>
      </c>
    </row>
    <row r="15" spans="1:11" ht="13.5" thickBot="1" x14ac:dyDescent="0.25">
      <c r="B15" s="2" t="s">
        <v>998</v>
      </c>
      <c r="C15" s="2"/>
      <c r="D15" s="2"/>
      <c r="E15" s="2"/>
      <c r="F15" s="2"/>
      <c r="G15" s="2"/>
      <c r="H15" s="2"/>
      <c r="I15" s="2"/>
      <c r="J15" s="2"/>
    </row>
    <row r="16" spans="1:11" x14ac:dyDescent="0.2">
      <c r="B16" s="61" t="s">
        <v>3014</v>
      </c>
    </row>
    <row r="18" spans="2:10" ht="13.5" thickBot="1" x14ac:dyDescent="0.25">
      <c r="B18" s="2" t="s">
        <v>3355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t="s">
        <v>3762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K20"/>
  <sheetViews>
    <sheetView showGridLines="0" workbookViewId="0">
      <pane ySplit="1" topLeftCell="A2" activePane="bottomLeft" state="frozen"/>
      <selection activeCell="A3" sqref="A3"/>
      <selection pane="bottomLeft" activeCell="G3" sqref="G3"/>
    </sheetView>
  </sheetViews>
  <sheetFormatPr defaultRowHeight="12.75" x14ac:dyDescent="0.2"/>
  <cols>
    <col min="1" max="1" width="2.7109375" customWidth="1"/>
    <col min="4" max="4" width="10.85546875" customWidth="1"/>
    <col min="10" max="10" width="7" customWidth="1"/>
  </cols>
  <sheetData>
    <row r="1" spans="1:11" ht="47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D3" s="6" t="s">
        <v>3690</v>
      </c>
      <c r="E3" s="6" t="s">
        <v>3113</v>
      </c>
    </row>
    <row r="4" spans="1:11" x14ac:dyDescent="0.2">
      <c r="D4" s="7" t="s">
        <v>1029</v>
      </c>
      <c r="E4" s="8" t="str">
        <f>T(D4)</f>
        <v>Hello</v>
      </c>
      <c r="F4" s="13" t="s">
        <v>2996</v>
      </c>
    </row>
    <row r="5" spans="1:11" x14ac:dyDescent="0.2">
      <c r="D5" s="7">
        <v>10</v>
      </c>
      <c r="E5" s="8" t="str">
        <f>T(D5)</f>
        <v/>
      </c>
      <c r="F5" s="13" t="s">
        <v>2997</v>
      </c>
    </row>
    <row r="6" spans="1:11" x14ac:dyDescent="0.2">
      <c r="D6" s="198">
        <v>35796</v>
      </c>
      <c r="E6" s="8" t="str">
        <f>T(D6)</f>
        <v/>
      </c>
      <c r="F6" s="13" t="s">
        <v>2998</v>
      </c>
    </row>
    <row r="7" spans="1:11" x14ac:dyDescent="0.2">
      <c r="D7" s="198"/>
      <c r="E7" s="8" t="str">
        <f>T(D7)</f>
        <v/>
      </c>
      <c r="F7" s="13" t="s">
        <v>2999</v>
      </c>
    </row>
    <row r="9" spans="1:11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  <c r="J9" s="2"/>
    </row>
    <row r="10" spans="1:11" x14ac:dyDescent="0.2">
      <c r="B10" t="s">
        <v>3000</v>
      </c>
    </row>
    <row r="11" spans="1:11" x14ac:dyDescent="0.2">
      <c r="B11" t="s">
        <v>3001</v>
      </c>
    </row>
    <row r="12" spans="1:11" x14ac:dyDescent="0.2">
      <c r="B12" t="s">
        <v>3002</v>
      </c>
    </row>
    <row r="13" spans="1:11" x14ac:dyDescent="0.2">
      <c r="B13" t="s">
        <v>3003</v>
      </c>
    </row>
    <row r="14" spans="1:11" x14ac:dyDescent="0.2">
      <c r="B14" t="s">
        <v>3004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3005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J91"/>
  <sheetViews>
    <sheetView showGridLines="0" workbookViewId="0">
      <pane ySplit="1" topLeftCell="A2" activePane="bottomLeft" state="frozen"/>
      <selection activeCell="A3" sqref="A3"/>
      <selection pane="bottomLeft" activeCell="J7" sqref="J7"/>
    </sheetView>
  </sheetViews>
  <sheetFormatPr defaultRowHeight="12.75" x14ac:dyDescent="0.2"/>
  <cols>
    <col min="1" max="1" width="2.7109375" customWidth="1"/>
    <col min="4" max="4" width="11.42578125" customWidth="1"/>
    <col min="5" max="5" width="12.140625" customWidth="1"/>
    <col min="6" max="6" width="11.28515625" customWidth="1"/>
    <col min="9" max="9" width="10.140625" customWidth="1"/>
  </cols>
  <sheetData>
    <row r="1" spans="1:10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20"/>
      <c r="D3" s="162"/>
      <c r="E3" s="21" t="s">
        <v>896</v>
      </c>
      <c r="F3" s="302">
        <v>20000</v>
      </c>
    </row>
    <row r="4" spans="1:10" x14ac:dyDescent="0.2">
      <c r="C4" s="20"/>
      <c r="D4" s="162"/>
      <c r="E4" s="21" t="s">
        <v>897</v>
      </c>
      <c r="F4" s="302">
        <v>8000</v>
      </c>
    </row>
    <row r="5" spans="1:10" x14ac:dyDescent="0.2">
      <c r="C5" s="20"/>
      <c r="D5" s="162"/>
      <c r="E5" s="21" t="s">
        <v>898</v>
      </c>
      <c r="F5" s="406">
        <v>6</v>
      </c>
    </row>
    <row r="7" spans="1:10" x14ac:dyDescent="0.2">
      <c r="D7" s="20"/>
      <c r="E7" s="21" t="s">
        <v>78</v>
      </c>
      <c r="F7" s="253">
        <f>SYD($F$3,$F$4,$F$5,1)</f>
        <v>3428.5714285714284</v>
      </c>
      <c r="G7" s="13" t="s">
        <v>79</v>
      </c>
    </row>
    <row r="8" spans="1:10" x14ac:dyDescent="0.2">
      <c r="D8" s="20"/>
      <c r="E8" s="21" t="s">
        <v>80</v>
      </c>
      <c r="F8" s="253">
        <f>SYD($F$3,$F$4,$F$5,2)</f>
        <v>2857.1428571428573</v>
      </c>
      <c r="G8" s="13" t="s">
        <v>81</v>
      </c>
    </row>
    <row r="9" spans="1:10" x14ac:dyDescent="0.2">
      <c r="D9" s="20"/>
      <c r="E9" s="21" t="s">
        <v>82</v>
      </c>
      <c r="F9" s="253">
        <f>SYD($F$3,$F$4,$F$5,3)</f>
        <v>2285.7142857142858</v>
      </c>
      <c r="G9" s="13" t="s">
        <v>83</v>
      </c>
    </row>
    <row r="10" spans="1:10" x14ac:dyDescent="0.2">
      <c r="D10" s="20"/>
      <c r="E10" s="21" t="s">
        <v>84</v>
      </c>
      <c r="F10" s="253">
        <f>SYD($F$3,$F$4,$F$5,4)</f>
        <v>1714.2857142857142</v>
      </c>
      <c r="G10" s="13" t="s">
        <v>85</v>
      </c>
    </row>
    <row r="11" spans="1:10" x14ac:dyDescent="0.2">
      <c r="D11" s="20"/>
      <c r="E11" s="21" t="s">
        <v>86</v>
      </c>
      <c r="F11" s="253">
        <f>SYD($F$3,$F$4,$F$5,5)</f>
        <v>1142.8571428571429</v>
      </c>
      <c r="G11" s="13" t="s">
        <v>87</v>
      </c>
    </row>
    <row r="12" spans="1:10" x14ac:dyDescent="0.2">
      <c r="D12" s="20"/>
      <c r="E12" s="21" t="s">
        <v>88</v>
      </c>
      <c r="F12" s="253">
        <f>SYD($F$3,$F$4,$F$5,6)</f>
        <v>571.42857142857144</v>
      </c>
      <c r="G12" s="13" t="s">
        <v>89</v>
      </c>
    </row>
    <row r="14" spans="1:10" x14ac:dyDescent="0.2">
      <c r="D14" s="20"/>
      <c r="E14" s="59" t="s">
        <v>90</v>
      </c>
      <c r="F14" s="253">
        <f>SUM(F7:F12)</f>
        <v>12000</v>
      </c>
      <c r="G14" s="13" t="s">
        <v>91</v>
      </c>
    </row>
    <row r="16" spans="1:10" ht="13.5" thickBot="1" x14ac:dyDescent="0.25">
      <c r="B16" s="2" t="s">
        <v>2865</v>
      </c>
      <c r="C16" s="2"/>
      <c r="D16" s="2"/>
      <c r="E16" s="2"/>
      <c r="F16" s="2"/>
      <c r="G16" s="2"/>
      <c r="H16" s="2"/>
      <c r="I16" s="2"/>
    </row>
    <row r="17" spans="2:9" x14ac:dyDescent="0.2">
      <c r="B17" t="s">
        <v>92</v>
      </c>
    </row>
    <row r="18" spans="2:9" x14ac:dyDescent="0.2">
      <c r="B18" t="s">
        <v>93</v>
      </c>
    </row>
    <row r="19" spans="2:9" x14ac:dyDescent="0.2">
      <c r="B19" t="s">
        <v>94</v>
      </c>
    </row>
    <row r="21" spans="2:9" ht="13.5" thickBot="1" x14ac:dyDescent="0.25">
      <c r="B21" s="2" t="s">
        <v>95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96</v>
      </c>
      <c r="C22" s="236"/>
      <c r="D22" s="236"/>
      <c r="E22" s="236"/>
      <c r="F22" s="236"/>
      <c r="G22" s="236"/>
      <c r="H22" s="236"/>
      <c r="I22" s="236"/>
    </row>
    <row r="23" spans="2:9" x14ac:dyDescent="0.2">
      <c r="B23" t="s">
        <v>2968</v>
      </c>
      <c r="C23" s="236"/>
      <c r="D23" s="236"/>
      <c r="E23" s="236"/>
      <c r="F23" s="236"/>
      <c r="G23" s="236"/>
      <c r="H23" s="236"/>
      <c r="I23" s="236"/>
    </row>
    <row r="24" spans="2:9" x14ac:dyDescent="0.2">
      <c r="B24" t="s">
        <v>2969</v>
      </c>
      <c r="C24" s="236"/>
      <c r="D24" s="236"/>
      <c r="E24" s="236"/>
      <c r="F24" s="236"/>
      <c r="G24" s="236"/>
      <c r="H24" s="236"/>
      <c r="I24" s="236"/>
    </row>
    <row r="25" spans="2:9" x14ac:dyDescent="0.2">
      <c r="B25" t="s">
        <v>2970</v>
      </c>
      <c r="C25" s="236"/>
      <c r="D25" s="236"/>
      <c r="E25" s="236"/>
      <c r="F25" s="236"/>
      <c r="G25" s="236"/>
      <c r="H25" s="236"/>
      <c r="I25" s="236"/>
    </row>
    <row r="26" spans="2:9" x14ac:dyDescent="0.2">
      <c r="B26" t="s">
        <v>2971</v>
      </c>
      <c r="C26" s="236"/>
      <c r="D26" s="236"/>
      <c r="E26" s="236"/>
      <c r="F26" s="236"/>
      <c r="G26" s="236"/>
      <c r="H26" s="236"/>
      <c r="I26" s="236"/>
    </row>
    <row r="27" spans="2:9" x14ac:dyDescent="0.2">
      <c r="B27" t="s">
        <v>2972</v>
      </c>
      <c r="C27" s="236"/>
      <c r="D27" s="236"/>
      <c r="E27" s="236"/>
      <c r="F27" s="236"/>
      <c r="G27" s="236"/>
      <c r="H27" s="236"/>
      <c r="I27" s="236"/>
    </row>
    <row r="28" spans="2:9" x14ac:dyDescent="0.2">
      <c r="C28" s="236"/>
      <c r="D28" s="236"/>
      <c r="E28" s="236"/>
      <c r="F28" s="236"/>
      <c r="G28" s="236"/>
      <c r="H28" s="236"/>
      <c r="I28" s="236"/>
    </row>
    <row r="29" spans="2:9" x14ac:dyDescent="0.2">
      <c r="E29" s="390">
        <v>9000</v>
      </c>
    </row>
    <row r="30" spans="2:9" x14ac:dyDescent="0.2">
      <c r="C30" s="50">
        <v>1</v>
      </c>
      <c r="D30" s="416">
        <f>C30/SUM($C$30:$C$32)</f>
        <v>0.16666666666666666</v>
      </c>
      <c r="E30" s="417">
        <f>$E$29*D30</f>
        <v>1500</v>
      </c>
    </row>
    <row r="31" spans="2:9" x14ac:dyDescent="0.2">
      <c r="C31" s="50">
        <v>2</v>
      </c>
      <c r="D31" s="416">
        <f>C31/SUM($C$30:$C$32)</f>
        <v>0.33333333333333331</v>
      </c>
      <c r="E31" s="417">
        <f>$E$29*D31</f>
        <v>3000</v>
      </c>
    </row>
    <row r="32" spans="2:9" x14ac:dyDescent="0.2">
      <c r="C32" s="50">
        <v>3</v>
      </c>
      <c r="D32" s="416">
        <f>C32/SUM($C$30:$C$32)</f>
        <v>0.5</v>
      </c>
      <c r="E32" s="417">
        <f>$E$29*D32</f>
        <v>4500</v>
      </c>
    </row>
    <row r="33" spans="2:9" x14ac:dyDescent="0.2">
      <c r="C33" s="418"/>
      <c r="D33" s="390"/>
    </row>
    <row r="34" spans="2:9" x14ac:dyDescent="0.2">
      <c r="B34" t="s">
        <v>2973</v>
      </c>
      <c r="C34" s="418"/>
      <c r="D34" s="390"/>
    </row>
    <row r="35" spans="2:9" x14ac:dyDescent="0.2">
      <c r="B35" t="s">
        <v>2974</v>
      </c>
      <c r="C35" s="418"/>
      <c r="D35" s="390"/>
    </row>
    <row r="36" spans="2:9" x14ac:dyDescent="0.2">
      <c r="C36" s="418"/>
      <c r="D36" s="390"/>
    </row>
    <row r="37" spans="2:9" ht="13.5" thickBot="1" x14ac:dyDescent="0.25">
      <c r="B37" s="2" t="s">
        <v>1937</v>
      </c>
      <c r="C37" s="419"/>
      <c r="D37" s="420"/>
      <c r="E37" s="2"/>
      <c r="F37" s="2"/>
      <c r="G37" s="2"/>
      <c r="H37" s="2"/>
      <c r="I37" s="2"/>
    </row>
    <row r="39" spans="2:9" x14ac:dyDescent="0.2">
      <c r="B39" s="20"/>
      <c r="C39" s="162"/>
      <c r="D39" s="21" t="s">
        <v>2975</v>
      </c>
      <c r="E39" s="203">
        <v>10000</v>
      </c>
    </row>
    <row r="40" spans="2:9" x14ac:dyDescent="0.2">
      <c r="B40" s="20"/>
      <c r="C40" s="162"/>
      <c r="D40" s="21" t="s">
        <v>2976</v>
      </c>
      <c r="E40" s="203">
        <v>1000</v>
      </c>
    </row>
    <row r="41" spans="2:9" x14ac:dyDescent="0.2">
      <c r="B41" s="20"/>
      <c r="C41" s="162"/>
      <c r="D41" s="21" t="s">
        <v>2977</v>
      </c>
      <c r="E41" s="42">
        <v>3</v>
      </c>
    </row>
    <row r="42" spans="2:9" x14ac:dyDescent="0.2">
      <c r="G42" s="18"/>
      <c r="H42" s="421" t="s">
        <v>2978</v>
      </c>
      <c r="I42" s="19"/>
    </row>
    <row r="43" spans="2:9" x14ac:dyDescent="0.2">
      <c r="C43" s="20"/>
      <c r="D43" s="21" t="s">
        <v>2979</v>
      </c>
      <c r="E43" s="253">
        <f>SYD($E$39,$E$40,$E$41,1)</f>
        <v>4500</v>
      </c>
      <c r="F43" s="422" t="s">
        <v>2980</v>
      </c>
      <c r="G43" s="5"/>
      <c r="H43" s="8">
        <f>E43/($E$39-$E$40)</f>
        <v>0.5</v>
      </c>
    </row>
    <row r="44" spans="2:9" x14ac:dyDescent="0.2">
      <c r="C44" s="20"/>
      <c r="D44" s="21" t="s">
        <v>2981</v>
      </c>
      <c r="E44" s="253">
        <f>SYD($E$39,$E$40,$E$41,2)</f>
        <v>3000</v>
      </c>
      <c r="F44" s="422" t="s">
        <v>2980</v>
      </c>
      <c r="G44" s="5"/>
      <c r="H44" s="8">
        <f>E44/($E$39-$E$40)</f>
        <v>0.33333333333333331</v>
      </c>
    </row>
    <row r="45" spans="2:9" x14ac:dyDescent="0.2">
      <c r="C45" s="20"/>
      <c r="D45" s="21" t="s">
        <v>2982</v>
      </c>
      <c r="E45" s="253">
        <f>SYD($E$39,$E$40,$E$41,3)</f>
        <v>1500</v>
      </c>
      <c r="F45" s="422" t="s">
        <v>2980</v>
      </c>
      <c r="G45" s="5"/>
      <c r="H45" s="8">
        <f>E45/($E$39-$E$40)</f>
        <v>0.16666666666666666</v>
      </c>
    </row>
    <row r="46" spans="2:9" x14ac:dyDescent="0.2">
      <c r="D46" s="88"/>
      <c r="E46" s="13" t="s">
        <v>2983</v>
      </c>
    </row>
    <row r="47" spans="2:9" x14ac:dyDescent="0.2">
      <c r="D47" s="88"/>
      <c r="E47" s="207"/>
    </row>
    <row r="48" spans="2:9" x14ac:dyDescent="0.2">
      <c r="B48" t="s">
        <v>2984</v>
      </c>
      <c r="D48" s="88"/>
      <c r="E48" s="207"/>
    </row>
    <row r="49" spans="2:9" x14ac:dyDescent="0.2">
      <c r="B49" t="s">
        <v>2985</v>
      </c>
      <c r="D49" s="88"/>
      <c r="E49" s="207"/>
    </row>
    <row r="50" spans="2:9" x14ac:dyDescent="0.2">
      <c r="B50" t="s">
        <v>2986</v>
      </c>
      <c r="D50" s="88"/>
      <c r="E50" s="207"/>
    </row>
    <row r="51" spans="2:9" x14ac:dyDescent="0.2">
      <c r="B51" t="s">
        <v>2987</v>
      </c>
      <c r="D51" s="88"/>
      <c r="E51" s="207"/>
    </row>
    <row r="52" spans="2:9" x14ac:dyDescent="0.2">
      <c r="B52" t="s">
        <v>2988</v>
      </c>
      <c r="D52" s="88"/>
      <c r="E52" s="207"/>
    </row>
    <row r="53" spans="2:9" x14ac:dyDescent="0.2">
      <c r="B53" t="s">
        <v>2989</v>
      </c>
      <c r="D53" s="88"/>
      <c r="E53" s="207"/>
    </row>
    <row r="54" spans="2:9" x14ac:dyDescent="0.2">
      <c r="D54" s="88"/>
      <c r="E54" s="207"/>
    </row>
    <row r="55" spans="2:9" ht="13.5" thickBot="1" x14ac:dyDescent="0.25">
      <c r="B55" s="2" t="s">
        <v>1962</v>
      </c>
      <c r="C55" s="2"/>
      <c r="D55" s="382"/>
      <c r="E55" s="423"/>
      <c r="F55" s="2"/>
      <c r="G55" s="2"/>
      <c r="H55" s="2"/>
      <c r="I55" s="2"/>
    </row>
    <row r="56" spans="2:9" x14ac:dyDescent="0.2">
      <c r="B56" t="s">
        <v>2990</v>
      </c>
      <c r="D56" s="88"/>
      <c r="E56" s="207"/>
    </row>
    <row r="57" spans="2:9" x14ac:dyDescent="0.2">
      <c r="D57" s="88"/>
      <c r="E57" s="207"/>
    </row>
    <row r="58" spans="2:9" x14ac:dyDescent="0.2">
      <c r="B58" s="20"/>
      <c r="C58" s="162"/>
      <c r="D58" s="21" t="s">
        <v>2975</v>
      </c>
      <c r="E58" s="203">
        <v>10000</v>
      </c>
    </row>
    <row r="59" spans="2:9" x14ac:dyDescent="0.2">
      <c r="B59" s="20"/>
      <c r="C59" s="162"/>
      <c r="D59" s="21" t="s">
        <v>2976</v>
      </c>
      <c r="E59" s="203">
        <v>1000</v>
      </c>
    </row>
    <row r="60" spans="2:9" x14ac:dyDescent="0.2">
      <c r="B60" s="20"/>
      <c r="C60" s="162"/>
      <c r="D60" s="21" t="s">
        <v>2977</v>
      </c>
      <c r="E60" s="42">
        <v>4</v>
      </c>
    </row>
    <row r="61" spans="2:9" x14ac:dyDescent="0.2">
      <c r="G61" s="18"/>
      <c r="H61" s="421" t="s">
        <v>2991</v>
      </c>
      <c r="I61" s="19"/>
    </row>
    <row r="62" spans="2:9" x14ac:dyDescent="0.2">
      <c r="C62" s="20"/>
      <c r="D62" s="21" t="s">
        <v>2979</v>
      </c>
      <c r="E62" s="253">
        <f>SYD($E$58,$E$59,$E$60,1)</f>
        <v>3600</v>
      </c>
      <c r="H62" s="25">
        <f>E62/($E$58-$E$59)</f>
        <v>0.4</v>
      </c>
    </row>
    <row r="63" spans="2:9" x14ac:dyDescent="0.2">
      <c r="C63" s="20"/>
      <c r="D63" s="21" t="s">
        <v>2981</v>
      </c>
      <c r="E63" s="253">
        <f>SYD($E$58,$E$59,$E$60,2)</f>
        <v>2700</v>
      </c>
      <c r="H63" s="25">
        <f>E63/($E$58-$E$59)</f>
        <v>0.3</v>
      </c>
    </row>
    <row r="64" spans="2:9" x14ac:dyDescent="0.2">
      <c r="C64" s="20"/>
      <c r="D64" s="21" t="s">
        <v>2982</v>
      </c>
      <c r="E64" s="253">
        <f>SYD($E$58,$E$59,$E$60,3)</f>
        <v>1800</v>
      </c>
      <c r="H64" s="25">
        <f>E64/($E$58-$E$59)</f>
        <v>0.2</v>
      </c>
    </row>
    <row r="65" spans="2:9" x14ac:dyDescent="0.2">
      <c r="C65" s="20"/>
      <c r="D65" s="21" t="s">
        <v>2992</v>
      </c>
      <c r="E65" s="253">
        <f>SYD($E$58,$E$59,$E$60,4)</f>
        <v>900</v>
      </c>
      <c r="H65" s="25">
        <f>E65/($E$58-$E$59)</f>
        <v>0.1</v>
      </c>
    </row>
    <row r="66" spans="2:9" x14ac:dyDescent="0.2">
      <c r="C66" s="20"/>
      <c r="D66" s="21" t="s">
        <v>751</v>
      </c>
      <c r="E66" s="253">
        <f>SUM(E62:E65)</f>
        <v>9000</v>
      </c>
      <c r="H66" s="418">
        <f>SUM(H62:H65)</f>
        <v>0.99999999999999989</v>
      </c>
    </row>
    <row r="67" spans="2:9" x14ac:dyDescent="0.2">
      <c r="D67" s="88"/>
      <c r="E67" s="207"/>
      <c r="H67" s="418"/>
    </row>
    <row r="68" spans="2:9" ht="13.5" thickBot="1" x14ac:dyDescent="0.25">
      <c r="B68" s="2" t="s">
        <v>1977</v>
      </c>
      <c r="C68" s="2"/>
      <c r="D68" s="382"/>
      <c r="E68" s="423"/>
      <c r="F68" s="2"/>
      <c r="G68" s="2"/>
      <c r="H68" s="419"/>
      <c r="I68" s="2"/>
    </row>
    <row r="69" spans="2:9" x14ac:dyDescent="0.2">
      <c r="B69" t="s">
        <v>2993</v>
      </c>
      <c r="D69" s="88"/>
      <c r="E69" s="207"/>
      <c r="H69" s="418"/>
    </row>
    <row r="70" spans="2:9" x14ac:dyDescent="0.2">
      <c r="D70" s="88"/>
      <c r="E70" s="207"/>
      <c r="G70" s="381"/>
    </row>
    <row r="71" spans="2:9" x14ac:dyDescent="0.2">
      <c r="B71" s="20"/>
      <c r="C71" s="162"/>
      <c r="D71" s="21" t="s">
        <v>2975</v>
      </c>
      <c r="E71" s="417">
        <v>10000</v>
      </c>
      <c r="G71" s="381"/>
    </row>
    <row r="72" spans="2:9" x14ac:dyDescent="0.2">
      <c r="B72" s="20"/>
      <c r="C72" s="162"/>
      <c r="D72" s="21" t="s">
        <v>2976</v>
      </c>
      <c r="E72" s="417">
        <v>1000</v>
      </c>
      <c r="G72" s="381"/>
    </row>
    <row r="73" spans="2:9" x14ac:dyDescent="0.2">
      <c r="B73" s="20"/>
      <c r="C73" s="162"/>
      <c r="D73" s="204" t="s">
        <v>2994</v>
      </c>
      <c r="E73" s="424">
        <v>7</v>
      </c>
      <c r="G73" s="381"/>
    </row>
    <row r="74" spans="2:9" x14ac:dyDescent="0.2">
      <c r="D74" s="88"/>
      <c r="E74" s="207"/>
      <c r="G74" s="18"/>
      <c r="H74" s="421" t="s">
        <v>2991</v>
      </c>
      <c r="I74" s="19"/>
    </row>
    <row r="75" spans="2:9" x14ac:dyDescent="0.2">
      <c r="C75" s="6" t="s">
        <v>1626</v>
      </c>
      <c r="D75" s="8">
        <v>1</v>
      </c>
      <c r="E75" s="253">
        <f>SYD($E$71,$E$72,$E$73,D75)</f>
        <v>2250</v>
      </c>
      <c r="H75" s="39">
        <f>E75/($E$71-$E$72)</f>
        <v>0.25</v>
      </c>
    </row>
    <row r="76" spans="2:9" x14ac:dyDescent="0.2">
      <c r="C76" s="6" t="s">
        <v>1626</v>
      </c>
      <c r="D76" s="8">
        <f t="shared" ref="D76:D84" si="0">IF(D75&lt;$E$73,D75+1,"")</f>
        <v>2</v>
      </c>
      <c r="E76" s="253">
        <f t="shared" ref="E76:E84" si="1">IF(D76&lt;=$E$73,SYD($E$71,$E$72,$E$73,D76),"")</f>
        <v>1928.5714285714287</v>
      </c>
      <c r="H76" s="39">
        <f t="shared" ref="H76:H84" si="2">IF(D76&lt;=$E$73,E76/($E$71-$E$72),"")</f>
        <v>0.2142857142857143</v>
      </c>
    </row>
    <row r="77" spans="2:9" x14ac:dyDescent="0.2">
      <c r="C77" s="6" t="s">
        <v>1626</v>
      </c>
      <c r="D77" s="8">
        <f t="shared" si="0"/>
        <v>3</v>
      </c>
      <c r="E77" s="253">
        <f t="shared" si="1"/>
        <v>1607.1428571428571</v>
      </c>
      <c r="H77" s="39">
        <f t="shared" si="2"/>
        <v>0.17857142857142858</v>
      </c>
    </row>
    <row r="78" spans="2:9" x14ac:dyDescent="0.2">
      <c r="C78" s="6" t="s">
        <v>1626</v>
      </c>
      <c r="D78" s="8">
        <f t="shared" si="0"/>
        <v>4</v>
      </c>
      <c r="E78" s="253">
        <f t="shared" si="1"/>
        <v>1285.7142857142858</v>
      </c>
      <c r="H78" s="39">
        <f t="shared" si="2"/>
        <v>0.14285714285714288</v>
      </c>
    </row>
    <row r="79" spans="2:9" x14ac:dyDescent="0.2">
      <c r="C79" s="6" t="s">
        <v>1626</v>
      </c>
      <c r="D79" s="8">
        <f t="shared" si="0"/>
        <v>5</v>
      </c>
      <c r="E79" s="253">
        <f t="shared" si="1"/>
        <v>964.28571428571433</v>
      </c>
      <c r="H79" s="39">
        <f t="shared" si="2"/>
        <v>0.10714285714285715</v>
      </c>
    </row>
    <row r="80" spans="2:9" x14ac:dyDescent="0.2">
      <c r="C80" s="6" t="s">
        <v>1626</v>
      </c>
      <c r="D80" s="8">
        <f t="shared" si="0"/>
        <v>6</v>
      </c>
      <c r="E80" s="253">
        <f t="shared" si="1"/>
        <v>642.85714285714289</v>
      </c>
      <c r="H80" s="39">
        <f t="shared" si="2"/>
        <v>7.1428571428571438E-2</v>
      </c>
    </row>
    <row r="81" spans="2:9" x14ac:dyDescent="0.2">
      <c r="C81" s="6" t="s">
        <v>1626</v>
      </c>
      <c r="D81" s="8">
        <f t="shared" si="0"/>
        <v>7</v>
      </c>
      <c r="E81" s="253">
        <f t="shared" si="1"/>
        <v>321.42857142857144</v>
      </c>
      <c r="H81" s="39">
        <f t="shared" si="2"/>
        <v>3.5714285714285719E-2</v>
      </c>
    </row>
    <row r="82" spans="2:9" x14ac:dyDescent="0.2">
      <c r="C82" s="6" t="s">
        <v>1626</v>
      </c>
      <c r="D82" s="8" t="str">
        <f t="shared" si="0"/>
        <v/>
      </c>
      <c r="E82" s="253" t="str">
        <f t="shared" si="1"/>
        <v/>
      </c>
      <c r="H82" s="39" t="str">
        <f t="shared" si="2"/>
        <v/>
      </c>
    </row>
    <row r="83" spans="2:9" x14ac:dyDescent="0.2">
      <c r="C83" s="6" t="s">
        <v>1626</v>
      </c>
      <c r="D83" s="8" t="str">
        <f t="shared" si="0"/>
        <v/>
      </c>
      <c r="E83" s="253" t="str">
        <f t="shared" si="1"/>
        <v/>
      </c>
      <c r="H83" s="39" t="str">
        <f t="shared" si="2"/>
        <v/>
      </c>
    </row>
    <row r="84" spans="2:9" x14ac:dyDescent="0.2">
      <c r="C84" s="6" t="s">
        <v>1626</v>
      </c>
      <c r="D84" s="8" t="str">
        <f t="shared" si="0"/>
        <v/>
      </c>
      <c r="E84" s="253" t="str">
        <f t="shared" si="1"/>
        <v/>
      </c>
      <c r="H84" s="39" t="str">
        <f t="shared" si="2"/>
        <v/>
      </c>
    </row>
    <row r="85" spans="2:9" x14ac:dyDescent="0.2">
      <c r="D85" s="425"/>
      <c r="E85" s="253">
        <f>SUM(E75:E84)</f>
        <v>8999.9999999999982</v>
      </c>
      <c r="H85" s="418">
        <f>SUM(H75:H84)</f>
        <v>1.0000000000000002</v>
      </c>
    </row>
    <row r="86" spans="2:9" x14ac:dyDescent="0.2">
      <c r="D86" s="425"/>
      <c r="E86" s="207"/>
      <c r="G86" s="381"/>
    </row>
    <row r="87" spans="2:9" ht="13.5" thickBot="1" x14ac:dyDescent="0.25">
      <c r="B87" s="2" t="s">
        <v>998</v>
      </c>
      <c r="C87" s="2"/>
      <c r="D87" s="2"/>
      <c r="E87" s="2"/>
      <c r="F87" s="2"/>
      <c r="G87" s="2"/>
      <c r="H87" s="2"/>
      <c r="I87" s="2"/>
    </row>
    <row r="88" spans="2:9" x14ac:dyDescent="0.2">
      <c r="B88" s="61" t="s">
        <v>2995</v>
      </c>
    </row>
    <row r="90" spans="2:9" ht="13.5" thickBot="1" x14ac:dyDescent="0.25">
      <c r="B90" s="2" t="s">
        <v>3355</v>
      </c>
      <c r="C90" s="2"/>
      <c r="D90" s="2"/>
      <c r="E90" s="2"/>
      <c r="F90" s="2"/>
      <c r="G90" s="2"/>
      <c r="H90" s="2"/>
      <c r="I90" s="2"/>
    </row>
    <row r="91" spans="2:9" x14ac:dyDescent="0.2">
      <c r="B91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J46"/>
  <sheetViews>
    <sheetView showGridLines="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.7109375" customWidth="1"/>
    <col min="2" max="2" width="10.5703125" customWidth="1"/>
    <col min="8" max="8" width="11.42578125" customWidth="1"/>
    <col min="9" max="9" width="13.85546875" customWidth="1"/>
  </cols>
  <sheetData>
    <row r="1" spans="1:10" ht="46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3054</v>
      </c>
      <c r="D3" s="6" t="s">
        <v>43</v>
      </c>
      <c r="E3" s="6" t="s">
        <v>44</v>
      </c>
    </row>
    <row r="4" spans="1:10" x14ac:dyDescent="0.2">
      <c r="C4" s="6" t="s">
        <v>2757</v>
      </c>
      <c r="D4" s="7">
        <v>5</v>
      </c>
      <c r="E4" s="7">
        <v>100</v>
      </c>
    </row>
    <row r="5" spans="1:10" x14ac:dyDescent="0.2">
      <c r="C5" s="6" t="s">
        <v>45</v>
      </c>
      <c r="D5" s="7">
        <v>2</v>
      </c>
      <c r="E5" s="7">
        <v>10</v>
      </c>
    </row>
    <row r="6" spans="1:10" x14ac:dyDescent="0.2">
      <c r="C6" s="6" t="s">
        <v>46</v>
      </c>
      <c r="D6" s="7">
        <v>3</v>
      </c>
      <c r="E6" s="7">
        <v>2</v>
      </c>
    </row>
    <row r="8" spans="1:10" x14ac:dyDescent="0.2">
      <c r="C8" s="20"/>
      <c r="D8" s="21" t="s">
        <v>47</v>
      </c>
      <c r="E8" s="8">
        <f>SUMPRODUCT(D4:D6,E4:E6)</f>
        <v>526</v>
      </c>
      <c r="F8" s="13" t="s">
        <v>48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49</v>
      </c>
    </row>
    <row r="12" spans="1:10" x14ac:dyDescent="0.2">
      <c r="B12" t="s">
        <v>50</v>
      </c>
    </row>
    <row r="13" spans="1:10" x14ac:dyDescent="0.2">
      <c r="B13" t="s">
        <v>51</v>
      </c>
    </row>
    <row r="15" spans="1:10" ht="13.5" thickBot="1" x14ac:dyDescent="0.25">
      <c r="B15" s="2" t="s">
        <v>998</v>
      </c>
      <c r="C15" s="2"/>
      <c r="D15" s="2"/>
      <c r="E15" s="2"/>
      <c r="F15" s="2"/>
      <c r="G15" s="2"/>
      <c r="H15" s="2"/>
      <c r="I15" s="2"/>
    </row>
    <row r="16" spans="1:10" x14ac:dyDescent="0.2">
      <c r="B16" s="61" t="s">
        <v>52</v>
      </c>
    </row>
    <row r="18" spans="2:9" ht="13.5" thickBot="1" x14ac:dyDescent="0.25">
      <c r="B18" s="2" t="s">
        <v>3355</v>
      </c>
      <c r="C18" s="2"/>
      <c r="D18" s="2"/>
      <c r="E18" s="2"/>
      <c r="F18" s="2"/>
      <c r="G18" s="2"/>
      <c r="H18" s="2"/>
      <c r="I18" s="2"/>
    </row>
    <row r="19" spans="2:9" x14ac:dyDescent="0.2">
      <c r="B19" t="s">
        <v>2424</v>
      </c>
    </row>
    <row r="21" spans="2:9" ht="13.5" thickBot="1" x14ac:dyDescent="0.25">
      <c r="B21" s="2" t="s">
        <v>1001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53</v>
      </c>
    </row>
    <row r="23" spans="2:9" x14ac:dyDescent="0.2">
      <c r="B23" t="s">
        <v>54</v>
      </c>
    </row>
    <row r="24" spans="2:9" x14ac:dyDescent="0.2">
      <c r="B24" t="s">
        <v>55</v>
      </c>
    </row>
    <row r="26" spans="2:9" x14ac:dyDescent="0.2">
      <c r="B26" t="s">
        <v>56</v>
      </c>
    </row>
    <row r="27" spans="2:9" x14ac:dyDescent="0.2">
      <c r="B27" t="s">
        <v>57</v>
      </c>
    </row>
    <row r="29" spans="2:9" x14ac:dyDescent="0.2">
      <c r="B29" t="s">
        <v>58</v>
      </c>
    </row>
    <row r="30" spans="2:9" x14ac:dyDescent="0.2">
      <c r="B30" t="s">
        <v>59</v>
      </c>
    </row>
    <row r="31" spans="2:9" x14ac:dyDescent="0.2">
      <c r="B31" t="s">
        <v>60</v>
      </c>
    </row>
    <row r="34" spans="2:8" ht="25.5" x14ac:dyDescent="0.2">
      <c r="B34" s="23" t="s">
        <v>2845</v>
      </c>
      <c r="C34" s="57" t="s">
        <v>61</v>
      </c>
      <c r="D34" s="57" t="s">
        <v>62</v>
      </c>
      <c r="E34" s="57" t="s">
        <v>63</v>
      </c>
      <c r="F34" s="57" t="s">
        <v>64</v>
      </c>
      <c r="G34" s="57" t="s">
        <v>65</v>
      </c>
      <c r="H34" s="57" t="s">
        <v>66</v>
      </c>
    </row>
    <row r="35" spans="2:8" x14ac:dyDescent="0.2">
      <c r="B35" s="6" t="s">
        <v>67</v>
      </c>
      <c r="C35" s="7">
        <v>10</v>
      </c>
      <c r="D35" s="83">
        <v>120</v>
      </c>
      <c r="E35" s="7">
        <v>10</v>
      </c>
      <c r="F35" s="187">
        <f>D35/E35</f>
        <v>12</v>
      </c>
      <c r="G35" s="29">
        <v>0.25</v>
      </c>
      <c r="H35" s="187">
        <f>F35+F35*G35</f>
        <v>15</v>
      </c>
    </row>
    <row r="36" spans="2:8" x14ac:dyDescent="0.2">
      <c r="B36" s="6" t="s">
        <v>68</v>
      </c>
      <c r="C36" s="7">
        <v>8</v>
      </c>
      <c r="D36" s="83">
        <v>130</v>
      </c>
      <c r="E36" s="7">
        <v>10</v>
      </c>
      <c r="F36" s="187">
        <f>D36/E36</f>
        <v>13</v>
      </c>
      <c r="G36" s="29">
        <v>0.25</v>
      </c>
      <c r="H36" s="187">
        <f>F36+F36*G36</f>
        <v>16.25</v>
      </c>
    </row>
    <row r="37" spans="2:8" x14ac:dyDescent="0.2">
      <c r="B37" s="6" t="s">
        <v>2385</v>
      </c>
      <c r="C37" s="7">
        <v>5</v>
      </c>
      <c r="D37" s="83">
        <v>200</v>
      </c>
      <c r="E37" s="7">
        <v>6</v>
      </c>
      <c r="F37" s="187">
        <f>D37/E37</f>
        <v>33.333333333333336</v>
      </c>
      <c r="G37" s="29">
        <v>0.8</v>
      </c>
      <c r="H37" s="187">
        <f>F37+F37*G37</f>
        <v>60.000000000000007</v>
      </c>
    </row>
    <row r="38" spans="2:8" x14ac:dyDescent="0.2">
      <c r="B38" s="6" t="s">
        <v>2387</v>
      </c>
      <c r="C38" s="7">
        <v>50</v>
      </c>
      <c r="D38" s="83">
        <v>24</v>
      </c>
      <c r="E38" s="7">
        <v>12</v>
      </c>
      <c r="F38" s="187">
        <f>D38/E38</f>
        <v>2</v>
      </c>
      <c r="G38" s="29">
        <v>0.2</v>
      </c>
      <c r="H38" s="187">
        <f>F38+F38*G38</f>
        <v>2.4</v>
      </c>
    </row>
    <row r="39" spans="2:8" x14ac:dyDescent="0.2">
      <c r="B39" s="6" t="s">
        <v>69</v>
      </c>
      <c r="C39" s="7">
        <v>100</v>
      </c>
      <c r="D39" s="83">
        <v>30</v>
      </c>
      <c r="E39" s="7">
        <v>12</v>
      </c>
      <c r="F39" s="187">
        <f>D39/E39</f>
        <v>2.5</v>
      </c>
      <c r="G39" s="29">
        <v>0.25</v>
      </c>
      <c r="H39" s="187">
        <f>F39+F39*G39</f>
        <v>3.125</v>
      </c>
    </row>
    <row r="40" spans="2:8" x14ac:dyDescent="0.2">
      <c r="F40" s="4" t="s">
        <v>70</v>
      </c>
      <c r="H40" s="13" t="s">
        <v>71</v>
      </c>
    </row>
    <row r="43" spans="2:8" x14ac:dyDescent="0.2">
      <c r="B43" s="20"/>
      <c r="C43" s="162"/>
      <c r="D43" s="21" t="s">
        <v>72</v>
      </c>
      <c r="E43" s="253">
        <f>SUMPRODUCT(C35:C39,D35:D39)</f>
        <v>7440</v>
      </c>
      <c r="F43" s="13" t="s">
        <v>73</v>
      </c>
    </row>
    <row r="44" spans="2:8" x14ac:dyDescent="0.2">
      <c r="B44" s="20"/>
      <c r="C44" s="162"/>
      <c r="D44" s="21" t="s">
        <v>74</v>
      </c>
      <c r="E44" s="253">
        <f>SUMPRODUCT(C35:C39,E35:E39,H35:H39)</f>
        <v>9790</v>
      </c>
      <c r="F44" s="13" t="s">
        <v>75</v>
      </c>
    </row>
    <row r="46" spans="2:8" x14ac:dyDescent="0.2">
      <c r="D46" s="79" t="s">
        <v>76</v>
      </c>
      <c r="E46" s="253">
        <f>E44-E43</f>
        <v>2350</v>
      </c>
      <c r="F46" s="13" t="s">
        <v>77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horizontalDpi="0" verticalDpi="0" r:id="rId1"/>
  <headerFooter alignWithMargins="0">
    <oddHeader>&amp;LExcel Function Dictionary
© 1998 - 2000 Peter Noneley&amp;R&amp;A
Page &amp;P of &amp;N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J35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4" max="4" width="11.5703125" customWidth="1"/>
    <col min="9" max="9" width="14.42578125" customWidth="1"/>
  </cols>
  <sheetData>
    <row r="1" spans="1:10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3054</v>
      </c>
      <c r="D3" s="6" t="s">
        <v>1463</v>
      </c>
      <c r="E3" s="6" t="s">
        <v>2755</v>
      </c>
    </row>
    <row r="4" spans="1:10" x14ac:dyDescent="0.2">
      <c r="C4" s="7" t="s">
        <v>2756</v>
      </c>
      <c r="D4" s="161">
        <v>35796</v>
      </c>
      <c r="E4" s="7">
        <v>80</v>
      </c>
    </row>
    <row r="5" spans="1:10" x14ac:dyDescent="0.2">
      <c r="C5" s="7" t="s">
        <v>2757</v>
      </c>
      <c r="D5" s="161">
        <v>35925</v>
      </c>
      <c r="E5" s="7">
        <v>25</v>
      </c>
    </row>
    <row r="6" spans="1:10" x14ac:dyDescent="0.2">
      <c r="C6" s="7" t="s">
        <v>2756</v>
      </c>
      <c r="D6" s="161">
        <v>35827</v>
      </c>
      <c r="E6" s="7">
        <v>80</v>
      </c>
    </row>
    <row r="7" spans="1:10" x14ac:dyDescent="0.2">
      <c r="C7" s="7" t="s">
        <v>2758</v>
      </c>
      <c r="D7" s="161">
        <v>35855</v>
      </c>
      <c r="E7" s="7">
        <v>150</v>
      </c>
    </row>
    <row r="8" spans="1:10" x14ac:dyDescent="0.2">
      <c r="C8" s="7" t="s">
        <v>2758</v>
      </c>
      <c r="D8" s="161">
        <v>35800</v>
      </c>
      <c r="E8" s="7">
        <v>300</v>
      </c>
    </row>
    <row r="9" spans="1:10" x14ac:dyDescent="0.2">
      <c r="C9" s="7" t="s">
        <v>2759</v>
      </c>
      <c r="D9" s="161">
        <v>35947</v>
      </c>
      <c r="E9" s="7">
        <v>50</v>
      </c>
    </row>
    <row r="10" spans="1:10" x14ac:dyDescent="0.2">
      <c r="C10" s="7" t="s">
        <v>2757</v>
      </c>
      <c r="D10" s="161">
        <v>35886</v>
      </c>
      <c r="E10" s="7">
        <v>200</v>
      </c>
    </row>
    <row r="11" spans="1:10" x14ac:dyDescent="0.2">
      <c r="C11" s="7" t="s">
        <v>2757</v>
      </c>
      <c r="D11" s="161">
        <v>35855</v>
      </c>
      <c r="E11" s="7">
        <v>100</v>
      </c>
    </row>
    <row r="12" spans="1:10" x14ac:dyDescent="0.2">
      <c r="C12" s="7" t="s">
        <v>2760</v>
      </c>
      <c r="D12" s="161">
        <v>35916</v>
      </c>
      <c r="E12" s="7">
        <v>250</v>
      </c>
    </row>
    <row r="14" spans="1:10" x14ac:dyDescent="0.2">
      <c r="B14" s="20" t="s">
        <v>2903</v>
      </c>
      <c r="C14" s="162"/>
      <c r="D14" s="162"/>
      <c r="E14" s="41"/>
      <c r="F14" s="8">
        <f>SUMIF(C4:C12,"Brakes",E4:E12)</f>
        <v>160</v>
      </c>
      <c r="G14" s="13" t="s">
        <v>2904</v>
      </c>
    </row>
    <row r="15" spans="1:10" x14ac:dyDescent="0.2">
      <c r="B15" s="20" t="s">
        <v>2905</v>
      </c>
      <c r="C15" s="162"/>
      <c r="D15" s="162"/>
      <c r="E15" s="41"/>
      <c r="F15" s="8">
        <f>SUMIF(C4:C12,"Tyres",E4:E12)</f>
        <v>325</v>
      </c>
      <c r="G15" s="13" t="s">
        <v>2906</v>
      </c>
    </row>
    <row r="16" spans="1:10" x14ac:dyDescent="0.2">
      <c r="B16" s="20" t="s">
        <v>2907</v>
      </c>
      <c r="C16" s="162"/>
      <c r="D16" s="162"/>
      <c r="E16" s="41"/>
      <c r="F16" s="8">
        <f>SUMIF(E4:E12,"&gt;=100")</f>
        <v>1000</v>
      </c>
      <c r="G16" s="13" t="s">
        <v>2908</v>
      </c>
    </row>
    <row r="18" spans="2:9" x14ac:dyDescent="0.2">
      <c r="B18" s="415" t="s">
        <v>2909</v>
      </c>
      <c r="C18" s="162"/>
      <c r="D18" s="162"/>
      <c r="E18" s="7" t="s">
        <v>2768</v>
      </c>
      <c r="F18" s="8">
        <f>SUMIF(C4:C12,E18,E4:E12)</f>
        <v>450</v>
      </c>
      <c r="G18" s="13" t="s">
        <v>2910</v>
      </c>
    </row>
    <row r="21" spans="2:9" ht="13.5" thickBot="1" x14ac:dyDescent="0.25">
      <c r="B21" s="2" t="s">
        <v>2865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2911</v>
      </c>
    </row>
    <row r="24" spans="2:9" ht="13.5" thickBot="1" x14ac:dyDescent="0.25">
      <c r="B24" s="2" t="s">
        <v>998</v>
      </c>
      <c r="C24" s="2"/>
      <c r="D24" s="2"/>
      <c r="E24" s="2"/>
      <c r="F24" s="2"/>
      <c r="G24" s="2"/>
      <c r="H24" s="2"/>
      <c r="I24" s="2"/>
    </row>
    <row r="25" spans="2:9" x14ac:dyDescent="0.2">
      <c r="B25" s="126" t="s">
        <v>2912</v>
      </c>
    </row>
    <row r="27" spans="2:9" x14ac:dyDescent="0.2">
      <c r="B27" s="61" t="s">
        <v>2913</v>
      </c>
      <c r="E27" t="s">
        <v>2914</v>
      </c>
    </row>
    <row r="28" spans="2:9" x14ac:dyDescent="0.2">
      <c r="E28" t="s">
        <v>2915</v>
      </c>
    </row>
    <row r="29" spans="2:9" x14ac:dyDescent="0.2">
      <c r="E29" t="s">
        <v>2916</v>
      </c>
    </row>
    <row r="31" spans="2:9" x14ac:dyDescent="0.2">
      <c r="B31" t="s">
        <v>2908</v>
      </c>
      <c r="E31" t="s">
        <v>2917</v>
      </c>
    </row>
    <row r="32" spans="2:9" x14ac:dyDescent="0.2">
      <c r="E32" t="s">
        <v>42</v>
      </c>
    </row>
    <row r="34" spans="2:9" ht="13.5" thickBot="1" x14ac:dyDescent="0.25">
      <c r="B34" s="2" t="s">
        <v>3355</v>
      </c>
      <c r="C34" s="2"/>
      <c r="D34" s="2"/>
      <c r="E34" s="2"/>
      <c r="F34" s="2"/>
      <c r="G34" s="2"/>
      <c r="H34" s="2"/>
      <c r="I34" s="2"/>
    </row>
    <row r="35" spans="2:9" x14ac:dyDescent="0.2">
      <c r="B35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L100"/>
  <sheetViews>
    <sheetView showGridLines="0" workbookViewId="0">
      <pane ySplit="1" topLeftCell="A2" activePane="bottomLeft" state="frozen"/>
      <selection activeCell="A3" sqref="A3"/>
      <selection pane="bottomLeft" activeCell="L7" sqref="L7"/>
    </sheetView>
  </sheetViews>
  <sheetFormatPr defaultRowHeight="12.75" x14ac:dyDescent="0.2"/>
  <cols>
    <col min="1" max="1" width="2.7109375" customWidth="1"/>
    <col min="2" max="2" width="4.42578125" customWidth="1"/>
    <col min="10" max="10" width="13.28515625" customWidth="1"/>
  </cols>
  <sheetData>
    <row r="1" spans="1:12" ht="46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  <c r="L1" s="478"/>
    </row>
    <row r="3" spans="1:12" x14ac:dyDescent="0.2">
      <c r="C3" t="s">
        <v>2179</v>
      </c>
    </row>
    <row r="4" spans="1:12" x14ac:dyDescent="0.2">
      <c r="C4" t="s">
        <v>2180</v>
      </c>
    </row>
    <row r="5" spans="1:12" x14ac:dyDescent="0.2">
      <c r="C5" t="s">
        <v>2181</v>
      </c>
    </row>
    <row r="7" spans="1:12" x14ac:dyDescent="0.2">
      <c r="C7" t="s">
        <v>399</v>
      </c>
    </row>
    <row r="8" spans="1:12" x14ac:dyDescent="0.2">
      <c r="C8" t="s">
        <v>400</v>
      </c>
    </row>
    <row r="10" spans="1:12" x14ac:dyDescent="0.2">
      <c r="C10" t="s">
        <v>401</v>
      </c>
    </row>
    <row r="11" spans="1:12" x14ac:dyDescent="0.2">
      <c r="C11" t="s">
        <v>402</v>
      </c>
    </row>
    <row r="13" spans="1:12" x14ac:dyDescent="0.2">
      <c r="C13" t="s">
        <v>403</v>
      </c>
    </row>
    <row r="14" spans="1:12" x14ac:dyDescent="0.2">
      <c r="C14" t="s">
        <v>404</v>
      </c>
    </row>
    <row r="15" spans="1:12" x14ac:dyDescent="0.2">
      <c r="C15" t="s">
        <v>405</v>
      </c>
    </row>
    <row r="16" spans="1:12" x14ac:dyDescent="0.2">
      <c r="C16" t="s">
        <v>406</v>
      </c>
    </row>
    <row r="18" spans="3:9" x14ac:dyDescent="0.2">
      <c r="C18" t="s">
        <v>407</v>
      </c>
    </row>
    <row r="19" spans="3:9" x14ac:dyDescent="0.2">
      <c r="D19" t="s">
        <v>408</v>
      </c>
    </row>
    <row r="20" spans="3:9" x14ac:dyDescent="0.2">
      <c r="D20" t="s">
        <v>409</v>
      </c>
    </row>
    <row r="21" spans="3:9" x14ac:dyDescent="0.2">
      <c r="D21" t="s">
        <v>410</v>
      </c>
    </row>
    <row r="23" spans="3:9" x14ac:dyDescent="0.2">
      <c r="C23" s="6" t="s">
        <v>3360</v>
      </c>
      <c r="D23" s="149"/>
      <c r="E23" s="6" t="s">
        <v>3555</v>
      </c>
      <c r="F23" s="6" t="s">
        <v>3556</v>
      </c>
      <c r="G23" s="6" t="s">
        <v>3557</v>
      </c>
      <c r="H23" s="6" t="s">
        <v>1727</v>
      </c>
      <c r="I23" s="6" t="s">
        <v>1728</v>
      </c>
    </row>
    <row r="24" spans="3:9" x14ac:dyDescent="0.2">
      <c r="C24" s="8">
        <f ca="1">SUM(E24:OFFSET(E24,0,0))</f>
        <v>10</v>
      </c>
      <c r="E24" s="303">
        <v>10</v>
      </c>
      <c r="F24" s="7">
        <v>400</v>
      </c>
      <c r="G24" s="7">
        <v>500</v>
      </c>
      <c r="H24" s="7">
        <v>600</v>
      </c>
      <c r="I24" s="7">
        <v>700</v>
      </c>
    </row>
    <row r="25" spans="3:9" x14ac:dyDescent="0.2">
      <c r="C25" s="409" t="s">
        <v>2897</v>
      </c>
    </row>
    <row r="26" spans="3:9" x14ac:dyDescent="0.2">
      <c r="C26" t="s">
        <v>411</v>
      </c>
    </row>
    <row r="27" spans="3:9" x14ac:dyDescent="0.2">
      <c r="C27" t="s">
        <v>412</v>
      </c>
    </row>
    <row r="29" spans="3:9" x14ac:dyDescent="0.2">
      <c r="C29" s="8">
        <f ca="1">SUM(E29:OFFSET(E29,0,1))</f>
        <v>410</v>
      </c>
      <c r="E29" s="303">
        <v>10</v>
      </c>
      <c r="F29" s="303">
        <v>400</v>
      </c>
      <c r="G29" s="7">
        <v>500</v>
      </c>
      <c r="H29" s="7">
        <v>600</v>
      </c>
      <c r="I29" s="7">
        <v>700</v>
      </c>
    </row>
    <row r="30" spans="3:9" x14ac:dyDescent="0.2">
      <c r="C30" s="409" t="s">
        <v>2898</v>
      </c>
      <c r="D30" s="149"/>
      <c r="E30" s="149"/>
      <c r="F30" s="149"/>
      <c r="G30" s="149"/>
      <c r="H30" s="149"/>
      <c r="I30" s="149"/>
    </row>
    <row r="31" spans="3:9" x14ac:dyDescent="0.2">
      <c r="C31" s="149" t="s">
        <v>413</v>
      </c>
      <c r="D31" s="149"/>
      <c r="E31" s="149"/>
      <c r="F31" s="149"/>
      <c r="G31" s="149"/>
      <c r="H31" s="149"/>
      <c r="I31" s="149"/>
    </row>
    <row r="32" spans="3:9" x14ac:dyDescent="0.2">
      <c r="C32" s="149" t="s">
        <v>414</v>
      </c>
      <c r="D32" s="149"/>
      <c r="E32" s="149"/>
      <c r="F32" s="149"/>
      <c r="G32" s="149"/>
      <c r="H32" s="149"/>
      <c r="I32" s="149"/>
    </row>
    <row r="34" spans="3:10" x14ac:dyDescent="0.2">
      <c r="C34" s="8">
        <f ca="1">SUM(E34:OFFSET(E34,0,2))</f>
        <v>910</v>
      </c>
      <c r="E34" s="303">
        <v>10</v>
      </c>
      <c r="F34" s="303">
        <v>400</v>
      </c>
      <c r="G34" s="303">
        <v>500</v>
      </c>
      <c r="H34" s="7">
        <v>600</v>
      </c>
      <c r="I34" s="7">
        <v>700</v>
      </c>
    </row>
    <row r="35" spans="3:10" x14ac:dyDescent="0.2">
      <c r="C35" s="61" t="s">
        <v>2899</v>
      </c>
    </row>
    <row r="36" spans="3:10" x14ac:dyDescent="0.2">
      <c r="C36" s="149" t="s">
        <v>415</v>
      </c>
    </row>
    <row r="37" spans="3:10" x14ac:dyDescent="0.2">
      <c r="C37" s="149" t="s">
        <v>416</v>
      </c>
    </row>
    <row r="39" spans="3:10" ht="13.5" thickBot="1" x14ac:dyDescent="0.25">
      <c r="C39" s="2" t="s">
        <v>417</v>
      </c>
      <c r="D39" s="2"/>
      <c r="E39" s="2"/>
      <c r="F39" s="2"/>
      <c r="G39" s="2"/>
      <c r="H39" s="2"/>
      <c r="I39" s="2"/>
      <c r="J39" s="2"/>
    </row>
    <row r="41" spans="3:10" x14ac:dyDescent="0.2">
      <c r="C41" t="s">
        <v>418</v>
      </c>
    </row>
    <row r="42" spans="3:10" x14ac:dyDescent="0.2">
      <c r="C42" t="s">
        <v>419</v>
      </c>
    </row>
    <row r="44" spans="3:10" x14ac:dyDescent="0.2">
      <c r="C44" s="6" t="s">
        <v>3360</v>
      </c>
      <c r="D44" s="149"/>
      <c r="E44" s="6" t="s">
        <v>3555</v>
      </c>
      <c r="F44" s="6" t="s">
        <v>3556</v>
      </c>
      <c r="G44" s="6" t="s">
        <v>3557</v>
      </c>
      <c r="H44" s="6" t="s">
        <v>1727</v>
      </c>
      <c r="I44" s="6" t="s">
        <v>1728</v>
      </c>
    </row>
    <row r="45" spans="3:10" x14ac:dyDescent="0.2">
      <c r="C45" s="8">
        <f ca="1">SUM(OFFSET(E45,0,1):OFFSET(E45,0,1))</f>
        <v>400</v>
      </c>
      <c r="E45" s="7">
        <v>10</v>
      </c>
      <c r="F45" s="303">
        <v>400</v>
      </c>
      <c r="G45" s="7">
        <v>500</v>
      </c>
      <c r="H45" s="7">
        <v>600</v>
      </c>
      <c r="I45" s="7">
        <v>700</v>
      </c>
    </row>
    <row r="46" spans="3:10" x14ac:dyDescent="0.2">
      <c r="C46" s="410" t="s">
        <v>2900</v>
      </c>
    </row>
    <row r="47" spans="3:10" x14ac:dyDescent="0.2">
      <c r="C47" s="149" t="s">
        <v>420</v>
      </c>
    </row>
    <row r="48" spans="3:10" x14ac:dyDescent="0.2">
      <c r="C48" s="149" t="s">
        <v>421</v>
      </c>
    </row>
    <row r="49" spans="3:10" x14ac:dyDescent="0.2">
      <c r="C49" s="149" t="s">
        <v>422</v>
      </c>
    </row>
    <row r="50" spans="3:10" x14ac:dyDescent="0.2">
      <c r="C50" s="149"/>
    </row>
    <row r="51" spans="3:10" x14ac:dyDescent="0.2">
      <c r="C51" s="8">
        <f ca="1">SUM(OFFSET(E51,0,1):OFFSET(E51,0,2))</f>
        <v>900</v>
      </c>
      <c r="E51" s="7">
        <v>10</v>
      </c>
      <c r="F51" s="303">
        <v>400</v>
      </c>
      <c r="G51" s="303">
        <v>500</v>
      </c>
      <c r="H51" s="7">
        <v>600</v>
      </c>
      <c r="I51" s="7">
        <v>700</v>
      </c>
    </row>
    <row r="52" spans="3:10" x14ac:dyDescent="0.2">
      <c r="C52" s="410" t="s">
        <v>2901</v>
      </c>
    </row>
    <row r="53" spans="3:10" x14ac:dyDescent="0.2">
      <c r="C53" t="s">
        <v>1098</v>
      </c>
    </row>
    <row r="54" spans="3:10" x14ac:dyDescent="0.2">
      <c r="C54" t="s">
        <v>1099</v>
      </c>
    </row>
    <row r="55" spans="3:10" x14ac:dyDescent="0.2">
      <c r="C55" t="s">
        <v>1100</v>
      </c>
    </row>
    <row r="57" spans="3:10" x14ac:dyDescent="0.2">
      <c r="C57" s="8">
        <f ca="1">SUM(OFFSET(E57,0,1):OFFSET(E57,0,3))</f>
        <v>1500</v>
      </c>
      <c r="E57" s="7">
        <v>10</v>
      </c>
      <c r="F57" s="303">
        <v>400</v>
      </c>
      <c r="G57" s="303">
        <v>500</v>
      </c>
      <c r="H57" s="303">
        <v>600</v>
      </c>
      <c r="I57" s="7">
        <v>700</v>
      </c>
    </row>
    <row r="58" spans="3:10" x14ac:dyDescent="0.2">
      <c r="C58" s="410" t="s">
        <v>2902</v>
      </c>
    </row>
    <row r="59" spans="3:10" x14ac:dyDescent="0.2">
      <c r="C59" s="149" t="s">
        <v>1101</v>
      </c>
      <c r="D59" s="149"/>
      <c r="E59" s="149"/>
      <c r="F59" s="149"/>
      <c r="G59" s="149"/>
      <c r="H59" s="149"/>
      <c r="I59" s="149"/>
    </row>
    <row r="60" spans="3:10" x14ac:dyDescent="0.2">
      <c r="C60" t="s">
        <v>1102</v>
      </c>
    </row>
    <row r="61" spans="3:10" x14ac:dyDescent="0.2">
      <c r="C61" t="s">
        <v>1100</v>
      </c>
    </row>
    <row r="64" spans="3:10" ht="13.5" thickBot="1" x14ac:dyDescent="0.25">
      <c r="C64" s="2" t="s">
        <v>1001</v>
      </c>
      <c r="D64" s="2"/>
      <c r="E64" s="2"/>
      <c r="F64" s="2"/>
      <c r="G64" s="2"/>
      <c r="H64" s="2"/>
      <c r="I64" s="2"/>
      <c r="J64" s="2"/>
    </row>
    <row r="66" spans="3:9" x14ac:dyDescent="0.2">
      <c r="C66" t="s">
        <v>1103</v>
      </c>
    </row>
    <row r="67" spans="3:9" x14ac:dyDescent="0.2">
      <c r="C67" t="s">
        <v>1104</v>
      </c>
    </row>
    <row r="68" spans="3:9" x14ac:dyDescent="0.2">
      <c r="C68" t="s">
        <v>2878</v>
      </c>
    </row>
    <row r="69" spans="3:9" x14ac:dyDescent="0.2">
      <c r="C69" t="s">
        <v>2879</v>
      </c>
    </row>
    <row r="71" spans="3:9" x14ac:dyDescent="0.2">
      <c r="E71" s="88" t="s">
        <v>2880</v>
      </c>
      <c r="F71" s="411">
        <v>35827</v>
      </c>
    </row>
    <row r="72" spans="3:9" x14ac:dyDescent="0.2">
      <c r="E72" s="88" t="s">
        <v>2881</v>
      </c>
      <c r="F72" s="411">
        <v>35855</v>
      </c>
    </row>
    <row r="74" spans="3:9" x14ac:dyDescent="0.2">
      <c r="C74" s="6" t="s">
        <v>3360</v>
      </c>
      <c r="D74" s="149"/>
      <c r="E74" s="412">
        <v>35796</v>
      </c>
      <c r="F74" s="412">
        <v>35827</v>
      </c>
      <c r="G74" s="412">
        <v>35855</v>
      </c>
      <c r="H74" s="412">
        <v>35886</v>
      </c>
      <c r="I74" s="412">
        <v>35916</v>
      </c>
    </row>
    <row r="75" spans="3:9" x14ac:dyDescent="0.2">
      <c r="C75" s="8">
        <f ca="1">SUM(OFFSET(D75,0,MONTH($F$71)):OFFSET(D75,0,MONTH($F$72)))</f>
        <v>900</v>
      </c>
      <c r="D75" s="149"/>
      <c r="E75" s="7">
        <v>10</v>
      </c>
      <c r="F75" s="413">
        <v>400</v>
      </c>
      <c r="G75" s="7">
        <v>500</v>
      </c>
      <c r="H75" s="7">
        <v>600</v>
      </c>
      <c r="I75" s="7">
        <v>700</v>
      </c>
    </row>
    <row r="76" spans="3:9" x14ac:dyDescent="0.2">
      <c r="D76" s="149"/>
      <c r="E76" s="149"/>
      <c r="F76" s="149"/>
      <c r="G76" s="149"/>
      <c r="H76" s="149"/>
      <c r="I76" s="149"/>
    </row>
    <row r="77" spans="3:9" x14ac:dyDescent="0.2">
      <c r="C77" s="8">
        <f ca="1">SUM(OFFSET(D77,0,MONTH($F$71)):OFFSET(D77,0,MONTH($F$72)))</f>
        <v>1020</v>
      </c>
      <c r="D77" s="149"/>
      <c r="E77" s="7">
        <v>15</v>
      </c>
      <c r="F77" s="413">
        <v>20</v>
      </c>
      <c r="G77" s="413">
        <v>1000</v>
      </c>
      <c r="H77" s="7">
        <v>2000</v>
      </c>
      <c r="I77" s="7">
        <v>3000</v>
      </c>
    </row>
    <row r="78" spans="3:9" x14ac:dyDescent="0.2">
      <c r="D78" s="149"/>
      <c r="E78" s="149"/>
      <c r="F78" s="149"/>
      <c r="G78" s="149"/>
      <c r="H78" s="149"/>
      <c r="I78" s="149"/>
    </row>
    <row r="79" spans="3:9" x14ac:dyDescent="0.2">
      <c r="C79" s="8">
        <f ca="1">SUM(OFFSET(D79,0,MONTH($F$71)):OFFSET(D79,0,MONTH($F$72)))</f>
        <v>13</v>
      </c>
      <c r="E79" s="7">
        <v>5</v>
      </c>
      <c r="F79" s="413">
        <v>3</v>
      </c>
      <c r="G79" s="413">
        <v>10</v>
      </c>
      <c r="H79" s="7">
        <v>800</v>
      </c>
      <c r="I79" s="7">
        <v>900</v>
      </c>
    </row>
    <row r="80" spans="3:9" x14ac:dyDescent="0.2">
      <c r="C80" s="13" t="s">
        <v>2882</v>
      </c>
    </row>
    <row r="82" spans="3:10" ht="13.5" thickBot="1" x14ac:dyDescent="0.25">
      <c r="C82" s="2" t="s">
        <v>1483</v>
      </c>
      <c r="D82" s="2"/>
      <c r="E82" s="2"/>
      <c r="F82" s="2"/>
      <c r="G82" s="2"/>
      <c r="H82" s="2"/>
      <c r="I82" s="2"/>
      <c r="J82" s="2"/>
    </row>
    <row r="83" spans="3:10" x14ac:dyDescent="0.2">
      <c r="C83" t="s">
        <v>2883</v>
      </c>
    </row>
    <row r="84" spans="3:10" x14ac:dyDescent="0.2">
      <c r="C84" t="s">
        <v>2884</v>
      </c>
    </row>
    <row r="85" spans="3:10" x14ac:dyDescent="0.2">
      <c r="C85" t="s">
        <v>2885</v>
      </c>
    </row>
    <row r="87" spans="3:10" x14ac:dyDescent="0.2">
      <c r="C87" s="184" t="s">
        <v>2886</v>
      </c>
      <c r="D87" s="86" t="s">
        <v>2887</v>
      </c>
    </row>
    <row r="88" spans="3:10" x14ac:dyDescent="0.2">
      <c r="D88" t="s">
        <v>2888</v>
      </c>
    </row>
    <row r="90" spans="3:10" x14ac:dyDescent="0.2">
      <c r="C90" s="184" t="s">
        <v>2889</v>
      </c>
      <c r="D90" s="13" t="str">
        <f>"=SUM( OFFSET(D79,0,MONTH("&amp;TEXT(MONTH($F$71),"0")&amp;")) : OFFSET(D79,0,MONTH("&amp;TEXT(MONTH($F$72),"0")&amp;")) )"</f>
        <v>=SUM( OFFSET(D79,0,MONTH(2)) : OFFSET(D79,0,MONTH(3)) )</v>
      </c>
    </row>
    <row r="91" spans="3:10" x14ac:dyDescent="0.2">
      <c r="D91" t="s">
        <v>2890</v>
      </c>
    </row>
    <row r="92" spans="3:10" x14ac:dyDescent="0.2">
      <c r="D92" t="str">
        <f>"In this example the values of the months are "&amp;MONTH(F71)&amp;" and "&amp;MONTH(F72)&amp;" for "&amp;TEXT(F71,"mmm")&amp;" and "&amp;TEXT(F72,"mmm")&amp;"."</f>
        <v>In this example the values of the months are 2 and 3 for Feb and Mar.</v>
      </c>
    </row>
    <row r="93" spans="3:10" x14ac:dyDescent="0.2">
      <c r="D93" t="s">
        <v>2891</v>
      </c>
    </row>
    <row r="95" spans="3:10" x14ac:dyDescent="0.2">
      <c r="C95" s="184" t="s">
        <v>2892</v>
      </c>
      <c r="D95" s="414" t="str">
        <f>"=SUM( OFFSET(D79,0,"&amp;TEXT(MONTH($F$71),"0")&amp;") : OFFSET(D79,0,"&amp;TEXT(MONTH($F$72),"0")&amp;") )"</f>
        <v>=SUM( OFFSET(D79,0,2) : OFFSET(D79,0,3) )</v>
      </c>
    </row>
    <row r="96" spans="3:10" x14ac:dyDescent="0.2">
      <c r="D96" t="s">
        <v>2893</v>
      </c>
    </row>
    <row r="98" spans="3:4" x14ac:dyDescent="0.2">
      <c r="C98" s="184" t="s">
        <v>2894</v>
      </c>
      <c r="D98" s="414" t="str">
        <f ca="1">SUBSTITUTE("=SUM( "&amp;CELL("address",OFFSET(D79,0,MONTH($F$71)))&amp;":"&amp;CELL("address",OFFSET(D79,0,MONTH($F$72)))&amp;" )","$","")</f>
        <v>=SUM( F79:G79 )</v>
      </c>
    </row>
    <row r="99" spans="3:4" x14ac:dyDescent="0.2">
      <c r="D99" t="s">
        <v>2895</v>
      </c>
    </row>
    <row r="100" spans="3:4" x14ac:dyDescent="0.2">
      <c r="D100" t="s">
        <v>2896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K40"/>
  <sheetViews>
    <sheetView showGridLines="0" workbookViewId="0">
      <pane ySplit="1" topLeftCell="A2" activePane="bottomLeft" state="frozen"/>
      <selection activeCell="A3" sqref="A3"/>
      <selection pane="bottomLeft" activeCell="K10" sqref="K10"/>
    </sheetView>
  </sheetViews>
  <sheetFormatPr defaultRowHeight="12.75" x14ac:dyDescent="0.2"/>
  <cols>
    <col min="1" max="1" width="2.7109375" customWidth="1"/>
    <col min="10" max="10" width="8.85546875" customWidth="1"/>
  </cols>
  <sheetData>
    <row r="1" spans="1:11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4" spans="1:11" ht="13.5" thickBot="1" x14ac:dyDescent="0.25">
      <c r="C4" s="2" t="s">
        <v>1140</v>
      </c>
      <c r="D4" s="2"/>
      <c r="E4" s="2"/>
      <c r="F4" s="2"/>
      <c r="G4" s="2"/>
      <c r="H4" s="2"/>
      <c r="I4" s="2"/>
      <c r="J4" s="2"/>
    </row>
    <row r="6" spans="1:11" ht="25.5" x14ac:dyDescent="0.2">
      <c r="C6" s="6" t="s">
        <v>1722</v>
      </c>
      <c r="D6" s="6" t="s">
        <v>1726</v>
      </c>
      <c r="E6" s="57" t="s">
        <v>1141</v>
      </c>
    </row>
    <row r="7" spans="1:11" x14ac:dyDescent="0.2">
      <c r="C7" s="50" t="s">
        <v>3555</v>
      </c>
      <c r="D7" s="7">
        <v>10</v>
      </c>
      <c r="E7" s="8">
        <f>SUM($D$7:D7)</f>
        <v>10</v>
      </c>
      <c r="F7" s="13" t="s">
        <v>1142</v>
      </c>
    </row>
    <row r="8" spans="1:11" x14ac:dyDescent="0.2">
      <c r="C8" s="50" t="s">
        <v>3556</v>
      </c>
      <c r="D8" s="7">
        <v>50</v>
      </c>
      <c r="E8" s="8">
        <f>SUM($D$7:D8)</f>
        <v>60</v>
      </c>
      <c r="F8" s="13" t="s">
        <v>1143</v>
      </c>
    </row>
    <row r="9" spans="1:11" x14ac:dyDescent="0.2">
      <c r="C9" s="50" t="s">
        <v>3557</v>
      </c>
      <c r="D9" s="7">
        <v>30</v>
      </c>
      <c r="E9" s="8">
        <f>SUM($D$7:D9)</f>
        <v>90</v>
      </c>
      <c r="F9" s="13" t="s">
        <v>1144</v>
      </c>
    </row>
    <row r="10" spans="1:11" x14ac:dyDescent="0.2">
      <c r="C10" s="50" t="s">
        <v>1727</v>
      </c>
      <c r="D10" s="7">
        <v>20</v>
      </c>
      <c r="E10" s="8">
        <f>SUM($D$7:D10)</f>
        <v>110</v>
      </c>
      <c r="F10" s="13" t="s">
        <v>1145</v>
      </c>
    </row>
    <row r="11" spans="1:11" x14ac:dyDescent="0.2">
      <c r="C11" s="50" t="s">
        <v>1728</v>
      </c>
      <c r="D11" s="7"/>
      <c r="E11" s="8">
        <f>SUM($D$7:D11)</f>
        <v>110</v>
      </c>
      <c r="F11" s="13" t="s">
        <v>1146</v>
      </c>
    </row>
    <row r="12" spans="1:11" x14ac:dyDescent="0.2">
      <c r="C12" s="50" t="s">
        <v>1729</v>
      </c>
      <c r="D12" s="7"/>
      <c r="E12" s="8">
        <f>SUM($D$7:D12)</f>
        <v>110</v>
      </c>
      <c r="F12" s="13" t="s">
        <v>1147</v>
      </c>
    </row>
    <row r="13" spans="1:11" x14ac:dyDescent="0.2">
      <c r="C13" s="50" t="s">
        <v>1148</v>
      </c>
      <c r="D13" s="7"/>
      <c r="E13" s="8">
        <f>SUM($D$7:D13)</f>
        <v>110</v>
      </c>
      <c r="F13" s="13" t="s">
        <v>1149</v>
      </c>
    </row>
    <row r="14" spans="1:11" x14ac:dyDescent="0.2">
      <c r="C14" s="50" t="s">
        <v>1150</v>
      </c>
      <c r="D14" s="7"/>
      <c r="E14" s="8">
        <f>SUM($D$7:D14)</f>
        <v>110</v>
      </c>
      <c r="F14" s="13" t="s">
        <v>1151</v>
      </c>
    </row>
    <row r="15" spans="1:11" x14ac:dyDescent="0.2">
      <c r="C15" s="50" t="s">
        <v>1152</v>
      </c>
      <c r="D15" s="7"/>
      <c r="E15" s="8">
        <f>SUM($D$7:D15)</f>
        <v>110</v>
      </c>
      <c r="F15" s="13" t="s">
        <v>1153</v>
      </c>
    </row>
    <row r="16" spans="1:11" x14ac:dyDescent="0.2">
      <c r="C16" s="50" t="s">
        <v>1154</v>
      </c>
      <c r="D16" s="7"/>
      <c r="E16" s="8">
        <f>SUM($D$7:D16)</f>
        <v>110</v>
      </c>
      <c r="F16" s="13" t="s">
        <v>1155</v>
      </c>
    </row>
    <row r="17" spans="3:6" x14ac:dyDescent="0.2">
      <c r="C17" s="50" t="s">
        <v>1156</v>
      </c>
      <c r="D17" s="7"/>
      <c r="E17" s="8">
        <f>SUM($D$7:D17)</f>
        <v>110</v>
      </c>
      <c r="F17" s="13" t="s">
        <v>1157</v>
      </c>
    </row>
    <row r="18" spans="3:6" x14ac:dyDescent="0.2">
      <c r="C18" s="50" t="s">
        <v>1158</v>
      </c>
      <c r="D18" s="7"/>
      <c r="E18" s="8">
        <f>SUM($D$7:D18)</f>
        <v>110</v>
      </c>
      <c r="F18" s="13" t="s">
        <v>1159</v>
      </c>
    </row>
    <row r="20" spans="3:6" x14ac:dyDescent="0.2">
      <c r="C20" t="s">
        <v>1160</v>
      </c>
    </row>
    <row r="21" spans="3:6" x14ac:dyDescent="0.2">
      <c r="C21" t="s">
        <v>1161</v>
      </c>
    </row>
    <row r="22" spans="3:6" x14ac:dyDescent="0.2">
      <c r="C22" t="s">
        <v>2166</v>
      </c>
    </row>
    <row r="23" spans="3:6" x14ac:dyDescent="0.2">
      <c r="C23" t="s">
        <v>2167</v>
      </c>
    </row>
    <row r="25" spans="3:6" x14ac:dyDescent="0.2">
      <c r="C25" t="s">
        <v>2168</v>
      </c>
    </row>
    <row r="26" spans="3:6" x14ac:dyDescent="0.2">
      <c r="C26" t="s">
        <v>2169</v>
      </c>
    </row>
    <row r="28" spans="3:6" ht="25.5" x14ac:dyDescent="0.2">
      <c r="C28" s="6" t="s">
        <v>1722</v>
      </c>
      <c r="D28" s="6" t="s">
        <v>1726</v>
      </c>
      <c r="E28" s="57" t="s">
        <v>1141</v>
      </c>
    </row>
    <row r="29" spans="3:6" x14ac:dyDescent="0.2">
      <c r="C29" s="50" t="s">
        <v>3555</v>
      </c>
      <c r="D29" s="7">
        <v>10</v>
      </c>
      <c r="E29" s="8">
        <f>SUM(IF(D7,$D$7:D7,0))</f>
        <v>10</v>
      </c>
      <c r="F29" s="13" t="s">
        <v>2170</v>
      </c>
    </row>
    <row r="30" spans="3:6" x14ac:dyDescent="0.2">
      <c r="C30" s="50" t="s">
        <v>3556</v>
      </c>
      <c r="D30" s="7">
        <v>50</v>
      </c>
      <c r="E30" s="8">
        <f>SUM(IF(D8,$D$7:D8,0))</f>
        <v>60</v>
      </c>
      <c r="F30" s="13" t="s">
        <v>2171</v>
      </c>
    </row>
    <row r="31" spans="3:6" x14ac:dyDescent="0.2">
      <c r="C31" s="50" t="s">
        <v>3557</v>
      </c>
      <c r="D31" s="7">
        <v>30</v>
      </c>
      <c r="E31" s="8">
        <f>SUM(IF(D9,$D$7:D9,0))</f>
        <v>90</v>
      </c>
      <c r="F31" s="13" t="s">
        <v>2172</v>
      </c>
    </row>
    <row r="32" spans="3:6" x14ac:dyDescent="0.2">
      <c r="C32" s="50" t="s">
        <v>1727</v>
      </c>
      <c r="D32" s="7">
        <v>20</v>
      </c>
      <c r="E32" s="8">
        <f>SUM(IF(D10,$D$7:D10,0))</f>
        <v>110</v>
      </c>
      <c r="F32" s="13" t="s">
        <v>2173</v>
      </c>
    </row>
    <row r="33" spans="3:6" x14ac:dyDescent="0.2">
      <c r="C33" s="50" t="s">
        <v>1728</v>
      </c>
      <c r="D33" s="7"/>
      <c r="E33" s="8">
        <f>SUM(IF(D11,$D$7:D11,0))</f>
        <v>0</v>
      </c>
      <c r="F33" s="13" t="s">
        <v>2174</v>
      </c>
    </row>
    <row r="34" spans="3:6" x14ac:dyDescent="0.2">
      <c r="C34" s="50" t="s">
        <v>1729</v>
      </c>
      <c r="D34" s="7"/>
      <c r="E34" s="8">
        <f>SUM(IF(D12,$D$7:D12,0))</f>
        <v>0</v>
      </c>
      <c r="F34" s="13" t="s">
        <v>2175</v>
      </c>
    </row>
    <row r="35" spans="3:6" x14ac:dyDescent="0.2">
      <c r="C35" s="50" t="s">
        <v>1148</v>
      </c>
      <c r="D35" s="7"/>
      <c r="E35" s="8">
        <f>SUM(IF(D13,$D$7:D13,0))</f>
        <v>0</v>
      </c>
      <c r="F35" t="s">
        <v>2176</v>
      </c>
    </row>
    <row r="36" spans="3:6" x14ac:dyDescent="0.2">
      <c r="C36" s="50" t="s">
        <v>1150</v>
      </c>
      <c r="D36" s="7"/>
      <c r="E36" s="8">
        <f>SUM(IF(D14,$D$7:D14,0))</f>
        <v>0</v>
      </c>
      <c r="F36" t="s">
        <v>2177</v>
      </c>
    </row>
    <row r="37" spans="3:6" x14ac:dyDescent="0.2">
      <c r="C37" s="50" t="s">
        <v>1152</v>
      </c>
      <c r="D37" s="7"/>
      <c r="E37" s="8">
        <f>SUM(IF(D15,$D$7:D15,0))</f>
        <v>0</v>
      </c>
      <c r="F37" t="s">
        <v>2178</v>
      </c>
    </row>
    <row r="38" spans="3:6" x14ac:dyDescent="0.2">
      <c r="C38" s="50" t="s">
        <v>1154</v>
      </c>
      <c r="D38" s="7"/>
      <c r="E38" s="8">
        <f>SUM(IF(D16,$D$7:D16,0))</f>
        <v>0</v>
      </c>
    </row>
    <row r="39" spans="3:6" x14ac:dyDescent="0.2">
      <c r="C39" s="50" t="s">
        <v>1156</v>
      </c>
      <c r="D39" s="7"/>
      <c r="E39" s="8">
        <f>SUM(IF(D17,$D$7:D17,0))</f>
        <v>0</v>
      </c>
    </row>
    <row r="40" spans="3:6" x14ac:dyDescent="0.2">
      <c r="C40" s="50" t="s">
        <v>1158</v>
      </c>
      <c r="D40" s="7"/>
      <c r="E40" s="8">
        <f>SUM(IF(D18,$D$7:D18,0))</f>
        <v>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8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K53"/>
  <sheetViews>
    <sheetView showGridLines="0" workbookViewId="0">
      <pane ySplit="1" topLeftCell="A2" activePane="bottomLeft" state="frozen"/>
      <selection activeCell="A3" sqref="A3"/>
      <selection pane="bottomLeft" activeCell="K7" sqref="K7"/>
    </sheetView>
  </sheetViews>
  <sheetFormatPr defaultRowHeight="12.75" x14ac:dyDescent="0.2"/>
  <cols>
    <col min="1" max="1" width="2.7109375" customWidth="1"/>
    <col min="3" max="3" width="10.85546875" customWidth="1"/>
    <col min="10" max="10" width="6.7109375" customWidth="1"/>
  </cols>
  <sheetData>
    <row r="1" spans="1:11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23" t="s">
        <v>1117</v>
      </c>
    </row>
    <row r="4" spans="1:11" x14ac:dyDescent="0.2">
      <c r="C4" s="7">
        <v>100</v>
      </c>
      <c r="D4" s="7">
        <v>200</v>
      </c>
      <c r="E4" s="7">
        <v>300</v>
      </c>
      <c r="F4" s="8">
        <f>SUM(C4:E4)</f>
        <v>600</v>
      </c>
      <c r="G4" s="13" t="s">
        <v>1118</v>
      </c>
    </row>
    <row r="6" spans="1:11" x14ac:dyDescent="0.2">
      <c r="C6" s="6" t="s">
        <v>1119</v>
      </c>
    </row>
    <row r="7" spans="1:11" x14ac:dyDescent="0.2">
      <c r="C7" s="7">
        <v>100</v>
      </c>
    </row>
    <row r="8" spans="1:11" x14ac:dyDescent="0.2">
      <c r="C8" s="7">
        <v>200</v>
      </c>
    </row>
    <row r="9" spans="1:11" x14ac:dyDescent="0.2">
      <c r="C9" s="7">
        <v>300</v>
      </c>
    </row>
    <row r="10" spans="1:11" x14ac:dyDescent="0.2">
      <c r="C10" s="8">
        <f>SUM(C7:C9)</f>
        <v>600</v>
      </c>
      <c r="D10" s="13" t="s">
        <v>1120</v>
      </c>
    </row>
    <row r="12" spans="1:11" x14ac:dyDescent="0.2">
      <c r="C12" s="62" t="s">
        <v>1121</v>
      </c>
      <c r="D12" s="62"/>
      <c r="E12" s="62"/>
    </row>
    <row r="13" spans="1:11" x14ac:dyDescent="0.2">
      <c r="C13" s="7">
        <v>100</v>
      </c>
      <c r="E13" s="7">
        <v>300</v>
      </c>
      <c r="F13" s="8">
        <f>SUM(C13,D14,E13)</f>
        <v>600</v>
      </c>
      <c r="G13" s="13" t="s">
        <v>1122</v>
      </c>
    </row>
    <row r="14" spans="1:11" x14ac:dyDescent="0.2">
      <c r="D14" s="7">
        <v>200</v>
      </c>
    </row>
    <row r="16" spans="1:11" x14ac:dyDescent="0.2">
      <c r="C16" s="62" t="s">
        <v>1123</v>
      </c>
      <c r="D16" s="62"/>
      <c r="E16" s="62"/>
    </row>
    <row r="17" spans="2:10" x14ac:dyDescent="0.2">
      <c r="C17" s="7">
        <v>100</v>
      </c>
      <c r="E17" s="7">
        <v>400</v>
      </c>
    </row>
    <row r="18" spans="2:10" x14ac:dyDescent="0.2">
      <c r="C18" s="7">
        <v>200</v>
      </c>
      <c r="E18" s="7">
        <v>500</v>
      </c>
    </row>
    <row r="19" spans="2:10" x14ac:dyDescent="0.2">
      <c r="C19" s="7">
        <v>3000</v>
      </c>
      <c r="E19" s="7">
        <v>600</v>
      </c>
    </row>
    <row r="20" spans="2:10" x14ac:dyDescent="0.2">
      <c r="E20" s="8">
        <f>SUM(C17:C19,E17:E19)</f>
        <v>4800</v>
      </c>
      <c r="F20" s="13" t="s">
        <v>1124</v>
      </c>
    </row>
    <row r="22" spans="2:10" x14ac:dyDescent="0.2">
      <c r="C22" s="62" t="s">
        <v>1125</v>
      </c>
      <c r="D22" s="62"/>
      <c r="E22" s="62"/>
    </row>
    <row r="23" spans="2:10" x14ac:dyDescent="0.2">
      <c r="C23" s="7">
        <v>100</v>
      </c>
      <c r="E23" s="7">
        <v>400</v>
      </c>
    </row>
    <row r="24" spans="2:10" x14ac:dyDescent="0.2">
      <c r="C24" s="7">
        <v>200</v>
      </c>
      <c r="E24" s="7">
        <v>500</v>
      </c>
    </row>
    <row r="25" spans="2:10" x14ac:dyDescent="0.2">
      <c r="C25" s="7">
        <v>300</v>
      </c>
      <c r="E25" s="7">
        <v>600</v>
      </c>
    </row>
    <row r="26" spans="2:10" x14ac:dyDescent="0.2">
      <c r="E26" s="8">
        <f>SUM(AVERAGE(C23:C25),MAX(E23:E25))</f>
        <v>800</v>
      </c>
      <c r="F26" s="13" t="s">
        <v>1126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1127</v>
      </c>
    </row>
    <row r="30" spans="2:10" x14ac:dyDescent="0.2">
      <c r="B30" t="s">
        <v>1128</v>
      </c>
    </row>
    <row r="31" spans="2:10" x14ac:dyDescent="0.2">
      <c r="B31" t="s">
        <v>1129</v>
      </c>
    </row>
    <row r="33" spans="2:10" ht="13.5" thickBot="1" x14ac:dyDescent="0.25">
      <c r="B33" s="2" t="s">
        <v>998</v>
      </c>
      <c r="C33" s="2"/>
      <c r="D33" s="2"/>
      <c r="E33" s="2"/>
      <c r="F33" s="2"/>
      <c r="G33" s="2"/>
      <c r="H33" s="2"/>
      <c r="I33" s="2"/>
      <c r="J33" s="2"/>
    </row>
    <row r="34" spans="2:10" x14ac:dyDescent="0.2">
      <c r="B34" s="61" t="s">
        <v>1130</v>
      </c>
    </row>
    <row r="36" spans="2:10" ht="13.5" thickBot="1" x14ac:dyDescent="0.25">
      <c r="B36" s="2" t="s">
        <v>3355</v>
      </c>
      <c r="C36" s="2"/>
      <c r="D36" s="2"/>
      <c r="E36" s="2"/>
      <c r="F36" s="2"/>
      <c r="G36" s="2"/>
      <c r="H36" s="2"/>
      <c r="I36" s="2"/>
      <c r="J36" s="2"/>
    </row>
    <row r="37" spans="2:10" x14ac:dyDescent="0.2">
      <c r="B37" t="s">
        <v>2424</v>
      </c>
    </row>
    <row r="41" spans="2:10" ht="13.5" thickBot="1" x14ac:dyDescent="0.25">
      <c r="B41" s="2" t="s">
        <v>2659</v>
      </c>
      <c r="C41" s="2"/>
      <c r="D41" s="2"/>
      <c r="E41" s="2"/>
      <c r="F41" s="2"/>
      <c r="G41" s="2"/>
      <c r="H41" s="2"/>
      <c r="I41" s="2"/>
      <c r="J41" s="2"/>
    </row>
    <row r="42" spans="2:10" x14ac:dyDescent="0.2">
      <c r="B42" t="s">
        <v>1131</v>
      </c>
    </row>
    <row r="44" spans="2:10" x14ac:dyDescent="0.2">
      <c r="B44" t="s">
        <v>1132</v>
      </c>
    </row>
    <row r="45" spans="2:10" x14ac:dyDescent="0.2">
      <c r="B45" t="s">
        <v>1133</v>
      </c>
    </row>
    <row r="46" spans="2:10" x14ac:dyDescent="0.2">
      <c r="B46" t="s">
        <v>1134</v>
      </c>
    </row>
    <row r="48" spans="2:10" x14ac:dyDescent="0.2">
      <c r="C48" s="7">
        <v>100</v>
      </c>
    </row>
    <row r="49" spans="3:7" x14ac:dyDescent="0.2">
      <c r="C49" s="7">
        <v>200</v>
      </c>
    </row>
    <row r="50" spans="3:7" x14ac:dyDescent="0.2">
      <c r="C50" s="7">
        <v>300</v>
      </c>
    </row>
    <row r="51" spans="3:7" x14ac:dyDescent="0.2">
      <c r="C51" s="8">
        <f>SUM(C48+C49+C50)</f>
        <v>600</v>
      </c>
      <c r="D51" s="13" t="s">
        <v>1135</v>
      </c>
      <c r="G51" s="408" t="s">
        <v>1136</v>
      </c>
    </row>
    <row r="52" spans="3:7" x14ac:dyDescent="0.2">
      <c r="D52" s="13" t="s">
        <v>1137</v>
      </c>
      <c r="G52" t="s">
        <v>1138</v>
      </c>
    </row>
    <row r="53" spans="3:7" x14ac:dyDescent="0.2">
      <c r="D53" s="13" t="s">
        <v>1139</v>
      </c>
      <c r="G53" t="s">
        <v>1138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I51"/>
  <sheetViews>
    <sheetView showGridLines="0" workbookViewId="0">
      <pane ySplit="1" topLeftCell="A2" activePane="bottomLeft" state="frozen"/>
      <selection activeCell="A3" sqref="A3"/>
      <selection pane="bottomLeft" activeCell="I6" sqref="I6"/>
    </sheetView>
  </sheetViews>
  <sheetFormatPr defaultRowHeight="12.75" x14ac:dyDescent="0.2"/>
  <cols>
    <col min="1" max="1" width="2.7109375" customWidth="1"/>
    <col min="2" max="2" width="15.85546875" customWidth="1"/>
    <col min="3" max="3" width="10.42578125" customWidth="1"/>
    <col min="5" max="5" width="14.28515625" customWidth="1"/>
    <col min="6" max="6" width="14.5703125" customWidth="1"/>
    <col min="8" max="8" width="8" customWidth="1"/>
  </cols>
  <sheetData>
    <row r="1" spans="1:9" ht="48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ht="25.5" x14ac:dyDescent="0.2">
      <c r="B3" s="6" t="s">
        <v>1763</v>
      </c>
      <c r="C3" s="57" t="s">
        <v>864</v>
      </c>
      <c r="D3" s="57" t="s">
        <v>865</v>
      </c>
      <c r="E3" s="6" t="s">
        <v>866</v>
      </c>
    </row>
    <row r="4" spans="1:9" x14ac:dyDescent="0.2">
      <c r="B4" s="7" t="s">
        <v>867</v>
      </c>
      <c r="C4" s="7" t="s">
        <v>656</v>
      </c>
      <c r="D4" s="7" t="s">
        <v>1189</v>
      </c>
      <c r="E4" s="8" t="str">
        <f>SUBSTITUTE(B4,C4,D4)</f>
        <v>ABhelloEF</v>
      </c>
      <c r="F4" s="13" t="s">
        <v>868</v>
      </c>
    </row>
    <row r="5" spans="1:9" x14ac:dyDescent="0.2">
      <c r="B5" s="7" t="s">
        <v>869</v>
      </c>
      <c r="C5" s="7" t="s">
        <v>656</v>
      </c>
      <c r="D5" s="7" t="s">
        <v>1189</v>
      </c>
      <c r="E5" s="8" t="str">
        <f>SUBSTITUTE(B5,C5,D5)</f>
        <v>ABhelloABhello</v>
      </c>
      <c r="F5" s="13" t="s">
        <v>870</v>
      </c>
    </row>
    <row r="6" spans="1:9" x14ac:dyDescent="0.2">
      <c r="B6" s="7" t="s">
        <v>871</v>
      </c>
      <c r="C6" s="7" t="s">
        <v>1984</v>
      </c>
      <c r="D6" s="7" t="s">
        <v>598</v>
      </c>
      <c r="E6" s="8" t="str">
        <f>SUBSTITUTE(B6,C6,D6)</f>
        <v>Northern Area</v>
      </c>
      <c r="F6" s="13" t="s">
        <v>872</v>
      </c>
    </row>
    <row r="7" spans="1:9" x14ac:dyDescent="0.2">
      <c r="B7" s="7" t="s">
        <v>873</v>
      </c>
      <c r="C7" s="7" t="s">
        <v>874</v>
      </c>
      <c r="D7" s="7" t="s">
        <v>875</v>
      </c>
      <c r="E7" s="8" t="str">
        <f>SUBSTITUTE(B7,C7,D7)</f>
        <v>S&amp; &amp; Cement</v>
      </c>
      <c r="F7" s="13" t="s">
        <v>876</v>
      </c>
    </row>
    <row r="9" spans="1:9" ht="25.5" x14ac:dyDescent="0.2">
      <c r="B9" s="6" t="s">
        <v>1763</v>
      </c>
      <c r="C9" s="57" t="s">
        <v>864</v>
      </c>
      <c r="D9" s="57" t="s">
        <v>865</v>
      </c>
      <c r="E9" s="57" t="s">
        <v>877</v>
      </c>
      <c r="F9" s="6" t="s">
        <v>866</v>
      </c>
    </row>
    <row r="10" spans="1:9" x14ac:dyDescent="0.2">
      <c r="B10" s="7" t="s">
        <v>878</v>
      </c>
      <c r="C10" s="7" t="s">
        <v>879</v>
      </c>
      <c r="D10" s="7" t="s">
        <v>1189</v>
      </c>
      <c r="E10" s="7">
        <v>3</v>
      </c>
      <c r="F10" s="8" t="str">
        <f>SUBSTITUTE(B10,C10,D10,E10)</f>
        <v>ABCABChello</v>
      </c>
    </row>
    <row r="11" spans="1:9" x14ac:dyDescent="0.2">
      <c r="B11" s="7" t="s">
        <v>873</v>
      </c>
      <c r="C11" s="7" t="s">
        <v>874</v>
      </c>
      <c r="D11" s="7" t="s">
        <v>875</v>
      </c>
      <c r="E11" s="7">
        <v>2</v>
      </c>
      <c r="F11" s="8" t="str">
        <f>SUBSTITUTE(B11,C11,D11,E11)</f>
        <v>Sand &amp; Cement</v>
      </c>
    </row>
    <row r="12" spans="1:9" x14ac:dyDescent="0.2">
      <c r="F12" s="13" t="s">
        <v>880</v>
      </c>
    </row>
    <row r="13" spans="1:9" x14ac:dyDescent="0.2">
      <c r="F13" s="13" t="s">
        <v>881</v>
      </c>
    </row>
    <row r="15" spans="1:9" ht="13.5" thickBot="1" x14ac:dyDescent="0.25">
      <c r="B15" s="2" t="s">
        <v>2865</v>
      </c>
      <c r="C15" s="2"/>
      <c r="D15" s="2"/>
      <c r="E15" s="2"/>
      <c r="F15" s="2"/>
      <c r="G15" s="2"/>
      <c r="H15" s="2"/>
    </row>
    <row r="16" spans="1:9" x14ac:dyDescent="0.2">
      <c r="B16" t="s">
        <v>882</v>
      </c>
    </row>
    <row r="17" spans="2:8" x14ac:dyDescent="0.2">
      <c r="B17" t="s">
        <v>883</v>
      </c>
    </row>
    <row r="18" spans="2:8" x14ac:dyDescent="0.2">
      <c r="B18" t="s">
        <v>1105</v>
      </c>
    </row>
    <row r="20" spans="2:8" ht="13.5" thickBot="1" x14ac:dyDescent="0.25">
      <c r="B20" s="2" t="s">
        <v>998</v>
      </c>
      <c r="C20" s="2"/>
      <c r="D20" s="2"/>
      <c r="E20" s="2"/>
      <c r="F20" s="2"/>
      <c r="G20" s="2"/>
      <c r="H20" s="2"/>
    </row>
    <row r="21" spans="2:8" x14ac:dyDescent="0.2">
      <c r="B21" s="61" t="s">
        <v>1106</v>
      </c>
    </row>
    <row r="22" spans="2:8" x14ac:dyDescent="0.2">
      <c r="B22" t="s">
        <v>1107</v>
      </c>
    </row>
    <row r="24" spans="2:8" ht="13.5" thickBot="1" x14ac:dyDescent="0.25">
      <c r="B24" s="2" t="s">
        <v>3355</v>
      </c>
      <c r="C24" s="2"/>
      <c r="D24" s="2"/>
      <c r="E24" s="2"/>
      <c r="F24" s="2"/>
      <c r="G24" s="2"/>
      <c r="H24" s="2"/>
    </row>
    <row r="25" spans="2:8" x14ac:dyDescent="0.2">
      <c r="B25" t="s">
        <v>2424</v>
      </c>
    </row>
    <row r="27" spans="2:8" ht="13.5" thickBot="1" x14ac:dyDescent="0.25">
      <c r="B27" s="2" t="s">
        <v>2659</v>
      </c>
      <c r="C27" s="2"/>
      <c r="D27" s="2"/>
      <c r="E27" s="2"/>
      <c r="F27" s="2"/>
      <c r="G27" s="2"/>
      <c r="H27" s="2"/>
    </row>
    <row r="28" spans="2:8" x14ac:dyDescent="0.2">
      <c r="B28" t="s">
        <v>1108</v>
      </c>
    </row>
    <row r="29" spans="2:8" x14ac:dyDescent="0.2">
      <c r="B29" t="s">
        <v>1109</v>
      </c>
    </row>
    <row r="31" spans="2:8" x14ac:dyDescent="0.2">
      <c r="B31" t="s">
        <v>1110</v>
      </c>
    </row>
    <row r="33" spans="2:5" x14ac:dyDescent="0.2">
      <c r="B33" t="s">
        <v>1013</v>
      </c>
    </row>
    <row r="34" spans="2:5" ht="25.5" x14ac:dyDescent="0.2">
      <c r="B34" s="6" t="s">
        <v>1763</v>
      </c>
      <c r="C34" s="57" t="s">
        <v>864</v>
      </c>
      <c r="D34" s="57" t="s">
        <v>865</v>
      </c>
      <c r="E34" s="6" t="s">
        <v>866</v>
      </c>
    </row>
    <row r="35" spans="2:5" x14ac:dyDescent="0.2">
      <c r="B35" s="7" t="s">
        <v>871</v>
      </c>
      <c r="C35" s="7" t="s">
        <v>1984</v>
      </c>
      <c r="D35" s="7" t="s">
        <v>598</v>
      </c>
      <c r="E35" s="8" t="str">
        <f>SUBSTITUTE(B35,C35,D35)</f>
        <v>Northern Area</v>
      </c>
    </row>
    <row r="36" spans="2:5" x14ac:dyDescent="0.2">
      <c r="B36" s="7" t="s">
        <v>1116</v>
      </c>
      <c r="C36" s="7" t="s">
        <v>1984</v>
      </c>
      <c r="D36" s="7" t="s">
        <v>598</v>
      </c>
      <c r="E36" s="8" t="str">
        <f>SUBSTITUTE(B36,C36,D36)</f>
        <v>Northern region</v>
      </c>
    </row>
    <row r="37" spans="2:5" x14ac:dyDescent="0.2">
      <c r="B37" s="7" t="s">
        <v>871</v>
      </c>
      <c r="C37" s="303" t="s">
        <v>1111</v>
      </c>
      <c r="D37" s="7" t="s">
        <v>598</v>
      </c>
      <c r="E37" s="8" t="str">
        <f>SUBSTITUTE(B37,C37,D37)</f>
        <v>Northern Region</v>
      </c>
    </row>
    <row r="38" spans="2:5" x14ac:dyDescent="0.2">
      <c r="B38" s="7" t="s">
        <v>871</v>
      </c>
      <c r="C38" s="7" t="s">
        <v>1984</v>
      </c>
      <c r="D38" s="303" t="s">
        <v>1112</v>
      </c>
      <c r="E38" s="8" t="str">
        <f>SUBSTITUTE(B38,C38,D38)</f>
        <v>Northern area</v>
      </c>
    </row>
    <row r="39" spans="2:5" x14ac:dyDescent="0.2">
      <c r="B39" s="7" t="s">
        <v>871</v>
      </c>
      <c r="C39" s="303" t="s">
        <v>1111</v>
      </c>
      <c r="D39" s="303" t="s">
        <v>1112</v>
      </c>
      <c r="E39" s="8" t="str">
        <f>SUBSTITUTE(B39,C39,D39)</f>
        <v>Northern Region</v>
      </c>
    </row>
    <row r="40" spans="2:5" x14ac:dyDescent="0.2">
      <c r="E40" s="13" t="s">
        <v>1113</v>
      </c>
    </row>
    <row r="42" spans="2:5" x14ac:dyDescent="0.2">
      <c r="B42" t="s">
        <v>1114</v>
      </c>
    </row>
    <row r="44" spans="2:5" x14ac:dyDescent="0.2">
      <c r="B44" t="s">
        <v>1024</v>
      </c>
    </row>
    <row r="45" spans="2:5" ht="25.5" x14ac:dyDescent="0.2">
      <c r="B45" s="6" t="s">
        <v>1763</v>
      </c>
      <c r="C45" s="57" t="s">
        <v>864</v>
      </c>
      <c r="D45" s="57" t="s">
        <v>865</v>
      </c>
      <c r="E45" s="6" t="s">
        <v>866</v>
      </c>
    </row>
    <row r="46" spans="2:5" x14ac:dyDescent="0.2">
      <c r="B46" s="7" t="s">
        <v>871</v>
      </c>
      <c r="C46" s="7" t="s">
        <v>1984</v>
      </c>
      <c r="D46" s="7" t="s">
        <v>598</v>
      </c>
      <c r="E46" s="8" t="str">
        <f>SUBSTITUTE(PROPER(B46),PROPER(C46),PROPER(D46))</f>
        <v>Northern Area</v>
      </c>
    </row>
    <row r="47" spans="2:5" x14ac:dyDescent="0.2">
      <c r="B47" s="7" t="s">
        <v>1116</v>
      </c>
      <c r="C47" s="7" t="s">
        <v>1984</v>
      </c>
      <c r="D47" s="7" t="s">
        <v>598</v>
      </c>
      <c r="E47" s="8" t="str">
        <f>SUBSTITUTE(PROPER(B47),PROPER(C47),PROPER(D47))</f>
        <v>Northern Area</v>
      </c>
    </row>
    <row r="48" spans="2:5" x14ac:dyDescent="0.2">
      <c r="B48" s="7" t="s">
        <v>871</v>
      </c>
      <c r="C48" s="303" t="s">
        <v>1111</v>
      </c>
      <c r="D48" s="7" t="s">
        <v>598</v>
      </c>
      <c r="E48" s="8" t="str">
        <f>SUBSTITUTE(PROPER(B48),PROPER(C48),PROPER(D48))</f>
        <v>Northern Area</v>
      </c>
    </row>
    <row r="49" spans="2:5" x14ac:dyDescent="0.2">
      <c r="B49" s="7" t="s">
        <v>871</v>
      </c>
      <c r="C49" s="7" t="s">
        <v>1984</v>
      </c>
      <c r="D49" s="303" t="s">
        <v>1112</v>
      </c>
      <c r="E49" s="8" t="str">
        <f>SUBSTITUTE(PROPER(B49),PROPER(C49),PROPER(D49))</f>
        <v>Northern Area</v>
      </c>
    </row>
    <row r="50" spans="2:5" x14ac:dyDescent="0.2">
      <c r="B50" s="7" t="s">
        <v>871</v>
      </c>
      <c r="C50" s="303" t="s">
        <v>1111</v>
      </c>
      <c r="D50" s="303" t="s">
        <v>1112</v>
      </c>
      <c r="E50" s="8" t="str">
        <f>SUBSTITUTE(PROPER(B50),PROPER(C50),PROPER(D50))</f>
        <v>Northern Area</v>
      </c>
    </row>
    <row r="51" spans="2:5" x14ac:dyDescent="0.2">
      <c r="E51" s="4" t="s">
        <v>1115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L46"/>
  <sheetViews>
    <sheetView showGridLines="0" workbookViewId="0">
      <pane ySplit="1" topLeftCell="A2" activePane="bottomLeft" state="frozen"/>
      <selection activeCell="A3" sqref="A3"/>
      <selection pane="bottomLeft" activeCell="J6" sqref="J6"/>
    </sheetView>
  </sheetViews>
  <sheetFormatPr defaultRowHeight="12.75" x14ac:dyDescent="0.2"/>
  <cols>
    <col min="1" max="1" width="2.7109375" customWidth="1"/>
    <col min="4" max="7" width="8.7109375" customWidth="1"/>
    <col min="8" max="8" width="10" customWidth="1"/>
    <col min="10" max="10" width="9.5703125" customWidth="1"/>
    <col min="11" max="11" width="1.7109375" customWidth="1"/>
  </cols>
  <sheetData>
    <row r="1" spans="1:12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  <c r="L1" s="478"/>
    </row>
    <row r="3" spans="1:12" x14ac:dyDescent="0.2">
      <c r="C3" s="6" t="s">
        <v>3378</v>
      </c>
      <c r="E3" s="6" t="s">
        <v>3378</v>
      </c>
      <c r="G3" s="6" t="s">
        <v>3378</v>
      </c>
    </row>
    <row r="4" spans="1:12" x14ac:dyDescent="0.2">
      <c r="C4" s="7">
        <v>10</v>
      </c>
      <c r="E4" s="7">
        <v>10</v>
      </c>
      <c r="G4" s="7">
        <v>10</v>
      </c>
    </row>
    <row r="5" spans="1:12" x14ac:dyDescent="0.2">
      <c r="C5" s="7">
        <v>10</v>
      </c>
      <c r="E5" s="7">
        <v>10</v>
      </c>
      <c r="G5" s="7">
        <v>11</v>
      </c>
    </row>
    <row r="6" spans="1:12" x14ac:dyDescent="0.2">
      <c r="C6" s="7">
        <v>9</v>
      </c>
      <c r="E6" s="7">
        <v>11</v>
      </c>
      <c r="G6" s="7">
        <v>9</v>
      </c>
    </row>
    <row r="7" spans="1:12" x14ac:dyDescent="0.2">
      <c r="C7" s="7">
        <v>10</v>
      </c>
      <c r="E7" s="7">
        <v>10</v>
      </c>
      <c r="G7" s="7">
        <v>12</v>
      </c>
    </row>
    <row r="9" spans="1:12" x14ac:dyDescent="0.2">
      <c r="C9" s="8">
        <f>STDEVP(C4:C7)</f>
        <v>0.4330127018922193</v>
      </c>
      <c r="E9" s="8">
        <f>STDEVP(E4:E7)</f>
        <v>0.4330127018922193</v>
      </c>
      <c r="G9" s="8">
        <f>STDEVP(G4:G7)</f>
        <v>1.1180339887498949</v>
      </c>
    </row>
    <row r="10" spans="1:12" x14ac:dyDescent="0.2">
      <c r="C10" s="4" t="s">
        <v>845</v>
      </c>
      <c r="E10" s="4" t="s">
        <v>846</v>
      </c>
      <c r="G10" s="4" t="s">
        <v>847</v>
      </c>
    </row>
    <row r="12" spans="1:12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2" x14ac:dyDescent="0.2">
      <c r="B13" t="s">
        <v>848</v>
      </c>
    </row>
    <row r="14" spans="1:12" x14ac:dyDescent="0.2">
      <c r="B14" t="s">
        <v>849</v>
      </c>
    </row>
    <row r="16" spans="1:12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850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  <row r="22" spans="2:10" ht="13.5" thickBot="1" x14ac:dyDescent="0.25">
      <c r="B22" s="2" t="s">
        <v>1001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t="s">
        <v>1887</v>
      </c>
    </row>
    <row r="24" spans="2:10" x14ac:dyDescent="0.2">
      <c r="B24" t="s">
        <v>1888</v>
      </c>
    </row>
    <row r="25" spans="2:10" x14ac:dyDescent="0.2">
      <c r="B25" t="s">
        <v>851</v>
      </c>
    </row>
    <row r="26" spans="2:10" x14ac:dyDescent="0.2">
      <c r="B26" t="s">
        <v>852</v>
      </c>
    </row>
    <row r="27" spans="2:10" x14ac:dyDescent="0.2">
      <c r="B27" t="s">
        <v>853</v>
      </c>
    </row>
    <row r="28" spans="2:10" x14ac:dyDescent="0.2">
      <c r="B28" t="s">
        <v>854</v>
      </c>
    </row>
    <row r="30" spans="2:10" x14ac:dyDescent="0.2">
      <c r="D30" s="158" t="s">
        <v>1895</v>
      </c>
      <c r="E30" s="159"/>
      <c r="F30" s="159"/>
      <c r="G30" s="159"/>
      <c r="H30" s="160"/>
    </row>
    <row r="31" spans="2:10" x14ac:dyDescent="0.2">
      <c r="D31" s="6" t="s">
        <v>1019</v>
      </c>
      <c r="E31" s="6" t="s">
        <v>1020</v>
      </c>
      <c r="F31" s="6" t="s">
        <v>1021</v>
      </c>
      <c r="G31" s="6" t="s">
        <v>1896</v>
      </c>
      <c r="H31" s="6" t="s">
        <v>1897</v>
      </c>
    </row>
    <row r="32" spans="2:10" x14ac:dyDescent="0.2">
      <c r="C32" s="6" t="s">
        <v>1898</v>
      </c>
      <c r="D32" s="7">
        <v>1.4</v>
      </c>
      <c r="E32" s="7">
        <v>1.5</v>
      </c>
      <c r="F32" s="7">
        <v>1.6</v>
      </c>
      <c r="G32" s="7">
        <v>1.5</v>
      </c>
      <c r="H32" s="407">
        <f>STDEVP(D32:G32)</f>
        <v>7.0710678118654821E-2</v>
      </c>
      <c r="I32" s="13" t="s">
        <v>855</v>
      </c>
    </row>
    <row r="33" spans="2:11" x14ac:dyDescent="0.2">
      <c r="C33" s="6" t="s">
        <v>1900</v>
      </c>
      <c r="D33" s="7">
        <v>1.5</v>
      </c>
      <c r="E33" s="7">
        <v>1.5</v>
      </c>
      <c r="F33" s="7">
        <v>1.4</v>
      </c>
      <c r="G33" s="7">
        <v>1.5</v>
      </c>
      <c r="H33" s="407">
        <f>STDEVP(D33:G33)</f>
        <v>4.3301270189221974E-2</v>
      </c>
      <c r="I33" s="13" t="s">
        <v>856</v>
      </c>
    </row>
    <row r="34" spans="2:11" x14ac:dyDescent="0.2">
      <c r="C34" s="6" t="s">
        <v>702</v>
      </c>
      <c r="D34" s="7">
        <v>1.5</v>
      </c>
      <c r="E34" s="7">
        <v>1.6</v>
      </c>
      <c r="F34" s="7">
        <v>1.7</v>
      </c>
      <c r="G34" s="7">
        <v>1.8</v>
      </c>
      <c r="H34" s="407">
        <f>STDEVP(D34:G34)</f>
        <v>0.11180339887498948</v>
      </c>
      <c r="I34" s="13" t="s">
        <v>857</v>
      </c>
    </row>
    <row r="36" spans="2:11" x14ac:dyDescent="0.2">
      <c r="E36" s="20"/>
      <c r="F36" s="162"/>
      <c r="G36" s="21" t="s">
        <v>858</v>
      </c>
      <c r="H36" s="407">
        <f>MIN(H32:H34)</f>
        <v>4.3301270189221974E-2</v>
      </c>
      <c r="I36" s="13" t="s">
        <v>859</v>
      </c>
    </row>
    <row r="38" spans="2:11" x14ac:dyDescent="0.2">
      <c r="D38" s="20" t="s">
        <v>860</v>
      </c>
      <c r="E38" s="162"/>
      <c r="F38" s="162"/>
      <c r="G38" s="162"/>
      <c r="H38" s="8" t="str">
        <f>INDEX(C32:C34,MATCH(MIN(H32:H34),H32:H34,0))</f>
        <v>Machine 2</v>
      </c>
    </row>
    <row r="39" spans="2:11" x14ac:dyDescent="0.2">
      <c r="H39" s="66" t="s">
        <v>861</v>
      </c>
    </row>
    <row r="41" spans="2:11" ht="13.5" thickBot="1" x14ac:dyDescent="0.25">
      <c r="B41" s="2" t="s">
        <v>708</v>
      </c>
      <c r="C41" s="2"/>
      <c r="D41" s="2"/>
      <c r="E41" s="2"/>
      <c r="F41" s="2"/>
      <c r="G41" s="2"/>
      <c r="H41" s="2"/>
      <c r="I41" s="2"/>
      <c r="J41" s="2"/>
    </row>
    <row r="42" spans="2:11" x14ac:dyDescent="0.2">
      <c r="E42" s="88" t="s">
        <v>709</v>
      </c>
      <c r="F42" s="167" t="s">
        <v>862</v>
      </c>
    </row>
    <row r="43" spans="2:11" x14ac:dyDescent="0.2">
      <c r="E43" s="88" t="s">
        <v>841</v>
      </c>
      <c r="F43" s="167" t="s">
        <v>863</v>
      </c>
    </row>
    <row r="44" spans="2:11" x14ac:dyDescent="0.2">
      <c r="D44" s="88"/>
      <c r="E44" s="88" t="s">
        <v>843</v>
      </c>
      <c r="F44" s="167" t="s">
        <v>861</v>
      </c>
    </row>
    <row r="45" spans="2:11" x14ac:dyDescent="0.2">
      <c r="E45" s="88" t="s">
        <v>844</v>
      </c>
    </row>
    <row r="46" spans="2:11" x14ac:dyDescent="0.2">
      <c r="K46" s="287"/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6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K47"/>
  <sheetViews>
    <sheetView showGridLines="0" workbookViewId="0">
      <pane ySplit="1" topLeftCell="A2" activePane="bottomLeft" state="frozen"/>
      <selection activeCell="A3" sqref="A3"/>
      <selection pane="bottomLeft" activeCell="J5" sqref="J5"/>
    </sheetView>
  </sheetViews>
  <sheetFormatPr defaultRowHeight="12.75" x14ac:dyDescent="0.2"/>
  <cols>
    <col min="1" max="1" width="2.7109375" customWidth="1"/>
    <col min="7" max="7" width="9.7109375" customWidth="1"/>
    <col min="8" max="8" width="10" customWidth="1"/>
    <col min="10" max="10" width="7" customWidth="1"/>
  </cols>
  <sheetData>
    <row r="1" spans="1:11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6" t="s">
        <v>3378</v>
      </c>
      <c r="E3" s="6" t="s">
        <v>3378</v>
      </c>
      <c r="G3" s="6" t="s">
        <v>3378</v>
      </c>
    </row>
    <row r="4" spans="1:11" x14ac:dyDescent="0.2">
      <c r="C4" s="7">
        <v>10</v>
      </c>
      <c r="E4" s="7">
        <v>10</v>
      </c>
      <c r="G4" s="7">
        <v>10</v>
      </c>
    </row>
    <row r="5" spans="1:11" x14ac:dyDescent="0.2">
      <c r="C5" s="7">
        <v>10</v>
      </c>
      <c r="E5" s="7">
        <v>10</v>
      </c>
      <c r="G5" s="7">
        <v>11</v>
      </c>
    </row>
    <row r="6" spans="1:11" x14ac:dyDescent="0.2">
      <c r="C6" s="7">
        <v>9</v>
      </c>
      <c r="E6" s="7">
        <v>11</v>
      </c>
      <c r="G6" s="7">
        <v>9</v>
      </c>
    </row>
    <row r="7" spans="1:11" x14ac:dyDescent="0.2">
      <c r="C7" s="7">
        <v>10</v>
      </c>
      <c r="E7" s="7">
        <v>10</v>
      </c>
      <c r="G7" s="7">
        <v>12</v>
      </c>
    </row>
    <row r="9" spans="1:11" x14ac:dyDescent="0.2">
      <c r="C9" s="8">
        <f>STDEV(C4:C7)</f>
        <v>0.5</v>
      </c>
      <c r="E9" s="8">
        <f>STDEV(E4:E7)</f>
        <v>0.5</v>
      </c>
      <c r="G9" s="8">
        <f>STDEV(G4:G7)</f>
        <v>1.2909944487358056</v>
      </c>
    </row>
    <row r="10" spans="1:11" x14ac:dyDescent="0.2">
      <c r="C10" s="4" t="s">
        <v>928</v>
      </c>
      <c r="E10" s="4" t="s">
        <v>929</v>
      </c>
      <c r="G10" s="4" t="s">
        <v>1883</v>
      </c>
    </row>
    <row r="12" spans="1:11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1" x14ac:dyDescent="0.2">
      <c r="B13" t="s">
        <v>1884</v>
      </c>
    </row>
    <row r="14" spans="1:11" x14ac:dyDescent="0.2">
      <c r="B14" t="s">
        <v>1885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1886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  <row r="22" spans="2:10" ht="13.5" thickBot="1" x14ac:dyDescent="0.25">
      <c r="B22" s="2" t="s">
        <v>1001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t="s">
        <v>1887</v>
      </c>
    </row>
    <row r="24" spans="2:10" x14ac:dyDescent="0.2">
      <c r="B24" t="s">
        <v>1888</v>
      </c>
    </row>
    <row r="25" spans="2:10" x14ac:dyDescent="0.2">
      <c r="B25" t="s">
        <v>1889</v>
      </c>
    </row>
    <row r="26" spans="2:10" x14ac:dyDescent="0.2">
      <c r="B26" t="s">
        <v>1890</v>
      </c>
    </row>
    <row r="27" spans="2:10" x14ac:dyDescent="0.2">
      <c r="B27" t="s">
        <v>1891</v>
      </c>
    </row>
    <row r="28" spans="2:10" x14ac:dyDescent="0.2">
      <c r="B28" t="s">
        <v>1892</v>
      </c>
    </row>
    <row r="29" spans="2:10" x14ac:dyDescent="0.2">
      <c r="B29" t="s">
        <v>1893</v>
      </c>
    </row>
    <row r="30" spans="2:10" x14ac:dyDescent="0.2">
      <c r="B30" t="s">
        <v>1894</v>
      </c>
    </row>
    <row r="32" spans="2:10" x14ac:dyDescent="0.2">
      <c r="D32" s="158" t="s">
        <v>1895</v>
      </c>
      <c r="E32" s="159"/>
      <c r="F32" s="159"/>
      <c r="G32" s="159"/>
      <c r="H32" s="160"/>
    </row>
    <row r="33" spans="2:10" x14ac:dyDescent="0.2">
      <c r="D33" s="6" t="s">
        <v>1019</v>
      </c>
      <c r="E33" s="6" t="s">
        <v>1020</v>
      </c>
      <c r="F33" s="6" t="s">
        <v>1021</v>
      </c>
      <c r="G33" s="6" t="s">
        <v>1896</v>
      </c>
      <c r="H33" s="6" t="s">
        <v>1897</v>
      </c>
    </row>
    <row r="34" spans="2:10" x14ac:dyDescent="0.2">
      <c r="C34" s="6" t="s">
        <v>1898</v>
      </c>
      <c r="D34" s="7">
        <v>1.4</v>
      </c>
      <c r="E34" s="7">
        <v>1.5</v>
      </c>
      <c r="F34" s="7">
        <v>1.6</v>
      </c>
      <c r="G34" s="7">
        <v>1.5</v>
      </c>
      <c r="H34" s="407">
        <f>STDEV(D34:G34)</f>
        <v>8.1649658092772678E-2</v>
      </c>
      <c r="I34" s="13" t="s">
        <v>1899</v>
      </c>
    </row>
    <row r="35" spans="2:10" x14ac:dyDescent="0.2">
      <c r="C35" s="6" t="s">
        <v>1900</v>
      </c>
      <c r="D35" s="7">
        <v>1.5</v>
      </c>
      <c r="E35" s="7">
        <v>1.5</v>
      </c>
      <c r="F35" s="7">
        <v>1.4</v>
      </c>
      <c r="G35" s="7">
        <v>1.5</v>
      </c>
      <c r="H35" s="407">
        <f>STDEV(D35:G35)</f>
        <v>5.0000000000000044E-2</v>
      </c>
      <c r="I35" s="13" t="s">
        <v>701</v>
      </c>
    </row>
    <row r="36" spans="2:10" x14ac:dyDescent="0.2">
      <c r="C36" s="6" t="s">
        <v>702</v>
      </c>
      <c r="D36" s="7">
        <v>1.5</v>
      </c>
      <c r="E36" s="7">
        <v>1.6</v>
      </c>
      <c r="F36" s="7">
        <v>1.7</v>
      </c>
      <c r="G36" s="7">
        <v>1.8</v>
      </c>
      <c r="H36" s="407">
        <f>STDEV(D36:G36)</f>
        <v>0.12909944487358055</v>
      </c>
      <c r="I36" s="13" t="s">
        <v>703</v>
      </c>
    </row>
    <row r="38" spans="2:10" x14ac:dyDescent="0.2">
      <c r="E38" s="20"/>
      <c r="F38" s="162"/>
      <c r="G38" s="21" t="s">
        <v>704</v>
      </c>
      <c r="H38" s="407">
        <f>MIN(H34:H36)</f>
        <v>5.0000000000000044E-2</v>
      </c>
      <c r="I38" s="13" t="s">
        <v>705</v>
      </c>
    </row>
    <row r="40" spans="2:10" x14ac:dyDescent="0.2">
      <c r="D40" s="20"/>
      <c r="E40" s="162"/>
      <c r="F40" s="162"/>
      <c r="G40" s="79" t="s">
        <v>706</v>
      </c>
      <c r="H40" s="8" t="str">
        <f>INDEX(C34:C36,MATCH(MIN(H34:H36),H34:H36,0))</f>
        <v>Machine 2</v>
      </c>
    </row>
    <row r="41" spans="2:10" x14ac:dyDescent="0.2">
      <c r="H41" s="66" t="s">
        <v>707</v>
      </c>
    </row>
    <row r="43" spans="2:10" ht="13.5" thickBot="1" x14ac:dyDescent="0.25">
      <c r="B43" s="2" t="s">
        <v>708</v>
      </c>
      <c r="C43" s="2"/>
      <c r="D43" s="2"/>
      <c r="E43" s="2"/>
      <c r="F43" s="2"/>
      <c r="G43" s="2"/>
      <c r="H43" s="2"/>
      <c r="I43" s="2"/>
      <c r="J43" s="2"/>
    </row>
    <row r="44" spans="2:10" x14ac:dyDescent="0.2">
      <c r="E44" s="88" t="s">
        <v>709</v>
      </c>
      <c r="F44" s="167" t="s">
        <v>705</v>
      </c>
    </row>
    <row r="45" spans="2:10" x14ac:dyDescent="0.2">
      <c r="E45" s="88" t="s">
        <v>841</v>
      </c>
      <c r="F45" s="167" t="s">
        <v>842</v>
      </c>
    </row>
    <row r="46" spans="2:10" x14ac:dyDescent="0.2">
      <c r="D46" s="88"/>
      <c r="E46" s="88" t="s">
        <v>843</v>
      </c>
      <c r="F46" s="167" t="s">
        <v>707</v>
      </c>
    </row>
    <row r="47" spans="2:10" x14ac:dyDescent="0.2">
      <c r="E47" s="88" t="s">
        <v>844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8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J38"/>
  <sheetViews>
    <sheetView showGridLines="0" workbookViewId="0">
      <pane ySplit="1" topLeftCell="A2" activePane="bottomLeft" state="frozen"/>
      <selection activeCell="A3" sqref="A3"/>
      <selection pane="bottomLeft" activeCell="F8" sqref="F8"/>
    </sheetView>
  </sheetViews>
  <sheetFormatPr defaultRowHeight="12.75" x14ac:dyDescent="0.2"/>
  <cols>
    <col min="1" max="1" width="2.7109375" customWidth="1"/>
    <col min="5" max="5" width="16.140625" customWidth="1"/>
  </cols>
  <sheetData>
    <row r="1" spans="1:10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3378</v>
      </c>
      <c r="E3" s="79" t="s">
        <v>913</v>
      </c>
      <c r="F3" s="8">
        <f>SMALL(C4:C8,1)</f>
        <v>100</v>
      </c>
      <c r="G3" s="13" t="s">
        <v>914</v>
      </c>
    </row>
    <row r="4" spans="1:10" x14ac:dyDescent="0.2">
      <c r="C4" s="7">
        <v>120</v>
      </c>
      <c r="E4" s="79" t="s">
        <v>915</v>
      </c>
      <c r="F4" s="8">
        <f>SMALL(C4:C8,2)</f>
        <v>120</v>
      </c>
      <c r="G4" s="13" t="s">
        <v>916</v>
      </c>
    </row>
    <row r="5" spans="1:10" x14ac:dyDescent="0.2">
      <c r="C5" s="7">
        <v>800</v>
      </c>
      <c r="E5" s="79" t="s">
        <v>917</v>
      </c>
      <c r="F5" s="8">
        <f>SMALL(C4:C8,3)</f>
        <v>120</v>
      </c>
      <c r="G5" s="13" t="s">
        <v>918</v>
      </c>
    </row>
    <row r="6" spans="1:10" x14ac:dyDescent="0.2">
      <c r="C6" s="7">
        <v>100</v>
      </c>
      <c r="E6" s="79" t="s">
        <v>919</v>
      </c>
      <c r="F6" s="8">
        <f>SMALL(C4:C8,4)</f>
        <v>250</v>
      </c>
      <c r="G6" s="13" t="s">
        <v>920</v>
      </c>
    </row>
    <row r="7" spans="1:10" x14ac:dyDescent="0.2">
      <c r="C7" s="7">
        <v>120</v>
      </c>
      <c r="E7" s="79" t="s">
        <v>921</v>
      </c>
      <c r="F7" s="8">
        <f>SMALL(C4:C8,5)</f>
        <v>800</v>
      </c>
      <c r="G7" s="13" t="s">
        <v>922</v>
      </c>
    </row>
    <row r="8" spans="1:10" x14ac:dyDescent="0.2">
      <c r="C8" s="7">
        <v>250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3389</v>
      </c>
    </row>
    <row r="12" spans="1:10" x14ac:dyDescent="0.2">
      <c r="B12" t="s">
        <v>3390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923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  <row r="20" spans="2:9" ht="13.5" thickBot="1" x14ac:dyDescent="0.25">
      <c r="B20" s="2" t="s">
        <v>1001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924</v>
      </c>
    </row>
    <row r="23" spans="2:9" x14ac:dyDescent="0.2">
      <c r="C23" s="6" t="s">
        <v>1726</v>
      </c>
      <c r="D23" s="6" t="s">
        <v>3555</v>
      </c>
      <c r="E23" s="6" t="s">
        <v>3556</v>
      </c>
      <c r="F23" s="6" t="s">
        <v>3557</v>
      </c>
    </row>
    <row r="24" spans="2:9" x14ac:dyDescent="0.2">
      <c r="C24" s="6" t="s">
        <v>3356</v>
      </c>
      <c r="D24" s="83">
        <v>5000</v>
      </c>
      <c r="E24" s="83">
        <v>6000</v>
      </c>
      <c r="F24" s="83">
        <v>4500</v>
      </c>
    </row>
    <row r="25" spans="2:9" x14ac:dyDescent="0.2">
      <c r="C25" s="6" t="s">
        <v>3357</v>
      </c>
      <c r="D25" s="83">
        <v>5800</v>
      </c>
      <c r="E25" s="83">
        <v>7000</v>
      </c>
      <c r="F25" s="83">
        <v>3000</v>
      </c>
    </row>
    <row r="26" spans="2:9" x14ac:dyDescent="0.2">
      <c r="C26" s="6" t="s">
        <v>3358</v>
      </c>
      <c r="D26" s="83">
        <v>3500</v>
      </c>
      <c r="E26" s="83">
        <v>2000</v>
      </c>
      <c r="F26" s="83">
        <v>10000</v>
      </c>
    </row>
    <row r="27" spans="2:9" x14ac:dyDescent="0.2">
      <c r="C27" s="6" t="s">
        <v>3359</v>
      </c>
      <c r="D27" s="83">
        <v>12000</v>
      </c>
      <c r="E27" s="83">
        <v>4000</v>
      </c>
      <c r="F27" s="83">
        <v>6000</v>
      </c>
    </row>
    <row r="29" spans="2:9" x14ac:dyDescent="0.2">
      <c r="C29" s="20"/>
      <c r="D29" s="21" t="s">
        <v>913</v>
      </c>
      <c r="E29" s="252">
        <f>SMALL(D24:F27,1)</f>
        <v>2000</v>
      </c>
      <c r="F29" s="13" t="s">
        <v>925</v>
      </c>
    </row>
    <row r="30" spans="2:9" x14ac:dyDescent="0.2">
      <c r="C30" s="20"/>
      <c r="D30" s="21" t="s">
        <v>915</v>
      </c>
      <c r="E30" s="252">
        <f>SMALL(D24:F27,2)</f>
        <v>3000</v>
      </c>
      <c r="F30" s="13" t="s">
        <v>926</v>
      </c>
    </row>
    <row r="31" spans="2:9" x14ac:dyDescent="0.2">
      <c r="C31" s="20"/>
      <c r="D31" s="21" t="s">
        <v>917</v>
      </c>
      <c r="E31" s="252">
        <f>SMALL(D24:F27,3)</f>
        <v>3500</v>
      </c>
      <c r="F31" s="13" t="s">
        <v>927</v>
      </c>
    </row>
    <row r="33" spans="2:9" ht="13.5" thickBot="1" x14ac:dyDescent="0.25">
      <c r="B33" s="2" t="s">
        <v>2659</v>
      </c>
      <c r="C33" s="2"/>
      <c r="D33" s="2"/>
      <c r="E33" s="2"/>
      <c r="F33" s="2"/>
      <c r="G33" s="2"/>
      <c r="H33" s="2"/>
      <c r="I33" s="2"/>
    </row>
    <row r="34" spans="2:9" x14ac:dyDescent="0.2">
      <c r="B34" t="s">
        <v>3396</v>
      </c>
    </row>
    <row r="35" spans="2:9" x14ac:dyDescent="0.2">
      <c r="B35" t="s">
        <v>3397</v>
      </c>
    </row>
    <row r="37" spans="2:9" x14ac:dyDescent="0.2">
      <c r="D37" s="6" t="s">
        <v>3398</v>
      </c>
      <c r="E37" s="252">
        <f>MAX(D24:F27)</f>
        <v>12000</v>
      </c>
      <c r="F37" s="13" t="s">
        <v>3399</v>
      </c>
    </row>
    <row r="38" spans="2:9" x14ac:dyDescent="0.2">
      <c r="D38" s="6" t="s">
        <v>3400</v>
      </c>
      <c r="E38" s="252">
        <f>MIN(D24:F27)</f>
        <v>2000</v>
      </c>
      <c r="F38" s="13" t="s">
        <v>3401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J32"/>
  <sheetViews>
    <sheetView showGridLines="0" workbookViewId="0">
      <selection activeCell="I5" sqref="I5"/>
    </sheetView>
  </sheetViews>
  <sheetFormatPr defaultRowHeight="12.75" x14ac:dyDescent="0.2"/>
  <cols>
    <col min="1" max="1" width="2.7109375" customWidth="1"/>
    <col min="4" max="4" width="9.42578125" customWidth="1"/>
    <col min="5" max="5" width="13.42578125" customWidth="1"/>
    <col min="9" max="9" width="13.140625" customWidth="1"/>
  </cols>
  <sheetData>
    <row r="1" spans="1:10" ht="44.25" customHeight="1" x14ac:dyDescent="0.25">
      <c r="A1" s="515"/>
      <c r="B1" s="515"/>
      <c r="C1" s="515"/>
      <c r="D1" s="515"/>
      <c r="E1" s="515"/>
      <c r="F1" s="515"/>
      <c r="G1" s="515"/>
      <c r="H1" s="515"/>
      <c r="I1" s="515"/>
      <c r="J1" s="516"/>
    </row>
    <row r="3" spans="1:10" x14ac:dyDescent="0.2">
      <c r="D3" s="20"/>
      <c r="E3" s="59" t="s">
        <v>2755</v>
      </c>
      <c r="F3" s="302">
        <v>12000</v>
      </c>
    </row>
    <row r="4" spans="1:10" x14ac:dyDescent="0.2">
      <c r="D4" s="20"/>
      <c r="E4" s="59" t="s">
        <v>892</v>
      </c>
      <c r="F4" s="302">
        <v>2000</v>
      </c>
    </row>
    <row r="5" spans="1:10" x14ac:dyDescent="0.2">
      <c r="D5" s="20"/>
      <c r="E5" s="59" t="s">
        <v>893</v>
      </c>
      <c r="F5" s="406">
        <v>4</v>
      </c>
    </row>
    <row r="6" spans="1:10" x14ac:dyDescent="0.2">
      <c r="D6" s="20"/>
      <c r="E6" s="59" t="s">
        <v>894</v>
      </c>
      <c r="F6" s="253">
        <f>SLN(F3,F4,F5)</f>
        <v>2500</v>
      </c>
      <c r="G6" s="13" t="s">
        <v>895</v>
      </c>
    </row>
    <row r="9" spans="1:10" x14ac:dyDescent="0.2">
      <c r="C9" s="20"/>
      <c r="D9" s="162"/>
      <c r="E9" s="21" t="s">
        <v>896</v>
      </c>
      <c r="F9" s="302">
        <v>20000</v>
      </c>
    </row>
    <row r="10" spans="1:10" x14ac:dyDescent="0.2">
      <c r="C10" s="20"/>
      <c r="D10" s="162"/>
      <c r="E10" s="21" t="s">
        <v>897</v>
      </c>
      <c r="F10" s="302">
        <v>8000</v>
      </c>
    </row>
    <row r="11" spans="1:10" x14ac:dyDescent="0.2">
      <c r="C11" s="20"/>
      <c r="D11" s="162"/>
      <c r="E11" s="21" t="s">
        <v>898</v>
      </c>
      <c r="F11" s="406">
        <v>6</v>
      </c>
    </row>
    <row r="12" spans="1:10" x14ac:dyDescent="0.2">
      <c r="C12" s="20"/>
      <c r="D12" s="162"/>
      <c r="E12" s="21" t="s">
        <v>899</v>
      </c>
      <c r="F12" s="253">
        <f>SLN(F9,F10,F11)</f>
        <v>2000</v>
      </c>
      <c r="G12" s="13" t="s">
        <v>900</v>
      </c>
    </row>
    <row r="14" spans="1:10" ht="13.5" thickBot="1" x14ac:dyDescent="0.25">
      <c r="B14" s="2" t="s">
        <v>2865</v>
      </c>
      <c r="C14" s="2"/>
      <c r="D14" s="2"/>
      <c r="E14" s="2"/>
      <c r="F14" s="2"/>
      <c r="G14" s="2"/>
      <c r="H14" s="2"/>
      <c r="I14" s="2"/>
    </row>
    <row r="15" spans="1:10" x14ac:dyDescent="0.2">
      <c r="B15" t="s">
        <v>901</v>
      </c>
    </row>
    <row r="16" spans="1:10" x14ac:dyDescent="0.2">
      <c r="B16" t="s">
        <v>902</v>
      </c>
    </row>
    <row r="17" spans="2:9" x14ac:dyDescent="0.2">
      <c r="B17" t="s">
        <v>903</v>
      </c>
    </row>
    <row r="18" spans="2:9" x14ac:dyDescent="0.2">
      <c r="B18" t="s">
        <v>904</v>
      </c>
    </row>
    <row r="20" spans="2:9" x14ac:dyDescent="0.2">
      <c r="B20" t="s">
        <v>905</v>
      </c>
    </row>
    <row r="21" spans="2:9" x14ac:dyDescent="0.2">
      <c r="B21" t="s">
        <v>906</v>
      </c>
    </row>
    <row r="22" spans="2:9" x14ac:dyDescent="0.2">
      <c r="B22" t="s">
        <v>907</v>
      </c>
    </row>
    <row r="23" spans="2:9" x14ac:dyDescent="0.2">
      <c r="B23" t="s">
        <v>908</v>
      </c>
    </row>
    <row r="25" spans="2:9" ht="13.5" thickBot="1" x14ac:dyDescent="0.25">
      <c r="B25" s="2" t="s">
        <v>998</v>
      </c>
      <c r="C25" s="2"/>
      <c r="D25" s="2"/>
      <c r="E25" s="2"/>
      <c r="F25" s="2"/>
      <c r="G25" s="2"/>
      <c r="H25" s="2"/>
      <c r="I25" s="2"/>
    </row>
    <row r="26" spans="2:9" x14ac:dyDescent="0.2">
      <c r="B26" s="61" t="s">
        <v>909</v>
      </c>
    </row>
    <row r="27" spans="2:9" x14ac:dyDescent="0.2">
      <c r="B27" t="s">
        <v>910</v>
      </c>
    </row>
    <row r="28" spans="2:9" x14ac:dyDescent="0.2">
      <c r="B28" t="s">
        <v>911</v>
      </c>
    </row>
    <row r="29" spans="2:9" x14ac:dyDescent="0.2">
      <c r="B29" t="s">
        <v>912</v>
      </c>
    </row>
    <row r="31" spans="2:9" ht="13.5" thickBot="1" x14ac:dyDescent="0.25">
      <c r="B31" s="2" t="s">
        <v>3355</v>
      </c>
      <c r="C31" s="2"/>
      <c r="D31" s="2"/>
      <c r="E31" s="2"/>
      <c r="F31" s="2"/>
      <c r="G31" s="2"/>
      <c r="H31" s="2"/>
      <c r="I31" s="2"/>
    </row>
    <row r="32" spans="2:9" x14ac:dyDescent="0.2">
      <c r="B32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K21"/>
  <sheetViews>
    <sheetView showGridLines="0" workbookViewId="0">
      <pane ySplit="1" topLeftCell="A2" activePane="bottomLeft" state="frozen"/>
      <selection activeCell="A3" sqref="A3"/>
      <selection pane="bottomLeft" activeCell="H4" sqref="H4"/>
    </sheetView>
  </sheetViews>
  <sheetFormatPr defaultRowHeight="12.75" x14ac:dyDescent="0.2"/>
  <cols>
    <col min="1" max="1" width="2.7109375" customWidth="1"/>
    <col min="4" max="4" width="10.42578125" customWidth="1"/>
    <col min="10" max="10" width="7.140625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25.5" x14ac:dyDescent="0.2">
      <c r="C3" s="6" t="s">
        <v>1459</v>
      </c>
      <c r="D3" s="57" t="s">
        <v>2613</v>
      </c>
    </row>
    <row r="4" spans="1:11" x14ac:dyDescent="0.2">
      <c r="C4" s="50">
        <v>10</v>
      </c>
      <c r="D4" s="8">
        <f>SIGN(C4)</f>
        <v>1</v>
      </c>
      <c r="E4" s="13" t="s">
        <v>2614</v>
      </c>
    </row>
    <row r="5" spans="1:11" x14ac:dyDescent="0.2">
      <c r="C5" s="50">
        <v>20</v>
      </c>
      <c r="D5" s="8">
        <f>SIGN(C5)</f>
        <v>1</v>
      </c>
      <c r="E5" s="13" t="s">
        <v>2615</v>
      </c>
    </row>
    <row r="6" spans="1:11" x14ac:dyDescent="0.2">
      <c r="C6" s="50">
        <v>0</v>
      </c>
      <c r="D6" s="8">
        <f>SIGN(C6)</f>
        <v>0</v>
      </c>
      <c r="E6" s="13" t="s">
        <v>2616</v>
      </c>
    </row>
    <row r="7" spans="1:11" x14ac:dyDescent="0.2">
      <c r="C7" s="50">
        <v>-10</v>
      </c>
      <c r="D7" s="8">
        <f>SIGN(C7)</f>
        <v>-1</v>
      </c>
      <c r="E7" s="13" t="s">
        <v>884</v>
      </c>
    </row>
    <row r="8" spans="1:11" x14ac:dyDescent="0.2">
      <c r="C8" s="50">
        <v>-20</v>
      </c>
      <c r="D8" s="8">
        <f>SIGN(C8)</f>
        <v>-1</v>
      </c>
      <c r="E8" s="13" t="s">
        <v>885</v>
      </c>
    </row>
    <row r="10" spans="1:11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  <c r="J10" s="2"/>
    </row>
    <row r="11" spans="1:11" x14ac:dyDescent="0.2">
      <c r="B11" t="s">
        <v>886</v>
      </c>
    </row>
    <row r="12" spans="1:11" x14ac:dyDescent="0.2">
      <c r="B12" t="s">
        <v>887</v>
      </c>
    </row>
    <row r="13" spans="1:11" x14ac:dyDescent="0.2">
      <c r="B13" t="s">
        <v>888</v>
      </c>
    </row>
    <row r="14" spans="1:11" x14ac:dyDescent="0.2">
      <c r="B14" t="s">
        <v>889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890</v>
      </c>
    </row>
    <row r="18" spans="2:10" x14ac:dyDescent="0.2">
      <c r="B18" t="s">
        <v>891</v>
      </c>
    </row>
    <row r="20" spans="2:10" ht="13.5" thickBot="1" x14ac:dyDescent="0.25">
      <c r="B20" s="2" t="s">
        <v>3355</v>
      </c>
      <c r="C20" s="2"/>
      <c r="D20" s="2"/>
      <c r="E20" s="2"/>
      <c r="F20" s="2"/>
      <c r="G20" s="2"/>
      <c r="H20" s="2"/>
      <c r="I20" s="2"/>
      <c r="J20" s="2"/>
    </row>
    <row r="21" spans="2:10" x14ac:dyDescent="0.2">
      <c r="B21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I37"/>
  <sheetViews>
    <sheetView showGridLines="0" workbookViewId="0">
      <pane ySplit="1" topLeftCell="A16" activePane="bottomLeft" state="frozen"/>
      <selection activeCell="A3" sqref="A3"/>
      <selection pane="bottomLeft" activeCell="E34" sqref="E34"/>
    </sheetView>
  </sheetViews>
  <sheetFormatPr defaultRowHeight="12.75" x14ac:dyDescent="0.2"/>
  <cols>
    <col min="1" max="1" width="2.7109375" customWidth="1"/>
    <col min="3" max="3" width="18.28515625" customWidth="1"/>
    <col min="5" max="5" width="16.7109375" customWidth="1"/>
  </cols>
  <sheetData>
    <row r="1" spans="1:9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990</v>
      </c>
      <c r="D3" s="6" t="s">
        <v>1634</v>
      </c>
    </row>
    <row r="4" spans="1:9" x14ac:dyDescent="0.2">
      <c r="C4" s="403">
        <f ca="1">NOW()</f>
        <v>45434.404793518515</v>
      </c>
      <c r="D4" s="8">
        <f ca="1">SECOND(C4)</f>
        <v>54</v>
      </c>
      <c r="E4" s="13" t="s">
        <v>2593</v>
      </c>
    </row>
    <row r="5" spans="1:9" x14ac:dyDescent="0.2">
      <c r="C5" s="342">
        <v>0.5</v>
      </c>
      <c r="D5" s="8">
        <f>SECOND(C5)</f>
        <v>0</v>
      </c>
      <c r="E5" s="13" t="s">
        <v>2594</v>
      </c>
    </row>
    <row r="6" spans="1:9" x14ac:dyDescent="0.2">
      <c r="C6" s="254">
        <v>0.5</v>
      </c>
      <c r="D6" s="8">
        <f>SECOND(C6)</f>
        <v>0</v>
      </c>
      <c r="E6" s="13" t="s">
        <v>2595</v>
      </c>
    </row>
    <row r="7" spans="1:9" x14ac:dyDescent="0.2">
      <c r="C7" s="7">
        <v>0.51</v>
      </c>
      <c r="D7" s="8">
        <f>SECOND(C7)</f>
        <v>24</v>
      </c>
      <c r="E7" s="13" t="s">
        <v>2596</v>
      </c>
    </row>
    <row r="8" spans="1:9" x14ac:dyDescent="0.2">
      <c r="C8" s="7">
        <v>1.51</v>
      </c>
      <c r="D8" s="8">
        <f>SECOND(C8)</f>
        <v>24</v>
      </c>
      <c r="E8" s="13" t="s">
        <v>2597</v>
      </c>
    </row>
    <row r="10" spans="1:9" ht="13.5" thickBot="1" x14ac:dyDescent="0.25">
      <c r="B10" s="2" t="s">
        <v>3118</v>
      </c>
      <c r="C10" s="2"/>
      <c r="D10" s="2"/>
      <c r="E10" s="2"/>
      <c r="F10" s="2"/>
      <c r="G10" s="2"/>
      <c r="H10" s="2"/>
    </row>
    <row r="11" spans="1:9" x14ac:dyDescent="0.2">
      <c r="B11" t="s">
        <v>2598</v>
      </c>
    </row>
    <row r="12" spans="1:9" x14ac:dyDescent="0.2">
      <c r="B12" t="s">
        <v>2182</v>
      </c>
    </row>
    <row r="14" spans="1:9" ht="13.5" thickBot="1" x14ac:dyDescent="0.25">
      <c r="B14" s="2" t="s">
        <v>998</v>
      </c>
      <c r="C14" s="2"/>
      <c r="D14" s="2"/>
      <c r="E14" s="2"/>
      <c r="F14" s="2"/>
      <c r="G14" s="2"/>
      <c r="H14" s="2"/>
    </row>
    <row r="15" spans="1:9" x14ac:dyDescent="0.2">
      <c r="B15" s="61" t="s">
        <v>2599</v>
      </c>
    </row>
    <row r="17" spans="2:8" ht="13.5" thickBot="1" x14ac:dyDescent="0.25">
      <c r="B17" s="2" t="s">
        <v>3355</v>
      </c>
      <c r="C17" s="2"/>
      <c r="D17" s="2"/>
      <c r="E17" s="2"/>
      <c r="F17" s="2"/>
      <c r="G17" s="2"/>
      <c r="H17" s="2"/>
    </row>
    <row r="18" spans="2:8" x14ac:dyDescent="0.2">
      <c r="B18" t="s">
        <v>2184</v>
      </c>
    </row>
    <row r="20" spans="2:8" ht="13.5" thickBot="1" x14ac:dyDescent="0.25">
      <c r="B20" s="2" t="s">
        <v>1001</v>
      </c>
      <c r="C20" s="2"/>
      <c r="D20" s="2"/>
      <c r="E20" s="2"/>
      <c r="F20" s="2"/>
      <c r="G20" s="2"/>
      <c r="H20" s="2"/>
    </row>
    <row r="21" spans="2:8" x14ac:dyDescent="0.2">
      <c r="B21" t="s">
        <v>2600</v>
      </c>
    </row>
    <row r="22" spans="2:8" x14ac:dyDescent="0.2">
      <c r="B22" t="s">
        <v>2601</v>
      </c>
    </row>
    <row r="23" spans="2:8" x14ac:dyDescent="0.2">
      <c r="B23" t="s">
        <v>2602</v>
      </c>
    </row>
    <row r="24" spans="2:8" x14ac:dyDescent="0.2">
      <c r="B24" t="s">
        <v>2603</v>
      </c>
    </row>
    <row r="25" spans="2:8" x14ac:dyDescent="0.2">
      <c r="B25" t="s">
        <v>2604</v>
      </c>
    </row>
    <row r="26" spans="2:8" x14ac:dyDescent="0.2">
      <c r="B26" t="s">
        <v>2605</v>
      </c>
    </row>
    <row r="27" spans="2:8" x14ac:dyDescent="0.2">
      <c r="B27" t="s">
        <v>2606</v>
      </c>
    </row>
    <row r="28" spans="2:8" x14ac:dyDescent="0.2">
      <c r="B28" t="s">
        <v>2607</v>
      </c>
    </row>
    <row r="30" spans="2:8" x14ac:dyDescent="0.2">
      <c r="E30" s="79" t="s">
        <v>2608</v>
      </c>
      <c r="F30" s="404">
        <v>0.01</v>
      </c>
    </row>
    <row r="32" spans="2:8" x14ac:dyDescent="0.2">
      <c r="D32" s="158" t="s">
        <v>2609</v>
      </c>
      <c r="E32" s="160"/>
    </row>
    <row r="33" spans="3:6" x14ac:dyDescent="0.2">
      <c r="C33" s="6" t="s">
        <v>2492</v>
      </c>
      <c r="D33" s="6" t="s">
        <v>2610</v>
      </c>
      <c r="E33" s="6" t="s">
        <v>2611</v>
      </c>
      <c r="F33" s="6" t="s">
        <v>2755</v>
      </c>
    </row>
    <row r="34" spans="3:6" x14ac:dyDescent="0.2">
      <c r="C34" s="405">
        <v>7.8703703703703705E-4</v>
      </c>
      <c r="D34" s="8">
        <f>MINUTE(C34)</f>
        <v>1</v>
      </c>
      <c r="E34" s="8">
        <f>CEILING(SECOND(C34),5)</f>
        <v>10</v>
      </c>
      <c r="F34" s="187">
        <f>(D34*60*$F$30)+(E34*$F$30)</f>
        <v>0.7</v>
      </c>
    </row>
    <row r="35" spans="3:6" x14ac:dyDescent="0.2">
      <c r="C35" s="405">
        <v>1.423611111111111E-3</v>
      </c>
      <c r="D35" s="8">
        <f>MINUTE(C35)</f>
        <v>2</v>
      </c>
      <c r="E35" s="8">
        <f>CEILING(SECOND(C35),5)</f>
        <v>5</v>
      </c>
      <c r="F35" s="187">
        <f>(D35*60*$F$30)+(E35*$F$30)</f>
        <v>1.25</v>
      </c>
    </row>
    <row r="36" spans="3:6" x14ac:dyDescent="0.2">
      <c r="C36" s="405">
        <v>1.2384259259259258E-3</v>
      </c>
      <c r="D36" s="8">
        <f>MINUTE(C36)</f>
        <v>1</v>
      </c>
      <c r="E36" s="8">
        <f>CEILING(SECOND(C36),5)</f>
        <v>50</v>
      </c>
      <c r="F36" s="187">
        <f>(D36*60*$F$30)+(E36*$F$30)</f>
        <v>1.1000000000000001</v>
      </c>
    </row>
    <row r="37" spans="3:6" x14ac:dyDescent="0.2">
      <c r="E37" s="4" t="s">
        <v>2612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K20"/>
  <sheetViews>
    <sheetView showGridLines="0" workbookViewId="0">
      <pane ySplit="1" topLeftCell="A2" activePane="bottomLeft" state="frozen"/>
      <selection activeCell="A3" sqref="A3"/>
      <selection pane="bottomLeft" activeCell="H3" sqref="H3"/>
    </sheetView>
  </sheetViews>
  <sheetFormatPr defaultRowHeight="12.75" x14ac:dyDescent="0.2"/>
  <cols>
    <col min="1" max="1" width="2.7109375" customWidth="1"/>
    <col min="10" max="10" width="8.5703125" customWidth="1"/>
  </cols>
  <sheetData>
    <row r="1" spans="1:11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38.25" x14ac:dyDescent="0.2">
      <c r="C3" s="6" t="s">
        <v>990</v>
      </c>
      <c r="D3" s="57" t="s">
        <v>2561</v>
      </c>
      <c r="E3" s="57" t="s">
        <v>2583</v>
      </c>
    </row>
    <row r="4" spans="1:11" x14ac:dyDescent="0.2">
      <c r="C4" s="24">
        <v>1.4758899999999999</v>
      </c>
      <c r="D4" s="7">
        <v>0</v>
      </c>
      <c r="E4" s="25">
        <f t="shared" ref="E4:E9" si="0">ROUNDUP(C4,D4)</f>
        <v>2</v>
      </c>
      <c r="F4" s="13" t="s">
        <v>2584</v>
      </c>
    </row>
    <row r="5" spans="1:11" x14ac:dyDescent="0.2">
      <c r="C5" s="24">
        <v>1.4758899999999999</v>
      </c>
      <c r="D5" s="7">
        <v>1</v>
      </c>
      <c r="E5" s="25">
        <f t="shared" si="0"/>
        <v>1.5</v>
      </c>
      <c r="F5" s="13" t="s">
        <v>2585</v>
      </c>
    </row>
    <row r="6" spans="1:11" x14ac:dyDescent="0.2">
      <c r="C6" s="24">
        <v>1.4758899999999999</v>
      </c>
      <c r="D6" s="7">
        <v>2</v>
      </c>
      <c r="E6" s="25">
        <f t="shared" si="0"/>
        <v>1.48</v>
      </c>
      <c r="F6" s="13" t="s">
        <v>2586</v>
      </c>
    </row>
    <row r="7" spans="1:11" x14ac:dyDescent="0.2">
      <c r="C7" s="24">
        <v>13643.47589</v>
      </c>
      <c r="D7" s="7">
        <v>-1</v>
      </c>
      <c r="E7" s="25">
        <f t="shared" si="0"/>
        <v>13650</v>
      </c>
      <c r="F7" s="13" t="s">
        <v>2587</v>
      </c>
    </row>
    <row r="8" spans="1:11" x14ac:dyDescent="0.2">
      <c r="C8" s="24">
        <v>13643.47589</v>
      </c>
      <c r="D8" s="7">
        <v>-2</v>
      </c>
      <c r="E8" s="25">
        <f t="shared" si="0"/>
        <v>13700</v>
      </c>
      <c r="F8" s="13" t="s">
        <v>2588</v>
      </c>
    </row>
    <row r="9" spans="1:11" x14ac:dyDescent="0.2">
      <c r="C9" s="24">
        <v>13643.47589</v>
      </c>
      <c r="D9" s="7">
        <v>-3</v>
      </c>
      <c r="E9" s="25">
        <f t="shared" si="0"/>
        <v>14000</v>
      </c>
      <c r="F9" s="13" t="s">
        <v>2589</v>
      </c>
    </row>
    <row r="11" spans="1:11" ht="13.5" thickBot="1" x14ac:dyDescent="0.25">
      <c r="B11" s="2" t="s">
        <v>2865</v>
      </c>
      <c r="C11" s="2"/>
      <c r="D11" s="2"/>
      <c r="E11" s="2"/>
      <c r="F11" s="2"/>
      <c r="G11" s="2"/>
      <c r="H11" s="2"/>
      <c r="I11" s="2"/>
      <c r="J11" s="2"/>
    </row>
    <row r="12" spans="1:11" x14ac:dyDescent="0.2">
      <c r="B12" t="s">
        <v>2590</v>
      </c>
    </row>
    <row r="13" spans="1:11" x14ac:dyDescent="0.2">
      <c r="B13" t="s">
        <v>2591</v>
      </c>
    </row>
    <row r="14" spans="1:11" x14ac:dyDescent="0.2">
      <c r="B14" t="s">
        <v>2571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2592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K20"/>
  <sheetViews>
    <sheetView showGridLines="0" workbookViewId="0">
      <pane ySplit="1" topLeftCell="A2" activePane="bottomLeft" state="frozen"/>
      <selection activeCell="A3" sqref="A3"/>
      <selection pane="bottomLeft" activeCell="H4" sqref="H4"/>
    </sheetView>
  </sheetViews>
  <sheetFormatPr defaultRowHeight="12.75" x14ac:dyDescent="0.2"/>
  <cols>
    <col min="1" max="1" width="2.7109375" customWidth="1"/>
    <col min="10" max="10" width="8.5703125" customWidth="1"/>
  </cols>
  <sheetData>
    <row r="1" spans="1:11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38.25" x14ac:dyDescent="0.2">
      <c r="C3" s="6" t="s">
        <v>990</v>
      </c>
      <c r="D3" s="57" t="s">
        <v>2561</v>
      </c>
      <c r="E3" s="57" t="s">
        <v>2573</v>
      </c>
    </row>
    <row r="4" spans="1:11" x14ac:dyDescent="0.2">
      <c r="C4" s="24">
        <v>1.4758899999999999</v>
      </c>
      <c r="D4" s="7">
        <v>0</v>
      </c>
      <c r="E4" s="25">
        <f t="shared" ref="E4:E9" si="0">ROUNDDOWN(C4,D4)</f>
        <v>1</v>
      </c>
      <c r="F4" s="13" t="s">
        <v>2574</v>
      </c>
    </row>
    <row r="5" spans="1:11" x14ac:dyDescent="0.2">
      <c r="C5" s="24">
        <v>1.4758899999999999</v>
      </c>
      <c r="D5" s="7">
        <v>1</v>
      </c>
      <c r="E5" s="25">
        <f t="shared" si="0"/>
        <v>1.4</v>
      </c>
      <c r="F5" s="13" t="s">
        <v>2575</v>
      </c>
    </row>
    <row r="6" spans="1:11" x14ac:dyDescent="0.2">
      <c r="C6" s="24">
        <v>1.4758899999999999</v>
      </c>
      <c r="D6" s="7">
        <v>2</v>
      </c>
      <c r="E6" s="25">
        <f t="shared" si="0"/>
        <v>1.47</v>
      </c>
      <c r="F6" s="13" t="s">
        <v>2576</v>
      </c>
    </row>
    <row r="7" spans="1:11" x14ac:dyDescent="0.2">
      <c r="C7" s="24">
        <v>13643.47589</v>
      </c>
      <c r="D7" s="7">
        <v>-1</v>
      </c>
      <c r="E7" s="25">
        <f t="shared" si="0"/>
        <v>13640</v>
      </c>
      <c r="F7" s="13" t="s">
        <v>2577</v>
      </c>
    </row>
    <row r="8" spans="1:11" x14ac:dyDescent="0.2">
      <c r="C8" s="24">
        <v>13643.47589</v>
      </c>
      <c r="D8" s="7">
        <v>-2</v>
      </c>
      <c r="E8" s="25">
        <f t="shared" si="0"/>
        <v>13600</v>
      </c>
      <c r="F8" s="13" t="s">
        <v>2578</v>
      </c>
    </row>
    <row r="9" spans="1:11" x14ac:dyDescent="0.2">
      <c r="C9" s="24">
        <v>13643.47589</v>
      </c>
      <c r="D9" s="7">
        <v>-3</v>
      </c>
      <c r="E9" s="25">
        <f t="shared" si="0"/>
        <v>13000</v>
      </c>
      <c r="F9" s="13" t="s">
        <v>2579</v>
      </c>
    </row>
    <row r="11" spans="1:11" ht="13.5" thickBot="1" x14ac:dyDescent="0.25">
      <c r="B11" s="2" t="s">
        <v>2865</v>
      </c>
      <c r="C11" s="2"/>
      <c r="D11" s="2"/>
      <c r="E11" s="2"/>
      <c r="F11" s="2"/>
      <c r="G11" s="2"/>
      <c r="H11" s="2"/>
      <c r="I11" s="2"/>
      <c r="J11" s="2"/>
    </row>
    <row r="12" spans="1:11" x14ac:dyDescent="0.2">
      <c r="B12" t="s">
        <v>2580</v>
      </c>
    </row>
    <row r="13" spans="1:11" x14ac:dyDescent="0.2">
      <c r="B13" t="s">
        <v>2581</v>
      </c>
    </row>
    <row r="14" spans="1:11" x14ac:dyDescent="0.2">
      <c r="B14" t="s">
        <v>2571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2582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J20"/>
  <sheetViews>
    <sheetView showGridLines="0" workbookViewId="0">
      <pane ySplit="1" topLeftCell="A2" activePane="bottomLeft" state="frozen"/>
      <selection activeCell="A3" sqref="A3"/>
      <selection pane="bottomLeft" activeCell="J4" sqref="J4"/>
    </sheetView>
  </sheetViews>
  <sheetFormatPr defaultRowHeight="12.75" x14ac:dyDescent="0.2"/>
  <cols>
    <col min="1" max="1" width="2.7109375" customWidth="1"/>
    <col min="3" max="3" width="14.7109375" customWidth="1"/>
    <col min="9" max="9" width="11.7109375" customWidth="1"/>
  </cols>
  <sheetData>
    <row r="1" spans="1:10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38.25" x14ac:dyDescent="0.2">
      <c r="C3" s="6" t="s">
        <v>990</v>
      </c>
      <c r="D3" s="57" t="s">
        <v>2561</v>
      </c>
      <c r="E3" s="57" t="s">
        <v>2562</v>
      </c>
    </row>
    <row r="4" spans="1:10" x14ac:dyDescent="0.2">
      <c r="C4" s="24">
        <v>1.4758899999999999</v>
      </c>
      <c r="D4" s="7">
        <v>0</v>
      </c>
      <c r="E4" s="25">
        <f t="shared" ref="E4:E9" si="0">ROUND(C4,D4)</f>
        <v>1</v>
      </c>
      <c r="F4" s="13" t="s">
        <v>2563</v>
      </c>
    </row>
    <row r="5" spans="1:10" x14ac:dyDescent="0.2">
      <c r="C5" s="24">
        <v>1.4758899999999999</v>
      </c>
      <c r="D5" s="7">
        <v>1</v>
      </c>
      <c r="E5" s="25">
        <f t="shared" si="0"/>
        <v>1.5</v>
      </c>
      <c r="F5" s="13" t="s">
        <v>2564</v>
      </c>
    </row>
    <row r="6" spans="1:10" x14ac:dyDescent="0.2">
      <c r="C6" s="24">
        <v>1.4758899999999999</v>
      </c>
      <c r="D6" s="7">
        <v>2</v>
      </c>
      <c r="E6" s="25">
        <f t="shared" si="0"/>
        <v>1.48</v>
      </c>
      <c r="F6" s="13" t="s">
        <v>2565</v>
      </c>
    </row>
    <row r="7" spans="1:10" x14ac:dyDescent="0.2">
      <c r="C7" s="24">
        <v>13643.47589</v>
      </c>
      <c r="D7" s="7">
        <v>-1</v>
      </c>
      <c r="E7" s="25">
        <f t="shared" si="0"/>
        <v>13640</v>
      </c>
      <c r="F7" s="13" t="s">
        <v>2566</v>
      </c>
    </row>
    <row r="8" spans="1:10" x14ac:dyDescent="0.2">
      <c r="C8" s="24">
        <v>13643.47589</v>
      </c>
      <c r="D8" s="7">
        <v>-2</v>
      </c>
      <c r="E8" s="25">
        <f t="shared" si="0"/>
        <v>13600</v>
      </c>
      <c r="F8" s="13" t="s">
        <v>2567</v>
      </c>
    </row>
    <row r="9" spans="1:10" x14ac:dyDescent="0.2">
      <c r="C9" s="24">
        <v>13643.47589</v>
      </c>
      <c r="D9" s="7">
        <v>-3</v>
      </c>
      <c r="E9" s="25">
        <f t="shared" si="0"/>
        <v>14000</v>
      </c>
      <c r="F9" s="13" t="s">
        <v>2568</v>
      </c>
    </row>
    <row r="11" spans="1:10" ht="13.5" thickBot="1" x14ac:dyDescent="0.25">
      <c r="B11" s="2" t="s">
        <v>2865</v>
      </c>
      <c r="C11" s="2"/>
      <c r="D11" s="2"/>
      <c r="E11" s="2"/>
      <c r="F11" s="2"/>
      <c r="G11" s="2"/>
      <c r="H11" s="2"/>
      <c r="I11" s="2"/>
    </row>
    <row r="12" spans="1:10" x14ac:dyDescent="0.2">
      <c r="B12" t="s">
        <v>2569</v>
      </c>
    </row>
    <row r="13" spans="1:10" x14ac:dyDescent="0.2">
      <c r="B13" t="s">
        <v>2570</v>
      </c>
    </row>
    <row r="14" spans="1:10" x14ac:dyDescent="0.2">
      <c r="B14" t="s">
        <v>2571</v>
      </c>
    </row>
    <row r="16" spans="1:10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</row>
    <row r="17" spans="2:9" x14ac:dyDescent="0.2">
      <c r="B17" s="61" t="s">
        <v>2572</v>
      </c>
    </row>
    <row r="19" spans="2:9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</row>
    <row r="20" spans="2:9" x14ac:dyDescent="0.2">
      <c r="B20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J36"/>
  <sheetViews>
    <sheetView showGridLines="0" workbookViewId="0">
      <pane ySplit="1" topLeftCell="A2" activePane="bottomLeft" state="frozen"/>
      <selection activeCell="A3" sqref="A3"/>
      <selection pane="bottomLeft" activeCell="G3" sqref="G3"/>
    </sheetView>
  </sheetViews>
  <sheetFormatPr defaultRowHeight="12.75" x14ac:dyDescent="0.2"/>
  <cols>
    <col min="1" max="1" width="2.7109375" customWidth="1"/>
    <col min="4" max="4" width="12.42578125" customWidth="1"/>
    <col min="9" max="9" width="13.42578125" customWidth="1"/>
  </cols>
  <sheetData>
    <row r="1" spans="1:10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990</v>
      </c>
      <c r="D3" s="6" t="s">
        <v>2536</v>
      </c>
    </row>
    <row r="4" spans="1:10" x14ac:dyDescent="0.2">
      <c r="C4" s="24">
        <v>1</v>
      </c>
      <c r="D4" s="8" t="str">
        <f t="shared" ref="D4:D9" si="0">ROMAN(C4)</f>
        <v>I</v>
      </c>
      <c r="E4" s="13" t="s">
        <v>2537</v>
      </c>
    </row>
    <row r="5" spans="1:10" x14ac:dyDescent="0.2">
      <c r="C5" s="24">
        <v>2</v>
      </c>
      <c r="D5" s="8" t="str">
        <f t="shared" si="0"/>
        <v>II</v>
      </c>
      <c r="E5" s="13" t="s">
        <v>2538</v>
      </c>
    </row>
    <row r="6" spans="1:10" x14ac:dyDescent="0.2">
      <c r="C6" s="24">
        <v>3</v>
      </c>
      <c r="D6" s="8" t="str">
        <f t="shared" si="0"/>
        <v>III</v>
      </c>
      <c r="E6" s="13" t="s">
        <v>2539</v>
      </c>
    </row>
    <row r="7" spans="1:10" x14ac:dyDescent="0.2">
      <c r="C7" s="24">
        <v>5</v>
      </c>
      <c r="D7" s="8" t="str">
        <f t="shared" si="0"/>
        <v>V</v>
      </c>
      <c r="E7" s="13" t="s">
        <v>2540</v>
      </c>
    </row>
    <row r="8" spans="1:10" x14ac:dyDescent="0.2">
      <c r="C8" s="24">
        <v>10</v>
      </c>
      <c r="D8" s="8" t="str">
        <f t="shared" si="0"/>
        <v>X</v>
      </c>
      <c r="E8" s="13" t="s">
        <v>2541</v>
      </c>
    </row>
    <row r="9" spans="1:10" x14ac:dyDescent="0.2">
      <c r="C9" s="24">
        <v>1998</v>
      </c>
      <c r="D9" s="8" t="str">
        <f t="shared" si="0"/>
        <v>MCMXCVIII</v>
      </c>
      <c r="E9" s="13" t="s">
        <v>2542</v>
      </c>
    </row>
    <row r="10" spans="1:10" x14ac:dyDescent="0.2">
      <c r="C10" s="24">
        <v>1998</v>
      </c>
      <c r="D10" s="8" t="str">
        <f>ROMAN(C10,0)</f>
        <v>MCMXCVIII</v>
      </c>
      <c r="E10" s="13" t="s">
        <v>2543</v>
      </c>
    </row>
    <row r="11" spans="1:10" x14ac:dyDescent="0.2">
      <c r="C11" s="24">
        <v>1998</v>
      </c>
      <c r="D11" s="8" t="str">
        <f>ROMAN(C11,1)</f>
        <v>MLMVLIII</v>
      </c>
      <c r="E11" s="13" t="s">
        <v>2544</v>
      </c>
    </row>
    <row r="12" spans="1:10" x14ac:dyDescent="0.2">
      <c r="C12" s="24">
        <v>1998</v>
      </c>
      <c r="D12" s="8" t="str">
        <f>ROMAN(C12,2)</f>
        <v>MXMVIII</v>
      </c>
      <c r="E12" s="13" t="s">
        <v>2545</v>
      </c>
    </row>
    <row r="13" spans="1:10" x14ac:dyDescent="0.2">
      <c r="C13" s="24">
        <v>1998</v>
      </c>
      <c r="D13" s="8" t="str">
        <f>ROMAN(C13,3)</f>
        <v>MVMIII</v>
      </c>
      <c r="E13" s="13" t="s">
        <v>2546</v>
      </c>
    </row>
    <row r="14" spans="1:10" x14ac:dyDescent="0.2">
      <c r="C14" s="24">
        <v>1998</v>
      </c>
      <c r="D14" s="8" t="str">
        <f>ROMAN(C14,4)</f>
        <v>MVMIII</v>
      </c>
      <c r="E14" s="13" t="s">
        <v>2547</v>
      </c>
    </row>
    <row r="15" spans="1:10" x14ac:dyDescent="0.2">
      <c r="C15" s="24">
        <v>1998</v>
      </c>
      <c r="D15" s="8" t="str">
        <f>ROMAN(C15,TRUE)</f>
        <v>MCMXCVIII</v>
      </c>
      <c r="E15" s="13" t="s">
        <v>2548</v>
      </c>
    </row>
    <row r="16" spans="1:10" x14ac:dyDescent="0.2">
      <c r="C16" s="24">
        <v>1998</v>
      </c>
      <c r="D16" s="8" t="str">
        <f>ROMAN(C16,FALSE)</f>
        <v>MVMIII</v>
      </c>
      <c r="E16" s="13" t="s">
        <v>2549</v>
      </c>
    </row>
    <row r="18" spans="2:9" ht="13.5" thickBot="1" x14ac:dyDescent="0.25">
      <c r="B18" s="2" t="s">
        <v>2865</v>
      </c>
      <c r="C18" s="2"/>
      <c r="D18" s="2"/>
      <c r="E18" s="2"/>
      <c r="F18" s="2"/>
      <c r="G18" s="2"/>
      <c r="H18" s="2"/>
      <c r="I18" s="2"/>
    </row>
    <row r="19" spans="2:9" x14ac:dyDescent="0.2">
      <c r="B19" t="s">
        <v>2550</v>
      </c>
    </row>
    <row r="21" spans="2:9" ht="13.5" thickBot="1" x14ac:dyDescent="0.25">
      <c r="B21" s="2" t="s">
        <v>998</v>
      </c>
      <c r="C21" s="2"/>
      <c r="D21" s="2"/>
      <c r="E21" s="2"/>
      <c r="F21" s="2"/>
      <c r="G21" s="2"/>
      <c r="H21" s="2"/>
      <c r="I21" s="2"/>
    </row>
    <row r="22" spans="2:9" x14ac:dyDescent="0.2">
      <c r="B22" s="61" t="s">
        <v>2551</v>
      </c>
    </row>
    <row r="23" spans="2:9" x14ac:dyDescent="0.2">
      <c r="B23" t="s">
        <v>2552</v>
      </c>
    </row>
    <row r="24" spans="2:9" x14ac:dyDescent="0.2">
      <c r="B24" t="s">
        <v>2553</v>
      </c>
    </row>
    <row r="25" spans="2:9" x14ac:dyDescent="0.2">
      <c r="B25" t="s">
        <v>2554</v>
      </c>
    </row>
    <row r="26" spans="2:9" x14ac:dyDescent="0.2">
      <c r="B26" t="s">
        <v>2555</v>
      </c>
    </row>
    <row r="27" spans="2:9" x14ac:dyDescent="0.2">
      <c r="B27" t="s">
        <v>2556</v>
      </c>
    </row>
    <row r="28" spans="2:9" x14ac:dyDescent="0.2">
      <c r="B28" t="s">
        <v>2557</v>
      </c>
    </row>
    <row r="29" spans="2:9" x14ac:dyDescent="0.2">
      <c r="B29" t="s">
        <v>2558</v>
      </c>
    </row>
    <row r="30" spans="2:9" x14ac:dyDescent="0.2">
      <c r="B30" t="s">
        <v>2559</v>
      </c>
    </row>
    <row r="32" spans="2:9" ht="13.5" thickBot="1" x14ac:dyDescent="0.25">
      <c r="B32" s="2" t="s">
        <v>3355</v>
      </c>
      <c r="C32" s="2"/>
      <c r="D32" s="2"/>
      <c r="E32" s="2"/>
      <c r="F32" s="2"/>
      <c r="G32" s="2"/>
      <c r="H32" s="2"/>
      <c r="I32" s="2"/>
    </row>
    <row r="33" spans="2:9" x14ac:dyDescent="0.2">
      <c r="B33" t="s">
        <v>2424</v>
      </c>
    </row>
    <row r="35" spans="2:9" ht="13.5" thickBot="1" x14ac:dyDescent="0.25">
      <c r="B35" s="2" t="s">
        <v>2659</v>
      </c>
      <c r="C35" s="2"/>
      <c r="D35" s="2"/>
      <c r="E35" s="2"/>
      <c r="F35" s="2"/>
      <c r="G35" s="2"/>
      <c r="H35" s="2"/>
      <c r="I35" s="2"/>
    </row>
    <row r="36" spans="2:9" x14ac:dyDescent="0.2">
      <c r="B36" t="s">
        <v>2560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J30"/>
  <sheetViews>
    <sheetView showGridLines="0" workbookViewId="0">
      <pane ySplit="1" topLeftCell="A2" activePane="bottomLeft" state="frozen"/>
      <selection activeCell="A3" sqref="A3"/>
      <selection pane="bottomLeft" activeCell="F3" sqref="F3"/>
    </sheetView>
  </sheetViews>
  <sheetFormatPr defaultRowHeight="12.75" x14ac:dyDescent="0.2"/>
  <cols>
    <col min="1" max="1" width="2.7109375" customWidth="1"/>
    <col min="3" max="3" width="13" customWidth="1"/>
    <col min="4" max="4" width="13.42578125" customWidth="1"/>
    <col min="5" max="5" width="9.42578125" customWidth="1"/>
  </cols>
  <sheetData>
    <row r="1" spans="1:10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38.25" x14ac:dyDescent="0.2">
      <c r="C3" s="57" t="s">
        <v>270</v>
      </c>
      <c r="D3" s="57" t="s">
        <v>3409</v>
      </c>
      <c r="E3" s="57" t="s">
        <v>271</v>
      </c>
    </row>
    <row r="4" spans="1:10" x14ac:dyDescent="0.2">
      <c r="C4" s="7" t="s">
        <v>1908</v>
      </c>
      <c r="D4" s="7">
        <v>1</v>
      </c>
      <c r="E4" s="8" t="str">
        <f>RIGHT(C4,D4)</f>
        <v>s</v>
      </c>
      <c r="F4" s="13" t="s">
        <v>272</v>
      </c>
    </row>
    <row r="5" spans="1:10" x14ac:dyDescent="0.2">
      <c r="C5" s="7" t="s">
        <v>1908</v>
      </c>
      <c r="D5" s="7">
        <v>2</v>
      </c>
      <c r="E5" s="8" t="str">
        <f>RIGHT(C5,D5)</f>
        <v>es</v>
      </c>
      <c r="F5" s="13" t="s">
        <v>273</v>
      </c>
    </row>
    <row r="6" spans="1:10" x14ac:dyDescent="0.2">
      <c r="C6" s="7" t="s">
        <v>1908</v>
      </c>
      <c r="D6" s="7">
        <v>3</v>
      </c>
      <c r="E6" s="8" t="str">
        <f>RIGHT(C6,D6)</f>
        <v>nes</v>
      </c>
      <c r="F6" s="13" t="s">
        <v>2522</v>
      </c>
    </row>
    <row r="7" spans="1:10" x14ac:dyDescent="0.2">
      <c r="C7" s="7" t="s">
        <v>3414</v>
      </c>
      <c r="D7" s="7">
        <v>6</v>
      </c>
      <c r="E7" s="8" t="str">
        <f>RIGHT(C7,D7)</f>
        <v>ardiff</v>
      </c>
      <c r="F7" s="13" t="s">
        <v>2523</v>
      </c>
    </row>
    <row r="8" spans="1:10" x14ac:dyDescent="0.2">
      <c r="C8" s="7" t="s">
        <v>3416</v>
      </c>
      <c r="D8" s="7">
        <v>4</v>
      </c>
      <c r="E8" s="8" t="str">
        <f>RIGHT(C8,D8)</f>
        <v>C123</v>
      </c>
      <c r="F8" s="13" t="s">
        <v>2524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2525</v>
      </c>
    </row>
    <row r="12" spans="1:10" x14ac:dyDescent="0.2">
      <c r="B12" t="s">
        <v>3419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2526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  <row r="20" spans="2:9" ht="13.5" thickBot="1" x14ac:dyDescent="0.25">
      <c r="B20" s="2" t="s">
        <v>1001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2527</v>
      </c>
    </row>
    <row r="22" spans="2:9" x14ac:dyDescent="0.2">
      <c r="B22" t="s">
        <v>2528</v>
      </c>
    </row>
    <row r="23" spans="2:9" x14ac:dyDescent="0.2">
      <c r="B23" t="s">
        <v>2529</v>
      </c>
    </row>
    <row r="24" spans="2:9" x14ac:dyDescent="0.2">
      <c r="B24" t="s">
        <v>2530</v>
      </c>
    </row>
    <row r="25" spans="2:9" x14ac:dyDescent="0.2">
      <c r="B25" t="s">
        <v>2531</v>
      </c>
    </row>
    <row r="27" spans="2:9" x14ac:dyDescent="0.2">
      <c r="C27" s="299" t="s">
        <v>1906</v>
      </c>
      <c r="D27" s="299" t="s">
        <v>2532</v>
      </c>
    </row>
    <row r="28" spans="2:9" x14ac:dyDescent="0.2">
      <c r="C28" s="250" t="s">
        <v>1908</v>
      </c>
      <c r="D28" s="251" t="str">
        <f>RIGHT(C28,LEN(C28)-FIND(" ",C28))</f>
        <v>Jones</v>
      </c>
      <c r="E28" t="s">
        <v>2533</v>
      </c>
    </row>
    <row r="29" spans="2:9" x14ac:dyDescent="0.2">
      <c r="C29" s="250" t="s">
        <v>1910</v>
      </c>
      <c r="D29" s="251" t="str">
        <f>RIGHT(C29,LEN(C29)-FIND(" ",C29))</f>
        <v>Smith</v>
      </c>
      <c r="E29" t="s">
        <v>2534</v>
      </c>
    </row>
    <row r="30" spans="2:9" x14ac:dyDescent="0.2">
      <c r="C30" s="250" t="s">
        <v>1912</v>
      </c>
      <c r="D30" s="251" t="str">
        <f>RIGHT(C30,LEN(C30)-FIND(" ",C30))</f>
        <v>Williams</v>
      </c>
      <c r="E30" t="s">
        <v>2535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2">
    <pageSetUpPr fitToPage="1"/>
  </sheetPr>
  <dimension ref="A1:J45"/>
  <sheetViews>
    <sheetView showGridLines="0" workbookViewId="0">
      <pane ySplit="1" topLeftCell="A2" activePane="bottomLeft" state="frozen"/>
      <selection activeCell="A3" sqref="A3"/>
      <selection pane="bottomLeft" activeCell="H6" sqref="H6"/>
    </sheetView>
  </sheetViews>
  <sheetFormatPr defaultRowHeight="12.75" x14ac:dyDescent="0.2"/>
  <cols>
    <col min="1" max="1" width="2.7109375" customWidth="1"/>
    <col min="3" max="3" width="8.42578125" customWidth="1"/>
    <col min="4" max="4" width="10.28515625" customWidth="1"/>
    <col min="5" max="5" width="14" customWidth="1"/>
    <col min="9" max="9" width="12.28515625" customWidth="1"/>
  </cols>
  <sheetData>
    <row r="1" spans="1:10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25.5" x14ac:dyDescent="0.2">
      <c r="C3" s="57" t="s">
        <v>2106</v>
      </c>
      <c r="D3" s="57" t="s">
        <v>2107</v>
      </c>
      <c r="E3" s="57" t="s">
        <v>2108</v>
      </c>
    </row>
    <row r="4" spans="1:10" x14ac:dyDescent="0.2">
      <c r="C4" s="7" t="s">
        <v>1943</v>
      </c>
      <c r="D4" s="7">
        <v>3</v>
      </c>
      <c r="E4" s="8" t="str">
        <f>REPT(C4,D4)</f>
        <v>AAA</v>
      </c>
      <c r="F4" s="13" t="s">
        <v>2109</v>
      </c>
    </row>
    <row r="5" spans="1:10" x14ac:dyDescent="0.2">
      <c r="C5" s="7" t="s">
        <v>646</v>
      </c>
      <c r="D5" s="7">
        <v>3</v>
      </c>
      <c r="E5" s="8" t="str">
        <f>REPT(C5,D5)</f>
        <v>ABABAB</v>
      </c>
      <c r="F5" s="13" t="s">
        <v>2110</v>
      </c>
    </row>
    <row r="6" spans="1:10" x14ac:dyDescent="0.2">
      <c r="C6" s="7" t="s">
        <v>2111</v>
      </c>
      <c r="D6" s="7">
        <v>10</v>
      </c>
      <c r="E6" s="8" t="str">
        <f>REPT(C6,D6)</f>
        <v>----------</v>
      </c>
      <c r="F6" s="13" t="s">
        <v>2112</v>
      </c>
    </row>
    <row r="7" spans="1:10" x14ac:dyDescent="0.2">
      <c r="C7" s="7" t="s">
        <v>2113</v>
      </c>
      <c r="D7" s="7">
        <v>10</v>
      </c>
      <c r="E7" s="8" t="str">
        <f>REPT(C7,D7)</f>
        <v>||||||||||</v>
      </c>
      <c r="F7" s="13" t="s">
        <v>2114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2115</v>
      </c>
    </row>
    <row r="11" spans="1:10" x14ac:dyDescent="0.2">
      <c r="B11" t="s">
        <v>2116</v>
      </c>
    </row>
    <row r="13" spans="1:10" ht="13.5" thickBot="1" x14ac:dyDescent="0.25">
      <c r="B13" s="2" t="s">
        <v>998</v>
      </c>
      <c r="C13" s="2"/>
      <c r="D13" s="2"/>
      <c r="E13" s="2"/>
      <c r="F13" s="2"/>
      <c r="G13" s="2"/>
      <c r="H13" s="2"/>
      <c r="I13" s="2"/>
    </row>
    <row r="14" spans="1:10" x14ac:dyDescent="0.2">
      <c r="B14" s="61" t="s">
        <v>2117</v>
      </c>
    </row>
    <row r="15" spans="1:10" x14ac:dyDescent="0.2">
      <c r="B15" t="s">
        <v>2118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  <row r="20" spans="2:9" ht="13.5" thickBot="1" x14ac:dyDescent="0.25">
      <c r="B20" s="2" t="s">
        <v>1937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2119</v>
      </c>
    </row>
    <row r="22" spans="2:9" x14ac:dyDescent="0.2">
      <c r="B22" t="s">
        <v>2120</v>
      </c>
    </row>
    <row r="23" spans="2:9" x14ac:dyDescent="0.2">
      <c r="B23" t="s">
        <v>268</v>
      </c>
    </row>
    <row r="25" spans="2:9" x14ac:dyDescent="0.2">
      <c r="C25" s="6" t="s">
        <v>1722</v>
      </c>
      <c r="D25" s="6" t="s">
        <v>1726</v>
      </c>
    </row>
    <row r="26" spans="2:9" x14ac:dyDescent="0.2">
      <c r="C26" s="6" t="s">
        <v>3555</v>
      </c>
      <c r="D26" s="83">
        <v>1000</v>
      </c>
      <c r="E26" s="13" t="str">
        <f>REPT("||",D26/100)</f>
        <v>||||||||||||||||||||</v>
      </c>
    </row>
    <row r="27" spans="2:9" x14ac:dyDescent="0.2">
      <c r="C27" s="6" t="s">
        <v>3556</v>
      </c>
      <c r="D27" s="83">
        <v>5000</v>
      </c>
      <c r="E27" s="13" t="str">
        <f>REPT("||",D27/100)</f>
        <v>||||||||||||||||||||||||||||||||||||||||||||||||||||||||||||||||||||||||||||||||||||||||||||||||||||</v>
      </c>
    </row>
    <row r="28" spans="2:9" x14ac:dyDescent="0.2">
      <c r="C28" s="6" t="s">
        <v>3557</v>
      </c>
      <c r="D28" s="83">
        <v>3000</v>
      </c>
      <c r="E28" s="13" t="str">
        <f>REPT("||",D28/100)</f>
        <v>||||||||||||||||||||||||||||||||||||||||||||||||||||||||||||</v>
      </c>
    </row>
    <row r="29" spans="2:9" x14ac:dyDescent="0.2">
      <c r="C29" s="6" t="s">
        <v>1727</v>
      </c>
      <c r="D29" s="83">
        <v>2000</v>
      </c>
      <c r="E29" s="13" t="str">
        <f>REPT("||",D29/100)</f>
        <v>||||||||||||||||||||||||||||||||||||||||</v>
      </c>
    </row>
    <row r="30" spans="2:9" x14ac:dyDescent="0.2">
      <c r="E30" s="13" t="s">
        <v>269</v>
      </c>
    </row>
    <row r="32" spans="2:9" ht="13.5" thickBot="1" x14ac:dyDescent="0.25">
      <c r="B32" s="2" t="s">
        <v>1962</v>
      </c>
      <c r="C32" s="2"/>
      <c r="D32" s="2"/>
      <c r="E32" s="2"/>
      <c r="F32" s="2"/>
      <c r="G32" s="2"/>
      <c r="H32" s="2"/>
      <c r="I32" s="2"/>
    </row>
    <row r="33" spans="2:4" x14ac:dyDescent="0.2">
      <c r="B33" t="s">
        <v>2185</v>
      </c>
    </row>
    <row r="34" spans="2:4" x14ac:dyDescent="0.2">
      <c r="B34" t="s">
        <v>2186</v>
      </c>
    </row>
    <row r="35" spans="2:4" x14ac:dyDescent="0.2">
      <c r="B35" t="s">
        <v>2187</v>
      </c>
    </row>
    <row r="36" spans="2:4" x14ac:dyDescent="0.2">
      <c r="B36" t="s">
        <v>2188</v>
      </c>
    </row>
    <row r="38" spans="2:4" x14ac:dyDescent="0.2">
      <c r="C38" s="6" t="s">
        <v>2189</v>
      </c>
    </row>
    <row r="39" spans="2:4" x14ac:dyDescent="0.2">
      <c r="C39" s="79" t="s">
        <v>2190</v>
      </c>
      <c r="D39" s="13" t="str">
        <f ca="1">REPT("|",HOUR(NOW()))&amp;" "&amp;TEXT(HOUR(NOW()),"00")</f>
        <v>||||||||| 09</v>
      </c>
    </row>
    <row r="40" spans="2:4" x14ac:dyDescent="0.2">
      <c r="C40" s="79" t="s">
        <v>2191</v>
      </c>
      <c r="D40" s="13" t="str">
        <f ca="1">REPT("|",MINUTE(NOW()))&amp;" "&amp;TEXT(MINUTE(NOW()),"00")</f>
        <v>|||||||||||||||||||||||||||||||||||||||||| 42</v>
      </c>
    </row>
    <row r="41" spans="2:4" x14ac:dyDescent="0.2">
      <c r="C41" s="79" t="s">
        <v>2192</v>
      </c>
      <c r="D41" s="13" t="str">
        <f ca="1">REPT("|",SECOND(NOW()))&amp;" "&amp;TEXT(SECOND(NOW()),"00")</f>
        <v>|||||||||||||||||||||||||||||||||||||||||||||||||||||| 54</v>
      </c>
    </row>
    <row r="43" spans="2:4" x14ac:dyDescent="0.2">
      <c r="D43" s="13" t="s">
        <v>2193</v>
      </c>
    </row>
    <row r="44" spans="2:4" x14ac:dyDescent="0.2">
      <c r="D44" s="13" t="s">
        <v>2194</v>
      </c>
    </row>
    <row r="45" spans="2:4" x14ac:dyDescent="0.2">
      <c r="D45" s="13" t="s">
        <v>2195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J18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2" max="2" width="6.42578125" customWidth="1"/>
    <col min="3" max="3" width="12.28515625" customWidth="1"/>
    <col min="4" max="4" width="7.7109375" customWidth="1"/>
    <col min="5" max="5" width="10" customWidth="1"/>
    <col min="6" max="6" width="9" customWidth="1"/>
    <col min="7" max="7" width="13.28515625" customWidth="1"/>
    <col min="9" max="9" width="14.140625" customWidth="1"/>
  </cols>
  <sheetData>
    <row r="1" spans="1:10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38.25" x14ac:dyDescent="0.2">
      <c r="C3" s="6" t="s">
        <v>1763</v>
      </c>
      <c r="D3" s="57" t="s">
        <v>2294</v>
      </c>
      <c r="E3" s="57" t="s">
        <v>2093</v>
      </c>
      <c r="F3" s="57" t="s">
        <v>2094</v>
      </c>
      <c r="G3" s="57" t="s">
        <v>2095</v>
      </c>
    </row>
    <row r="4" spans="1:10" x14ac:dyDescent="0.2">
      <c r="C4" s="7" t="s">
        <v>2096</v>
      </c>
      <c r="D4" s="7">
        <v>2</v>
      </c>
      <c r="E4" s="7">
        <v>1</v>
      </c>
      <c r="F4" s="7" t="s">
        <v>2097</v>
      </c>
      <c r="G4" s="8" t="str">
        <f>REPLACE(C4,D4,E4,F4)</f>
        <v>AxCDEFGH</v>
      </c>
      <c r="H4" s="13" t="s">
        <v>2098</v>
      </c>
    </row>
    <row r="5" spans="1:10" x14ac:dyDescent="0.2">
      <c r="C5" s="7" t="s">
        <v>2096</v>
      </c>
      <c r="D5" s="7">
        <v>2</v>
      </c>
      <c r="E5" s="7">
        <v>5</v>
      </c>
      <c r="F5" s="7" t="s">
        <v>2097</v>
      </c>
      <c r="G5" s="8" t="str">
        <f>REPLACE(C5,D5,E5,F5)</f>
        <v>AxGH</v>
      </c>
      <c r="H5" s="13" t="s">
        <v>2099</v>
      </c>
    </row>
    <row r="6" spans="1:10" x14ac:dyDescent="0.2">
      <c r="C6" s="7" t="s">
        <v>2096</v>
      </c>
      <c r="D6" s="7">
        <v>2</v>
      </c>
      <c r="E6" s="7">
        <v>1</v>
      </c>
      <c r="F6" s="7" t="s">
        <v>1189</v>
      </c>
      <c r="G6" s="8" t="str">
        <f>REPLACE(C6,D6,E6,F6)</f>
        <v>AhelloCDEFGH</v>
      </c>
      <c r="H6" s="13" t="s">
        <v>2100</v>
      </c>
    </row>
    <row r="7" spans="1:10" x14ac:dyDescent="0.2">
      <c r="C7" s="7" t="s">
        <v>2096</v>
      </c>
      <c r="D7" s="7">
        <v>2</v>
      </c>
      <c r="E7" s="7">
        <v>5</v>
      </c>
      <c r="F7" s="7" t="s">
        <v>1189</v>
      </c>
      <c r="G7" s="8" t="str">
        <f>REPLACE(C7,D7,E7,F7)</f>
        <v>AhelloGH</v>
      </c>
      <c r="H7" s="13" t="s">
        <v>2101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2102</v>
      </c>
    </row>
    <row r="11" spans="1:10" x14ac:dyDescent="0.2">
      <c r="B11" t="s">
        <v>2103</v>
      </c>
    </row>
    <row r="12" spans="1:10" x14ac:dyDescent="0.2">
      <c r="B12" t="s">
        <v>2104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2105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J58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4" max="4" width="15" customWidth="1"/>
    <col min="9" max="9" width="11.85546875" customWidth="1"/>
  </cols>
  <sheetData>
    <row r="1" spans="1:10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38.25" x14ac:dyDescent="0.2">
      <c r="C3" s="6" t="s">
        <v>3378</v>
      </c>
      <c r="D3" s="57" t="s">
        <v>537</v>
      </c>
    </row>
    <row r="4" spans="1:10" x14ac:dyDescent="0.2">
      <c r="C4" s="7">
        <v>7</v>
      </c>
      <c r="D4" s="8">
        <f>RANK(C4,$C$4:$C$8)</f>
        <v>4</v>
      </c>
      <c r="E4" s="13" t="s">
        <v>538</v>
      </c>
    </row>
    <row r="5" spans="1:10" x14ac:dyDescent="0.2">
      <c r="C5" s="7">
        <v>4</v>
      </c>
      <c r="D5" s="8">
        <f>RANK(C5,$C$4:$C$8)</f>
        <v>5</v>
      </c>
      <c r="E5" s="13" t="s">
        <v>539</v>
      </c>
    </row>
    <row r="6" spans="1:10" x14ac:dyDescent="0.2">
      <c r="C6" s="7">
        <v>25</v>
      </c>
      <c r="D6" s="8">
        <f>RANK(C6,$C$4:$C$8)</f>
        <v>1</v>
      </c>
      <c r="E6" s="13" t="s">
        <v>540</v>
      </c>
    </row>
    <row r="7" spans="1:10" x14ac:dyDescent="0.2">
      <c r="C7" s="7">
        <v>8</v>
      </c>
      <c r="D7" s="8">
        <f>RANK(C7,$C$4:$C$8)</f>
        <v>3</v>
      </c>
      <c r="E7" s="13" t="s">
        <v>541</v>
      </c>
    </row>
    <row r="8" spans="1:10" x14ac:dyDescent="0.2">
      <c r="C8" s="7">
        <v>16</v>
      </c>
      <c r="D8" s="8">
        <f>RANK(C8,$C$4:$C$8)</f>
        <v>2</v>
      </c>
      <c r="E8" s="13" t="s">
        <v>542</v>
      </c>
    </row>
    <row r="10" spans="1:10" ht="38.25" x14ac:dyDescent="0.2">
      <c r="C10" s="6" t="s">
        <v>3378</v>
      </c>
      <c r="D10" s="57" t="s">
        <v>543</v>
      </c>
    </row>
    <row r="11" spans="1:10" x14ac:dyDescent="0.2">
      <c r="C11" s="7">
        <v>7</v>
      </c>
      <c r="D11" s="8">
        <f>RANK(C11,$C$11:$C$15,1)</f>
        <v>2</v>
      </c>
      <c r="E11" s="13" t="s">
        <v>544</v>
      </c>
    </row>
    <row r="12" spans="1:10" x14ac:dyDescent="0.2">
      <c r="C12" s="7">
        <v>4</v>
      </c>
      <c r="D12" s="8">
        <f>RANK(C12,$C$11:$C$15,1)</f>
        <v>1</v>
      </c>
      <c r="E12" s="13" t="s">
        <v>545</v>
      </c>
    </row>
    <row r="13" spans="1:10" x14ac:dyDescent="0.2">
      <c r="C13" s="7">
        <v>25</v>
      </c>
      <c r="D13" s="8">
        <f>RANK(C13,$C$11:$C$15,1)</f>
        <v>5</v>
      </c>
      <c r="E13" s="13" t="s">
        <v>546</v>
      </c>
    </row>
    <row r="14" spans="1:10" x14ac:dyDescent="0.2">
      <c r="C14" s="7">
        <v>8</v>
      </c>
      <c r="D14" s="8">
        <f>RANK(C14,$C$11:$C$15,1)</f>
        <v>3</v>
      </c>
      <c r="E14" s="13" t="s">
        <v>547</v>
      </c>
    </row>
    <row r="15" spans="1:10" x14ac:dyDescent="0.2">
      <c r="C15" s="7">
        <v>16</v>
      </c>
      <c r="D15" s="8">
        <f>RANK(C15,$C$11:$C$15,1)</f>
        <v>4</v>
      </c>
      <c r="E15" s="13" t="s">
        <v>548</v>
      </c>
    </row>
    <row r="17" spans="2:9" ht="38.25" x14ac:dyDescent="0.2">
      <c r="C17" s="6" t="s">
        <v>3378</v>
      </c>
      <c r="D17" s="57" t="s">
        <v>537</v>
      </c>
    </row>
    <row r="18" spans="2:9" x14ac:dyDescent="0.2">
      <c r="C18" s="7">
        <v>10</v>
      </c>
      <c r="D18" s="8">
        <f>RANK(C18,$C$18:$C$22)</f>
        <v>5</v>
      </c>
      <c r="E18" s="13" t="s">
        <v>549</v>
      </c>
    </row>
    <row r="19" spans="2:9" x14ac:dyDescent="0.2">
      <c r="C19" s="7">
        <v>30</v>
      </c>
      <c r="D19" s="8">
        <f>RANK(C19,$C$18:$C$22)</f>
        <v>2</v>
      </c>
      <c r="E19" s="13" t="s">
        <v>550</v>
      </c>
    </row>
    <row r="20" spans="2:9" x14ac:dyDescent="0.2">
      <c r="C20" s="7">
        <v>20</v>
      </c>
      <c r="D20" s="8">
        <f>RANK(C20,$C$18:$C$22)</f>
        <v>4</v>
      </c>
      <c r="E20" s="13" t="s">
        <v>551</v>
      </c>
    </row>
    <row r="21" spans="2:9" x14ac:dyDescent="0.2">
      <c r="C21" s="7">
        <v>30</v>
      </c>
      <c r="D21" s="8">
        <f>RANK(C21,$C$18:$C$22)</f>
        <v>2</v>
      </c>
      <c r="E21" s="13" t="s">
        <v>552</v>
      </c>
    </row>
    <row r="22" spans="2:9" x14ac:dyDescent="0.2">
      <c r="C22" s="7">
        <v>40</v>
      </c>
      <c r="D22" s="8">
        <f>RANK(C22,$C$18:$C$22)</f>
        <v>1</v>
      </c>
      <c r="E22" s="13" t="s">
        <v>553</v>
      </c>
    </row>
    <row r="24" spans="2:9" ht="13.5" thickBot="1" x14ac:dyDescent="0.25">
      <c r="B24" s="2" t="s">
        <v>2865</v>
      </c>
      <c r="C24" s="2"/>
      <c r="D24" s="2"/>
      <c r="E24" s="2"/>
      <c r="F24" s="2"/>
      <c r="G24" s="2"/>
      <c r="H24" s="2"/>
      <c r="I24" s="2"/>
    </row>
    <row r="25" spans="2:9" x14ac:dyDescent="0.2">
      <c r="B25" t="s">
        <v>554</v>
      </c>
    </row>
    <row r="26" spans="2:9" x14ac:dyDescent="0.2">
      <c r="B26" t="s">
        <v>555</v>
      </c>
    </row>
    <row r="27" spans="2:9" x14ac:dyDescent="0.2">
      <c r="B27" t="s">
        <v>556</v>
      </c>
    </row>
    <row r="28" spans="2:9" x14ac:dyDescent="0.2">
      <c r="B28" t="s">
        <v>557</v>
      </c>
    </row>
    <row r="29" spans="2:9" x14ac:dyDescent="0.2">
      <c r="B29" t="s">
        <v>2067</v>
      </c>
    </row>
    <row r="30" spans="2:9" x14ac:dyDescent="0.2">
      <c r="B30" t="s">
        <v>2068</v>
      </c>
    </row>
    <row r="31" spans="2:9" x14ac:dyDescent="0.2">
      <c r="B31" t="s">
        <v>2069</v>
      </c>
    </row>
    <row r="33" spans="2:9" x14ac:dyDescent="0.2">
      <c r="B33" s="6" t="s">
        <v>1459</v>
      </c>
      <c r="C33" s="6" t="s">
        <v>2070</v>
      </c>
    </row>
    <row r="34" spans="2:9" x14ac:dyDescent="0.2">
      <c r="B34" s="7">
        <v>30</v>
      </c>
      <c r="C34" s="8">
        <f>RANK(B34,$B$34:$B$37)</f>
        <v>1</v>
      </c>
      <c r="D34" s="13" t="s">
        <v>2071</v>
      </c>
    </row>
    <row r="35" spans="2:9" x14ac:dyDescent="0.2">
      <c r="B35" s="7">
        <v>20</v>
      </c>
      <c r="C35" s="8">
        <f>RANK(B35,$B$34:$B$37)</f>
        <v>2</v>
      </c>
      <c r="D35" s="13" t="s">
        <v>2072</v>
      </c>
    </row>
    <row r="36" spans="2:9" x14ac:dyDescent="0.2">
      <c r="B36" s="7">
        <v>20</v>
      </c>
      <c r="C36" s="8">
        <f>RANK(B36,$B$34:$B$37)</f>
        <v>2</v>
      </c>
      <c r="D36" s="13" t="s">
        <v>2073</v>
      </c>
    </row>
    <row r="37" spans="2:9" x14ac:dyDescent="0.2">
      <c r="B37" s="7">
        <v>10</v>
      </c>
      <c r="C37" s="8">
        <f>RANK(B37,$B$34:$B$37)</f>
        <v>4</v>
      </c>
      <c r="D37" s="13" t="s">
        <v>2074</v>
      </c>
    </row>
    <row r="39" spans="2:9" ht="13.5" thickBot="1" x14ac:dyDescent="0.25">
      <c r="B39" s="2" t="s">
        <v>998</v>
      </c>
      <c r="C39" s="2"/>
      <c r="D39" s="2"/>
      <c r="E39" s="2"/>
      <c r="F39" s="2"/>
      <c r="G39" s="2"/>
      <c r="H39" s="2"/>
      <c r="I39" s="2"/>
    </row>
    <row r="40" spans="2:9" x14ac:dyDescent="0.2">
      <c r="B40" s="61" t="s">
        <v>2075</v>
      </c>
    </row>
    <row r="41" spans="2:9" x14ac:dyDescent="0.2">
      <c r="B41" t="s">
        <v>2076</v>
      </c>
    </row>
    <row r="42" spans="2:9" x14ac:dyDescent="0.2">
      <c r="B42" t="s">
        <v>2077</v>
      </c>
    </row>
    <row r="43" spans="2:9" x14ac:dyDescent="0.2">
      <c r="B43" t="s">
        <v>2078</v>
      </c>
    </row>
    <row r="45" spans="2:9" ht="13.5" thickBot="1" x14ac:dyDescent="0.25">
      <c r="B45" s="2" t="s">
        <v>3355</v>
      </c>
      <c r="C45" s="2"/>
      <c r="D45" s="2"/>
      <c r="E45" s="2"/>
      <c r="F45" s="2"/>
      <c r="G45" s="2"/>
      <c r="H45" s="2"/>
      <c r="I45" s="2"/>
    </row>
    <row r="46" spans="2:9" x14ac:dyDescent="0.2">
      <c r="B46" t="s">
        <v>2424</v>
      </c>
    </row>
    <row r="48" spans="2:9" ht="13.5" thickBot="1" x14ac:dyDescent="0.25">
      <c r="B48" s="2" t="s">
        <v>1001</v>
      </c>
      <c r="C48" s="2"/>
      <c r="D48" s="2"/>
      <c r="E48" s="2"/>
      <c r="F48" s="2"/>
      <c r="G48" s="2"/>
      <c r="H48" s="2"/>
      <c r="I48" s="2"/>
    </row>
    <row r="49" spans="2:5" x14ac:dyDescent="0.2">
      <c r="B49" t="s">
        <v>2079</v>
      </c>
    </row>
    <row r="50" spans="2:5" x14ac:dyDescent="0.2">
      <c r="B50" t="s">
        <v>2080</v>
      </c>
    </row>
    <row r="52" spans="2:5" x14ac:dyDescent="0.2">
      <c r="B52" s="6" t="s">
        <v>2081</v>
      </c>
      <c r="C52" s="6" t="s">
        <v>3769</v>
      </c>
      <c r="D52" s="6" t="s">
        <v>2082</v>
      </c>
    </row>
    <row r="53" spans="2:5" x14ac:dyDescent="0.2">
      <c r="B53" s="7" t="s">
        <v>2083</v>
      </c>
      <c r="C53" s="12">
        <v>6.25E-2</v>
      </c>
      <c r="D53" s="8">
        <f t="shared" ref="D53:D58" si="0">RANK(C53,$C$53:$C$58,1)</f>
        <v>4</v>
      </c>
      <c r="E53" s="13" t="s">
        <v>2084</v>
      </c>
    </row>
    <row r="54" spans="2:5" x14ac:dyDescent="0.2">
      <c r="B54" s="7" t="s">
        <v>3361</v>
      </c>
      <c r="C54" s="12">
        <v>7.2916666666666671E-2</v>
      </c>
      <c r="D54" s="8">
        <f t="shared" si="0"/>
        <v>6</v>
      </c>
      <c r="E54" s="13" t="s">
        <v>2085</v>
      </c>
    </row>
    <row r="55" spans="2:5" x14ac:dyDescent="0.2">
      <c r="B55" s="7" t="s">
        <v>1952</v>
      </c>
      <c r="C55" s="12">
        <v>4.3055555555555562E-2</v>
      </c>
      <c r="D55" s="8">
        <f t="shared" si="0"/>
        <v>1</v>
      </c>
      <c r="E55" s="13" t="s">
        <v>2086</v>
      </c>
    </row>
    <row r="56" spans="2:5" x14ac:dyDescent="0.2">
      <c r="B56" s="7" t="s">
        <v>2087</v>
      </c>
      <c r="C56" s="12">
        <v>6.6666666666666666E-2</v>
      </c>
      <c r="D56" s="8">
        <f t="shared" si="0"/>
        <v>5</v>
      </c>
      <c r="E56" s="13" t="s">
        <v>2088</v>
      </c>
    </row>
    <row r="57" spans="2:5" x14ac:dyDescent="0.2">
      <c r="B57" s="7" t="s">
        <v>2089</v>
      </c>
      <c r="C57" s="12">
        <v>6.0416666666666667E-2</v>
      </c>
      <c r="D57" s="8">
        <f t="shared" si="0"/>
        <v>3</v>
      </c>
      <c r="E57" s="13" t="s">
        <v>2090</v>
      </c>
    </row>
    <row r="58" spans="2:5" x14ac:dyDescent="0.2">
      <c r="B58" s="7" t="s">
        <v>2091</v>
      </c>
      <c r="C58" s="12">
        <v>4.3749999999999997E-2</v>
      </c>
      <c r="D58" s="8">
        <f t="shared" si="0"/>
        <v>2</v>
      </c>
      <c r="E58" s="13" t="s">
        <v>2092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J36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5" max="5" width="12.85546875" customWidth="1"/>
    <col min="8" max="8" width="11.28515625" customWidth="1"/>
    <col min="9" max="9" width="12.85546875" customWidth="1"/>
  </cols>
  <sheetData>
    <row r="1" spans="1:10" ht="50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511</v>
      </c>
      <c r="D3" s="6" t="s">
        <v>512</v>
      </c>
      <c r="E3" s="6" t="s">
        <v>457</v>
      </c>
    </row>
    <row r="4" spans="1:10" x14ac:dyDescent="0.2">
      <c r="C4" s="7">
        <v>5</v>
      </c>
      <c r="D4" s="7">
        <v>10</v>
      </c>
      <c r="E4" s="8">
        <f ca="1">RANDBETWEEN(C4,D4)</f>
        <v>7</v>
      </c>
      <c r="F4" s="13" t="s">
        <v>513</v>
      </c>
    </row>
    <row r="5" spans="1:10" x14ac:dyDescent="0.2">
      <c r="C5" s="7">
        <v>1</v>
      </c>
      <c r="D5" s="7">
        <v>49</v>
      </c>
      <c r="E5" s="8">
        <f ca="1">RANDBETWEEN(C5,D5)</f>
        <v>21</v>
      </c>
      <c r="F5" s="13" t="s">
        <v>514</v>
      </c>
    </row>
    <row r="7" spans="1:10" ht="13.5" thickBot="1" x14ac:dyDescent="0.25">
      <c r="B7" s="2" t="s">
        <v>2865</v>
      </c>
      <c r="C7" s="2"/>
      <c r="D7" s="2"/>
      <c r="E7" s="2"/>
      <c r="F7" s="2"/>
      <c r="G7" s="2"/>
      <c r="H7" s="2"/>
      <c r="I7" s="2"/>
    </row>
    <row r="8" spans="1:10" x14ac:dyDescent="0.2">
      <c r="B8" t="s">
        <v>515</v>
      </c>
    </row>
    <row r="9" spans="1:10" x14ac:dyDescent="0.2">
      <c r="B9" t="s">
        <v>516</v>
      </c>
    </row>
    <row r="11" spans="1:10" ht="13.5" thickBot="1" x14ac:dyDescent="0.25">
      <c r="B11" s="2" t="s">
        <v>998</v>
      </c>
      <c r="C11" s="2"/>
      <c r="D11" s="2"/>
      <c r="E11" s="2"/>
      <c r="F11" s="2"/>
      <c r="G11" s="2"/>
      <c r="H11" s="2"/>
      <c r="I11" s="2"/>
    </row>
    <row r="12" spans="1:10" x14ac:dyDescent="0.2">
      <c r="B12" s="61" t="s">
        <v>517</v>
      </c>
    </row>
    <row r="14" spans="1:10" ht="13.5" thickBot="1" x14ac:dyDescent="0.25">
      <c r="B14" s="2" t="s">
        <v>3355</v>
      </c>
      <c r="C14" s="2"/>
      <c r="D14" s="2"/>
      <c r="E14" s="2"/>
      <c r="F14" s="2"/>
      <c r="G14" s="2"/>
      <c r="H14" s="2"/>
      <c r="I14" s="2"/>
    </row>
    <row r="15" spans="1:10" x14ac:dyDescent="0.2">
      <c r="B15" t="s">
        <v>2424</v>
      </c>
    </row>
    <row r="17" spans="2:9" ht="13.5" thickBot="1" x14ac:dyDescent="0.25">
      <c r="B17" s="2" t="s">
        <v>1001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518</v>
      </c>
    </row>
    <row r="19" spans="2:9" x14ac:dyDescent="0.2">
      <c r="B19" t="s">
        <v>519</v>
      </c>
    </row>
    <row r="20" spans="2:9" x14ac:dyDescent="0.2">
      <c r="B20" t="s">
        <v>520</v>
      </c>
    </row>
    <row r="21" spans="2:9" x14ac:dyDescent="0.2">
      <c r="B21" t="s">
        <v>521</v>
      </c>
    </row>
    <row r="23" spans="2:9" ht="25.5" x14ac:dyDescent="0.2">
      <c r="C23" s="158" t="s">
        <v>522</v>
      </c>
      <c r="D23" s="160"/>
      <c r="E23" s="57" t="s">
        <v>523</v>
      </c>
    </row>
    <row r="24" spans="2:9" x14ac:dyDescent="0.2">
      <c r="C24" s="7">
        <v>1</v>
      </c>
      <c r="D24" s="7">
        <v>49</v>
      </c>
      <c r="E24" s="8">
        <f t="shared" ref="E24:E30" ca="1" si="0">RANDBETWEEN($C$24,$D$24)</f>
        <v>38</v>
      </c>
      <c r="F24" s="13" t="s">
        <v>524</v>
      </c>
      <c r="I24" t="s">
        <v>525</v>
      </c>
    </row>
    <row r="25" spans="2:9" x14ac:dyDescent="0.2">
      <c r="E25" s="8">
        <f t="shared" ca="1" si="0"/>
        <v>23</v>
      </c>
      <c r="F25" s="13" t="s">
        <v>524</v>
      </c>
      <c r="I25" t="s">
        <v>526</v>
      </c>
    </row>
    <row r="26" spans="2:9" x14ac:dyDescent="0.2">
      <c r="C26" s="5" t="s">
        <v>527</v>
      </c>
      <c r="D26" s="5"/>
      <c r="E26" s="8">
        <f t="shared" ca="1" si="0"/>
        <v>33</v>
      </c>
      <c r="F26" s="13" t="s">
        <v>524</v>
      </c>
      <c r="I26" t="s">
        <v>528</v>
      </c>
    </row>
    <row r="27" spans="2:9" x14ac:dyDescent="0.2">
      <c r="C27" s="5" t="s">
        <v>529</v>
      </c>
      <c r="D27" s="5"/>
      <c r="E27" s="8">
        <f t="shared" ca="1" si="0"/>
        <v>10</v>
      </c>
      <c r="F27" s="13" t="s">
        <v>524</v>
      </c>
      <c r="I27" t="s">
        <v>530</v>
      </c>
    </row>
    <row r="28" spans="2:9" x14ac:dyDescent="0.2">
      <c r="E28" s="8">
        <f t="shared" ca="1" si="0"/>
        <v>11</v>
      </c>
      <c r="F28" s="13" t="s">
        <v>524</v>
      </c>
      <c r="I28" t="s">
        <v>531</v>
      </c>
    </row>
    <row r="29" spans="2:9" x14ac:dyDescent="0.2">
      <c r="E29" s="8">
        <f t="shared" ca="1" si="0"/>
        <v>13</v>
      </c>
      <c r="F29" s="13" t="s">
        <v>524</v>
      </c>
      <c r="I29" t="s">
        <v>532</v>
      </c>
    </row>
    <row r="30" spans="2:9" x14ac:dyDescent="0.2">
      <c r="E30" s="8">
        <f t="shared" ca="1" si="0"/>
        <v>48</v>
      </c>
      <c r="F30" s="13" t="s">
        <v>524</v>
      </c>
      <c r="I30" t="s">
        <v>533</v>
      </c>
    </row>
    <row r="33" spans="4:6" x14ac:dyDescent="0.2">
      <c r="D33" s="401"/>
      <c r="E33" s="238" t="str">
        <f t="array" aca="1" ref="E33" ca="1">IF(SUM(1/COUNTIF(E24:E30,E24:E30))&lt;&gt;7,"Duplicates! Spin again","All OK")</f>
        <v>All OK</v>
      </c>
      <c r="F33" s="402"/>
    </row>
    <row r="34" spans="4:6" x14ac:dyDescent="0.2">
      <c r="E34" s="4" t="s">
        <v>534</v>
      </c>
    </row>
    <row r="35" spans="4:6" x14ac:dyDescent="0.2">
      <c r="E35" s="49" t="s">
        <v>535</v>
      </c>
    </row>
    <row r="36" spans="4:6" x14ac:dyDescent="0.2">
      <c r="E36" s="49" t="s">
        <v>536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J84"/>
  <sheetViews>
    <sheetView showGridLines="0" workbookViewId="0">
      <pane ySplit="1" topLeftCell="A2" activePane="bottomLeft" state="frozen"/>
      <selection activeCell="A3" sqref="A3"/>
      <selection pane="bottomLeft" activeCell="J9" sqref="J8:J9"/>
    </sheetView>
  </sheetViews>
  <sheetFormatPr defaultRowHeight="12.75" x14ac:dyDescent="0.2"/>
  <cols>
    <col min="1" max="1" width="2.7109375" customWidth="1"/>
    <col min="3" max="3" width="11.85546875" style="167" customWidth="1"/>
    <col min="7" max="7" width="12" customWidth="1"/>
    <col min="9" max="9" width="11.140625" customWidth="1"/>
  </cols>
  <sheetData>
    <row r="1" spans="1:10" ht="46.5" customHeight="1" x14ac:dyDescent="0.25">
      <c r="A1" s="476"/>
      <c r="B1" s="476"/>
      <c r="C1" s="514"/>
      <c r="D1" s="476"/>
      <c r="E1" s="476"/>
      <c r="F1" s="476"/>
      <c r="G1" s="476"/>
      <c r="H1" s="476"/>
      <c r="I1" s="476"/>
      <c r="J1" s="478"/>
    </row>
    <row r="3" spans="1:10" x14ac:dyDescent="0.2">
      <c r="C3" s="103" t="s">
        <v>441</v>
      </c>
      <c r="D3" s="162"/>
      <c r="E3" s="162"/>
      <c r="F3" s="162"/>
      <c r="G3" s="41"/>
    </row>
    <row r="4" spans="1:10" x14ac:dyDescent="0.2">
      <c r="C4"/>
      <c r="G4" s="8">
        <f ca="1">RAND()</f>
        <v>0.49141072932167851</v>
      </c>
      <c r="H4" s="13" t="s">
        <v>442</v>
      </c>
    </row>
    <row r="5" spans="1:10" x14ac:dyDescent="0.2">
      <c r="G5" s="49"/>
    </row>
    <row r="6" spans="1:10" x14ac:dyDescent="0.2">
      <c r="C6" s="103" t="s">
        <v>443</v>
      </c>
      <c r="D6" s="162"/>
      <c r="E6" s="162"/>
      <c r="F6" s="162"/>
      <c r="G6" s="19"/>
    </row>
    <row r="7" spans="1:10" x14ac:dyDescent="0.2">
      <c r="C7"/>
      <c r="G7" s="8">
        <f ca="1">RAND()*10</f>
        <v>3.8089310134503718</v>
      </c>
      <c r="H7" s="13" t="s">
        <v>444</v>
      </c>
    </row>
    <row r="8" spans="1:10" x14ac:dyDescent="0.2">
      <c r="G8" s="49"/>
    </row>
    <row r="9" spans="1:10" x14ac:dyDescent="0.2">
      <c r="C9" s="103" t="s">
        <v>445</v>
      </c>
      <c r="D9" s="162"/>
      <c r="E9" s="162"/>
      <c r="F9" s="162"/>
      <c r="G9" s="19"/>
    </row>
    <row r="10" spans="1:10" x14ac:dyDescent="0.2">
      <c r="C10"/>
      <c r="G10" s="8">
        <f ca="1">RAND()*(10-5)+5</f>
        <v>7.1944345355548531</v>
      </c>
      <c r="H10" s="13" t="s">
        <v>446</v>
      </c>
    </row>
    <row r="12" spans="1:10" ht="13.5" thickBot="1" x14ac:dyDescent="0.25">
      <c r="B12" s="2" t="s">
        <v>2865</v>
      </c>
      <c r="C12" s="168"/>
      <c r="D12" s="2"/>
      <c r="E12" s="2"/>
      <c r="F12" s="2"/>
      <c r="G12" s="2"/>
      <c r="H12" s="2"/>
      <c r="I12" s="2"/>
    </row>
    <row r="13" spans="1:10" x14ac:dyDescent="0.2">
      <c r="B13" t="s">
        <v>447</v>
      </c>
    </row>
    <row r="14" spans="1:10" x14ac:dyDescent="0.2">
      <c r="B14" t="s">
        <v>448</v>
      </c>
    </row>
    <row r="16" spans="1:10" ht="13.5" thickBot="1" x14ac:dyDescent="0.25">
      <c r="B16" s="2" t="s">
        <v>998</v>
      </c>
      <c r="C16" s="168"/>
      <c r="D16" s="2"/>
      <c r="E16" s="2"/>
      <c r="F16" s="2"/>
      <c r="G16" s="2"/>
      <c r="H16" s="2"/>
      <c r="I16" s="2"/>
    </row>
    <row r="17" spans="2:9" x14ac:dyDescent="0.2">
      <c r="B17" s="61" t="s">
        <v>449</v>
      </c>
    </row>
    <row r="19" spans="2:9" ht="13.5" thickBot="1" x14ac:dyDescent="0.25">
      <c r="B19" s="2" t="s">
        <v>3355</v>
      </c>
      <c r="C19" s="168"/>
      <c r="D19" s="2"/>
      <c r="E19" s="2"/>
      <c r="F19" s="2"/>
      <c r="G19" s="2"/>
      <c r="H19" s="2"/>
      <c r="I19" s="2"/>
    </row>
    <row r="20" spans="2:9" x14ac:dyDescent="0.2">
      <c r="B20" t="s">
        <v>2424</v>
      </c>
    </row>
    <row r="22" spans="2:9" ht="13.5" thickBot="1" x14ac:dyDescent="0.25">
      <c r="B22" s="2" t="s">
        <v>2648</v>
      </c>
      <c r="C22" s="168"/>
      <c r="D22" s="2"/>
      <c r="E22" s="2"/>
      <c r="F22" s="2"/>
      <c r="G22" s="2"/>
      <c r="H22" s="2"/>
      <c r="I22" s="2"/>
    </row>
    <row r="23" spans="2:9" x14ac:dyDescent="0.2">
      <c r="B23" t="s">
        <v>450</v>
      </c>
    </row>
    <row r="24" spans="2:9" x14ac:dyDescent="0.2">
      <c r="B24" t="s">
        <v>451</v>
      </c>
    </row>
    <row r="26" spans="2:9" x14ac:dyDescent="0.2">
      <c r="B26" t="s">
        <v>452</v>
      </c>
    </row>
    <row r="27" spans="2:9" x14ac:dyDescent="0.2">
      <c r="B27" t="s">
        <v>453</v>
      </c>
    </row>
    <row r="28" spans="2:9" x14ac:dyDescent="0.2">
      <c r="B28" t="s">
        <v>454</v>
      </c>
    </row>
    <row r="30" spans="2:9" x14ac:dyDescent="0.2">
      <c r="B30" t="s">
        <v>455</v>
      </c>
    </row>
    <row r="32" spans="2:9" ht="13.5" thickBot="1" x14ac:dyDescent="0.25">
      <c r="C32" s="94" t="s">
        <v>456</v>
      </c>
      <c r="D32" s="94" t="s">
        <v>457</v>
      </c>
      <c r="F32" s="94" t="s">
        <v>458</v>
      </c>
      <c r="G32" s="94" t="s">
        <v>457</v>
      </c>
    </row>
    <row r="33" spans="3:7" ht="13.5" thickTop="1" x14ac:dyDescent="0.2">
      <c r="C33" s="392" t="s">
        <v>459</v>
      </c>
      <c r="D33" s="393">
        <f t="shared" ref="D33:D64" ca="1" si="0">RAND()</f>
        <v>0.50755208556163645</v>
      </c>
      <c r="F33" s="394">
        <v>29</v>
      </c>
      <c r="G33" s="395">
        <f t="shared" ref="G33:G64" ca="1" si="1">RAND()</f>
        <v>0.43123936263452511</v>
      </c>
    </row>
    <row r="34" spans="3:7" x14ac:dyDescent="0.2">
      <c r="C34" s="392" t="s">
        <v>460</v>
      </c>
      <c r="D34" s="393">
        <f t="shared" ca="1" si="0"/>
        <v>0.14516012574740955</v>
      </c>
      <c r="F34" s="396">
        <v>34</v>
      </c>
      <c r="G34" s="393">
        <f t="shared" ca="1" si="1"/>
        <v>0.46806534398625088</v>
      </c>
    </row>
    <row r="35" spans="3:7" x14ac:dyDescent="0.2">
      <c r="C35" s="392" t="s">
        <v>461</v>
      </c>
      <c r="D35" s="393">
        <f t="shared" ca="1" si="0"/>
        <v>0.97115210106922334</v>
      </c>
      <c r="F35" s="396">
        <v>30</v>
      </c>
      <c r="G35" s="393">
        <f t="shared" ca="1" si="1"/>
        <v>0.3906105470942729</v>
      </c>
    </row>
    <row r="36" spans="3:7" x14ac:dyDescent="0.2">
      <c r="C36" s="392" t="s">
        <v>462</v>
      </c>
      <c r="D36" s="393">
        <f t="shared" ca="1" si="0"/>
        <v>0.62381475640977313</v>
      </c>
      <c r="F36" s="396">
        <v>41</v>
      </c>
      <c r="G36" s="393">
        <f t="shared" ca="1" si="1"/>
        <v>0.31544339445342484</v>
      </c>
    </row>
    <row r="37" spans="3:7" x14ac:dyDescent="0.2">
      <c r="C37" s="392" t="s">
        <v>463</v>
      </c>
      <c r="D37" s="393">
        <f t="shared" ca="1" si="0"/>
        <v>0.55140242552507135</v>
      </c>
      <c r="F37" s="396">
        <v>40</v>
      </c>
      <c r="G37" s="393">
        <f t="shared" ca="1" si="1"/>
        <v>0.75350990306422916</v>
      </c>
    </row>
    <row r="38" spans="3:7" ht="13.5" thickBot="1" x14ac:dyDescent="0.25">
      <c r="C38" s="392" t="s">
        <v>464</v>
      </c>
      <c r="D38" s="393">
        <f t="shared" ca="1" si="0"/>
        <v>4.2482855416862253E-2</v>
      </c>
      <c r="F38" s="397">
        <v>37</v>
      </c>
      <c r="G38" s="393">
        <f t="shared" ca="1" si="1"/>
        <v>0.26550140845819681</v>
      </c>
    </row>
    <row r="39" spans="3:7" ht="13.5" thickTop="1" x14ac:dyDescent="0.2">
      <c r="C39" s="392" t="s">
        <v>465</v>
      </c>
      <c r="D39" s="393">
        <f t="shared" ca="1" si="0"/>
        <v>0.73535568075845126</v>
      </c>
      <c r="F39" s="398">
        <v>26</v>
      </c>
      <c r="G39" s="393">
        <f t="shared" ca="1" si="1"/>
        <v>0.99071884738085003</v>
      </c>
    </row>
    <row r="40" spans="3:7" x14ac:dyDescent="0.2">
      <c r="C40" s="392" t="s">
        <v>466</v>
      </c>
      <c r="D40" s="393">
        <f t="shared" ca="1" si="0"/>
        <v>0.57373765653328257</v>
      </c>
      <c r="F40" s="392">
        <v>32</v>
      </c>
      <c r="G40" s="393">
        <f t="shared" ca="1" si="1"/>
        <v>0.9395587238784896</v>
      </c>
    </row>
    <row r="41" spans="3:7" x14ac:dyDescent="0.2">
      <c r="C41" s="392" t="s">
        <v>467</v>
      </c>
      <c r="D41" s="393">
        <f t="shared" ca="1" si="0"/>
        <v>0.33505225938349381</v>
      </c>
      <c r="F41" s="392">
        <v>21</v>
      </c>
      <c r="G41" s="393">
        <f t="shared" ca="1" si="1"/>
        <v>0.35858622961297781</v>
      </c>
    </row>
    <row r="42" spans="3:7" x14ac:dyDescent="0.2">
      <c r="C42" s="392" t="s">
        <v>468</v>
      </c>
      <c r="D42" s="393">
        <f t="shared" ca="1" si="0"/>
        <v>0.39088319267895022</v>
      </c>
      <c r="F42" s="392">
        <v>19</v>
      </c>
      <c r="G42" s="393">
        <f t="shared" ca="1" si="1"/>
        <v>0.43530679445655374</v>
      </c>
    </row>
    <row r="43" spans="3:7" x14ac:dyDescent="0.2">
      <c r="C43" s="392" t="s">
        <v>469</v>
      </c>
      <c r="D43" s="393">
        <f t="shared" ca="1" si="0"/>
        <v>0.72266877882193803</v>
      </c>
      <c r="F43" s="392">
        <v>7</v>
      </c>
      <c r="G43" s="393">
        <f t="shared" ca="1" si="1"/>
        <v>0.22165674230396792</v>
      </c>
    </row>
    <row r="44" spans="3:7" x14ac:dyDescent="0.2">
      <c r="C44" s="392" t="s">
        <v>470</v>
      </c>
      <c r="D44" s="393">
        <f t="shared" ca="1" si="0"/>
        <v>0.29946626416010036</v>
      </c>
      <c r="F44" s="392">
        <v>10</v>
      </c>
      <c r="G44" s="393">
        <f t="shared" ca="1" si="1"/>
        <v>0.14235346002492022</v>
      </c>
    </row>
    <row r="45" spans="3:7" x14ac:dyDescent="0.2">
      <c r="C45" s="392" t="s">
        <v>471</v>
      </c>
      <c r="D45" s="393">
        <f t="shared" ca="1" si="0"/>
        <v>0.79597073629134096</v>
      </c>
      <c r="F45" s="392">
        <v>16</v>
      </c>
      <c r="G45" s="393">
        <f t="shared" ca="1" si="1"/>
        <v>0.11065733731586269</v>
      </c>
    </row>
    <row r="46" spans="3:7" x14ac:dyDescent="0.2">
      <c r="C46" s="392" t="s">
        <v>472</v>
      </c>
      <c r="D46" s="393">
        <f t="shared" ca="1" si="0"/>
        <v>0.64156299439140085</v>
      </c>
      <c r="F46" s="392">
        <v>8</v>
      </c>
      <c r="G46" s="393">
        <f t="shared" ca="1" si="1"/>
        <v>0.97776055921537486</v>
      </c>
    </row>
    <row r="47" spans="3:7" x14ac:dyDescent="0.2">
      <c r="C47" s="392" t="s">
        <v>473</v>
      </c>
      <c r="D47" s="393">
        <f t="shared" ca="1" si="0"/>
        <v>0.5730912917796136</v>
      </c>
      <c r="F47" s="392">
        <v>48</v>
      </c>
      <c r="G47" s="393">
        <f t="shared" ca="1" si="1"/>
        <v>0.9694661293170348</v>
      </c>
    </row>
    <row r="48" spans="3:7" x14ac:dyDescent="0.2">
      <c r="C48" s="392" t="s">
        <v>474</v>
      </c>
      <c r="D48" s="393">
        <f t="shared" ca="1" si="0"/>
        <v>0.63672897239407766</v>
      </c>
      <c r="F48" s="392">
        <v>43</v>
      </c>
      <c r="G48" s="393">
        <f t="shared" ca="1" si="1"/>
        <v>0.57970560683970618</v>
      </c>
    </row>
    <row r="49" spans="3:7" x14ac:dyDescent="0.2">
      <c r="C49" s="392" t="s">
        <v>475</v>
      </c>
      <c r="D49" s="393">
        <f t="shared" ca="1" si="0"/>
        <v>0.49891304737787323</v>
      </c>
      <c r="F49" s="392">
        <v>44</v>
      </c>
      <c r="G49" s="393">
        <f t="shared" ca="1" si="1"/>
        <v>0.51731520563546896</v>
      </c>
    </row>
    <row r="50" spans="3:7" x14ac:dyDescent="0.2">
      <c r="C50" s="392" t="s">
        <v>476</v>
      </c>
      <c r="D50" s="393">
        <f t="shared" ca="1" si="0"/>
        <v>0.53491615219898825</v>
      </c>
      <c r="F50" s="392">
        <v>4</v>
      </c>
      <c r="G50" s="393">
        <f t="shared" ca="1" si="1"/>
        <v>0.1433399107969171</v>
      </c>
    </row>
    <row r="51" spans="3:7" x14ac:dyDescent="0.2">
      <c r="C51" s="392" t="s">
        <v>477</v>
      </c>
      <c r="D51" s="393">
        <f t="shared" ca="1" si="0"/>
        <v>0.13110022719787884</v>
      </c>
      <c r="F51" s="392">
        <v>3</v>
      </c>
      <c r="G51" s="393">
        <f t="shared" ca="1" si="1"/>
        <v>0.19867683954793247</v>
      </c>
    </row>
    <row r="52" spans="3:7" x14ac:dyDescent="0.2">
      <c r="C52" s="392" t="s">
        <v>478</v>
      </c>
      <c r="D52" s="393">
        <f t="shared" ca="1" si="0"/>
        <v>0.75454224148261384</v>
      </c>
      <c r="F52" s="392">
        <v>45</v>
      </c>
      <c r="G52" s="393">
        <f t="shared" ca="1" si="1"/>
        <v>0.10884273873775363</v>
      </c>
    </row>
    <row r="53" spans="3:7" x14ac:dyDescent="0.2">
      <c r="C53" s="392" t="s">
        <v>479</v>
      </c>
      <c r="D53" s="393">
        <f t="shared" ca="1" si="0"/>
        <v>0.19669406100562614</v>
      </c>
      <c r="F53" s="392">
        <v>47</v>
      </c>
      <c r="G53" s="393">
        <f t="shared" ca="1" si="1"/>
        <v>0.92894534098103498</v>
      </c>
    </row>
    <row r="54" spans="3:7" x14ac:dyDescent="0.2">
      <c r="C54" s="392" t="s">
        <v>480</v>
      </c>
      <c r="D54" s="393">
        <f t="shared" ca="1" si="0"/>
        <v>0.30722211263905996</v>
      </c>
      <c r="F54" s="392">
        <v>49</v>
      </c>
      <c r="G54" s="393">
        <f t="shared" ca="1" si="1"/>
        <v>0.31042661078609712</v>
      </c>
    </row>
    <row r="55" spans="3:7" x14ac:dyDescent="0.2">
      <c r="C55" s="392" t="s">
        <v>481</v>
      </c>
      <c r="D55" s="393">
        <f t="shared" ca="1" si="0"/>
        <v>0.75415162140102976</v>
      </c>
      <c r="F55" s="392">
        <v>35</v>
      </c>
      <c r="G55" s="393">
        <f t="shared" ca="1" si="1"/>
        <v>0.16175950736485833</v>
      </c>
    </row>
    <row r="56" spans="3:7" x14ac:dyDescent="0.2">
      <c r="C56" s="392" t="s">
        <v>482</v>
      </c>
      <c r="D56" s="393">
        <f t="shared" ca="1" si="0"/>
        <v>0.92570624431338466</v>
      </c>
      <c r="F56" s="392">
        <v>27</v>
      </c>
      <c r="G56" s="393">
        <f t="shared" ca="1" si="1"/>
        <v>0.86378965735154334</v>
      </c>
    </row>
    <row r="57" spans="3:7" x14ac:dyDescent="0.2">
      <c r="C57" s="392" t="s">
        <v>483</v>
      </c>
      <c r="D57" s="393">
        <f t="shared" ca="1" si="0"/>
        <v>4.129978903134246E-2</v>
      </c>
      <c r="F57" s="392">
        <v>1</v>
      </c>
      <c r="G57" s="393">
        <f t="shared" ca="1" si="1"/>
        <v>0.55946334829772404</v>
      </c>
    </row>
    <row r="58" spans="3:7" x14ac:dyDescent="0.2">
      <c r="C58" s="392" t="s">
        <v>484</v>
      </c>
      <c r="D58" s="393">
        <f t="shared" ca="1" si="0"/>
        <v>0.76228716947261377</v>
      </c>
      <c r="F58" s="392">
        <v>13</v>
      </c>
      <c r="G58" s="393">
        <f t="shared" ca="1" si="1"/>
        <v>4.4109033371700579E-2</v>
      </c>
    </row>
    <row r="59" spans="3:7" x14ac:dyDescent="0.2">
      <c r="C59" s="392" t="s">
        <v>485</v>
      </c>
      <c r="D59" s="393">
        <f t="shared" ca="1" si="0"/>
        <v>0.13854914962242093</v>
      </c>
      <c r="F59" s="392">
        <v>31</v>
      </c>
      <c r="G59" s="393">
        <f t="shared" ca="1" si="1"/>
        <v>0.93649125549435908</v>
      </c>
    </row>
    <row r="60" spans="3:7" x14ac:dyDescent="0.2">
      <c r="C60" s="392" t="s">
        <v>486</v>
      </c>
      <c r="D60" s="393">
        <f t="shared" ca="1" si="0"/>
        <v>0.15545761796929747</v>
      </c>
      <c r="F60" s="392">
        <v>5</v>
      </c>
      <c r="G60" s="393">
        <f t="shared" ca="1" si="1"/>
        <v>0.12033504412494045</v>
      </c>
    </row>
    <row r="61" spans="3:7" x14ac:dyDescent="0.2">
      <c r="C61" s="392" t="s">
        <v>487</v>
      </c>
      <c r="D61" s="393">
        <f t="shared" ca="1" si="0"/>
        <v>0.22714869622172595</v>
      </c>
      <c r="F61" s="392">
        <v>18</v>
      </c>
      <c r="G61" s="393">
        <f t="shared" ca="1" si="1"/>
        <v>0.29284418488849318</v>
      </c>
    </row>
    <row r="62" spans="3:7" x14ac:dyDescent="0.2">
      <c r="C62" s="392" t="s">
        <v>488</v>
      </c>
      <c r="D62" s="393">
        <f t="shared" ca="1" si="0"/>
        <v>0.76694188287192899</v>
      </c>
      <c r="F62" s="392">
        <v>39</v>
      </c>
      <c r="G62" s="393">
        <f t="shared" ca="1" si="1"/>
        <v>0.92786945171089463</v>
      </c>
    </row>
    <row r="63" spans="3:7" x14ac:dyDescent="0.2">
      <c r="C63" s="392" t="s">
        <v>489</v>
      </c>
      <c r="D63" s="393">
        <f t="shared" ca="1" si="0"/>
        <v>0.81246825167215042</v>
      </c>
      <c r="F63" s="392">
        <v>23</v>
      </c>
      <c r="G63" s="393">
        <f t="shared" ca="1" si="1"/>
        <v>0.72625484696230691</v>
      </c>
    </row>
    <row r="64" spans="3:7" x14ac:dyDescent="0.2">
      <c r="C64" s="392" t="s">
        <v>490</v>
      </c>
      <c r="D64" s="393">
        <f t="shared" ca="1" si="0"/>
        <v>0.82068913882630512</v>
      </c>
      <c r="F64" s="392">
        <v>12</v>
      </c>
      <c r="G64" s="393">
        <f t="shared" ca="1" si="1"/>
        <v>0.84418452720715276</v>
      </c>
    </row>
    <row r="65" spans="3:7" x14ac:dyDescent="0.2">
      <c r="C65" s="392" t="s">
        <v>491</v>
      </c>
      <c r="D65" s="393">
        <f t="shared" ref="D65:D84" ca="1" si="2">RAND()</f>
        <v>0.19654594768428635</v>
      </c>
      <c r="F65" s="392">
        <v>11</v>
      </c>
      <c r="G65" s="393">
        <f t="shared" ref="G65:G81" ca="1" si="3">RAND()</f>
        <v>0.78199891523944176</v>
      </c>
    </row>
    <row r="66" spans="3:7" x14ac:dyDescent="0.2">
      <c r="C66" s="392" t="s">
        <v>492</v>
      </c>
      <c r="D66" s="393">
        <f t="shared" ca="1" si="2"/>
        <v>0.49300350312033636</v>
      </c>
      <c r="F66" s="392">
        <v>20</v>
      </c>
      <c r="G66" s="393">
        <f t="shared" ca="1" si="3"/>
        <v>0.58732319176040959</v>
      </c>
    </row>
    <row r="67" spans="3:7" x14ac:dyDescent="0.2">
      <c r="C67" s="392" t="s">
        <v>493</v>
      </c>
      <c r="D67" s="393">
        <f t="shared" ca="1" si="2"/>
        <v>0.72794187402387667</v>
      </c>
      <c r="F67" s="392">
        <v>33</v>
      </c>
      <c r="G67" s="393">
        <f t="shared" ca="1" si="3"/>
        <v>0.33049030898949372</v>
      </c>
    </row>
    <row r="68" spans="3:7" x14ac:dyDescent="0.2">
      <c r="C68" s="392" t="s">
        <v>494</v>
      </c>
      <c r="D68" s="393">
        <f t="shared" ca="1" si="2"/>
        <v>0.32195801503089339</v>
      </c>
      <c r="F68" s="392">
        <v>42</v>
      </c>
      <c r="G68" s="393">
        <f t="shared" ca="1" si="3"/>
        <v>0.29667415514541429</v>
      </c>
    </row>
    <row r="69" spans="3:7" x14ac:dyDescent="0.2">
      <c r="C69" s="392" t="s">
        <v>495</v>
      </c>
      <c r="D69" s="393">
        <f t="shared" ca="1" si="2"/>
        <v>8.7146276468401673E-3</v>
      </c>
      <c r="F69" s="392">
        <v>24</v>
      </c>
      <c r="G69" s="393">
        <f t="shared" ca="1" si="3"/>
        <v>0.85485567318186495</v>
      </c>
    </row>
    <row r="70" spans="3:7" x14ac:dyDescent="0.2">
      <c r="C70" s="392" t="s">
        <v>496</v>
      </c>
      <c r="D70" s="393">
        <f t="shared" ca="1" si="2"/>
        <v>0.18624921597182176</v>
      </c>
      <c r="F70" s="392">
        <v>2</v>
      </c>
      <c r="G70" s="393">
        <f t="shared" ca="1" si="3"/>
        <v>0.3423953473616681</v>
      </c>
    </row>
    <row r="71" spans="3:7" x14ac:dyDescent="0.2">
      <c r="C71" s="392" t="s">
        <v>497</v>
      </c>
      <c r="D71" s="393">
        <f t="shared" ca="1" si="2"/>
        <v>0.2416301709934342</v>
      </c>
      <c r="F71" s="392">
        <v>14</v>
      </c>
      <c r="G71" s="393">
        <f t="shared" ca="1" si="3"/>
        <v>0.86876468223799208</v>
      </c>
    </row>
    <row r="72" spans="3:7" x14ac:dyDescent="0.2">
      <c r="C72" s="392" t="s">
        <v>498</v>
      </c>
      <c r="D72" s="393">
        <f t="shared" ca="1" si="2"/>
        <v>0.69768968266653697</v>
      </c>
      <c r="F72" s="392">
        <v>25</v>
      </c>
      <c r="G72" s="393">
        <f t="shared" ca="1" si="3"/>
        <v>0.7453732600081151</v>
      </c>
    </row>
    <row r="73" spans="3:7" x14ac:dyDescent="0.2">
      <c r="C73" s="392" t="s">
        <v>499</v>
      </c>
      <c r="D73" s="393">
        <f t="shared" ca="1" si="2"/>
        <v>0.65933967805552862</v>
      </c>
      <c r="F73" s="392">
        <v>9</v>
      </c>
      <c r="G73" s="393">
        <f t="shared" ca="1" si="3"/>
        <v>0.23972265259708392</v>
      </c>
    </row>
    <row r="74" spans="3:7" x14ac:dyDescent="0.2">
      <c r="C74" s="392" t="s">
        <v>500</v>
      </c>
      <c r="D74" s="393">
        <f t="shared" ca="1" si="2"/>
        <v>0.10327351047195366</v>
      </c>
      <c r="F74" s="392">
        <v>38</v>
      </c>
      <c r="G74" s="393">
        <f t="shared" ca="1" si="3"/>
        <v>0.62687984659273022</v>
      </c>
    </row>
    <row r="75" spans="3:7" x14ac:dyDescent="0.2">
      <c r="C75" s="392" t="s">
        <v>501</v>
      </c>
      <c r="D75" s="393">
        <f t="shared" ca="1" si="2"/>
        <v>0.55187208929090081</v>
      </c>
      <c r="F75" s="392">
        <v>15</v>
      </c>
      <c r="G75" s="393">
        <f t="shared" ca="1" si="3"/>
        <v>0.43834511100961127</v>
      </c>
    </row>
    <row r="76" spans="3:7" x14ac:dyDescent="0.2">
      <c r="C76" s="392" t="s">
        <v>502</v>
      </c>
      <c r="D76" s="393">
        <f t="shared" ca="1" si="2"/>
        <v>0.16105400658021141</v>
      </c>
      <c r="F76" s="392">
        <v>28</v>
      </c>
      <c r="G76" s="393">
        <f t="shared" ca="1" si="3"/>
        <v>0.79716559372599871</v>
      </c>
    </row>
    <row r="77" spans="3:7" x14ac:dyDescent="0.2">
      <c r="C77" s="392" t="s">
        <v>503</v>
      </c>
      <c r="D77" s="393">
        <f t="shared" ca="1" si="2"/>
        <v>0.80675321261598354</v>
      </c>
      <c r="F77" s="392">
        <v>17</v>
      </c>
      <c r="G77" s="393">
        <f t="shared" ca="1" si="3"/>
        <v>0.28592603995992649</v>
      </c>
    </row>
    <row r="78" spans="3:7" x14ac:dyDescent="0.2">
      <c r="C78" s="392" t="s">
        <v>504</v>
      </c>
      <c r="D78" s="393">
        <f t="shared" ca="1" si="2"/>
        <v>0.26243394137397213</v>
      </c>
      <c r="F78" s="392">
        <v>6</v>
      </c>
      <c r="G78" s="393">
        <f t="shared" ca="1" si="3"/>
        <v>0.83673994808992069</v>
      </c>
    </row>
    <row r="79" spans="3:7" x14ac:dyDescent="0.2">
      <c r="C79" s="392" t="s">
        <v>505</v>
      </c>
      <c r="D79" s="393">
        <f t="shared" ca="1" si="2"/>
        <v>0.70434801615472975</v>
      </c>
      <c r="F79" s="392">
        <v>22</v>
      </c>
      <c r="G79" s="393">
        <f t="shared" ca="1" si="3"/>
        <v>0.39050536990070561</v>
      </c>
    </row>
    <row r="80" spans="3:7" x14ac:dyDescent="0.2">
      <c r="C80" s="392" t="s">
        <v>506</v>
      </c>
      <c r="D80" s="393">
        <f t="shared" ca="1" si="2"/>
        <v>0.81662807434155182</v>
      </c>
      <c r="F80" s="392">
        <v>46</v>
      </c>
      <c r="G80" s="393">
        <f t="shared" ca="1" si="3"/>
        <v>0.93783449771747773</v>
      </c>
    </row>
    <row r="81" spans="3:7" x14ac:dyDescent="0.2">
      <c r="C81" s="392" t="s">
        <v>507</v>
      </c>
      <c r="D81" s="393">
        <f t="shared" ca="1" si="2"/>
        <v>0.41881843684863429</v>
      </c>
      <c r="F81" s="399">
        <v>36</v>
      </c>
      <c r="G81" s="400">
        <f t="shared" ca="1" si="3"/>
        <v>0.18651327041796151</v>
      </c>
    </row>
    <row r="82" spans="3:7" x14ac:dyDescent="0.2">
      <c r="C82" s="392" t="s">
        <v>508</v>
      </c>
      <c r="D82" s="393">
        <f t="shared" ca="1" si="2"/>
        <v>0.19133977803950319</v>
      </c>
    </row>
    <row r="83" spans="3:7" x14ac:dyDescent="0.2">
      <c r="C83" s="392" t="s">
        <v>509</v>
      </c>
      <c r="D83" s="393">
        <f t="shared" ca="1" si="2"/>
        <v>0.19645085228084003</v>
      </c>
    </row>
    <row r="84" spans="3:7" x14ac:dyDescent="0.2">
      <c r="C84" s="399" t="s">
        <v>510</v>
      </c>
      <c r="D84" s="400">
        <f t="shared" ca="1" si="2"/>
        <v>0.93045201818067769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H43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0.85546875" customWidth="1"/>
    <col min="6" max="7" width="20.140625" customWidth="1"/>
  </cols>
  <sheetData>
    <row r="1" spans="1:8" ht="45" customHeight="1" x14ac:dyDescent="0.25">
      <c r="A1" s="513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990</v>
      </c>
      <c r="D3" s="6" t="s">
        <v>1235</v>
      </c>
      <c r="E3" s="6" t="s">
        <v>3113</v>
      </c>
    </row>
    <row r="4" spans="1:8" x14ac:dyDescent="0.2">
      <c r="C4" s="7">
        <v>12</v>
      </c>
      <c r="D4" s="7">
        <v>5</v>
      </c>
      <c r="E4" s="8">
        <f>QUOTIENT(C4,D4)</f>
        <v>2</v>
      </c>
      <c r="F4" s="13" t="s">
        <v>2369</v>
      </c>
    </row>
    <row r="5" spans="1:8" x14ac:dyDescent="0.2">
      <c r="C5" s="7">
        <v>20</v>
      </c>
      <c r="D5" s="7">
        <v>3</v>
      </c>
      <c r="E5" s="8">
        <f>QUOTIENT(C5,D5)</f>
        <v>6</v>
      </c>
      <c r="F5" s="13" t="s">
        <v>2370</v>
      </c>
    </row>
    <row r="6" spans="1:8" x14ac:dyDescent="0.2">
      <c r="C6" s="7">
        <v>46</v>
      </c>
      <c r="D6" s="7">
        <v>15</v>
      </c>
      <c r="E6" s="8">
        <f>QUOTIENT(C6,D6)</f>
        <v>3</v>
      </c>
      <c r="F6" s="13" t="s">
        <v>2371</v>
      </c>
    </row>
    <row r="8" spans="1:8" ht="13.5" thickBot="1" x14ac:dyDescent="0.25">
      <c r="B8" s="2" t="s">
        <v>2865</v>
      </c>
      <c r="C8" s="2"/>
      <c r="D8" s="2"/>
      <c r="E8" s="2"/>
      <c r="F8" s="2"/>
      <c r="G8" s="2"/>
    </row>
    <row r="9" spans="1:8" x14ac:dyDescent="0.2">
      <c r="B9" t="s">
        <v>2372</v>
      </c>
    </row>
    <row r="10" spans="1:8" x14ac:dyDescent="0.2">
      <c r="B10" t="s">
        <v>2373</v>
      </c>
    </row>
    <row r="12" spans="1:8" ht="13.5" thickBot="1" x14ac:dyDescent="0.25">
      <c r="B12" s="2" t="s">
        <v>998</v>
      </c>
      <c r="C12" s="2"/>
      <c r="D12" s="2"/>
      <c r="E12" s="2"/>
      <c r="F12" s="2"/>
      <c r="G12" s="2"/>
    </row>
    <row r="13" spans="1:8" x14ac:dyDescent="0.2">
      <c r="B13" s="61" t="s">
        <v>2374</v>
      </c>
    </row>
    <row r="15" spans="1:8" ht="13.5" thickBot="1" x14ac:dyDescent="0.25">
      <c r="B15" s="2" t="s">
        <v>3355</v>
      </c>
      <c r="C15" s="2"/>
      <c r="D15" s="2"/>
      <c r="E15" s="2"/>
      <c r="F15" s="2"/>
      <c r="G15" s="2"/>
    </row>
    <row r="16" spans="1:8" x14ac:dyDescent="0.2">
      <c r="B16" t="s">
        <v>2424</v>
      </c>
    </row>
    <row r="18" spans="2:7" ht="13.5" thickBot="1" x14ac:dyDescent="0.25">
      <c r="B18" s="2" t="s">
        <v>1001</v>
      </c>
      <c r="C18" s="2"/>
      <c r="D18" s="2"/>
      <c r="E18" s="2"/>
      <c r="F18" s="2"/>
      <c r="G18" s="2"/>
    </row>
    <row r="19" spans="2:7" x14ac:dyDescent="0.2">
      <c r="B19" t="s">
        <v>2375</v>
      </c>
    </row>
    <row r="20" spans="2:7" x14ac:dyDescent="0.2">
      <c r="B20" t="s">
        <v>2376</v>
      </c>
    </row>
    <row r="21" spans="2:7" x14ac:dyDescent="0.2">
      <c r="B21" t="s">
        <v>2377</v>
      </c>
    </row>
    <row r="23" spans="2:7" x14ac:dyDescent="0.2">
      <c r="C23" t="s">
        <v>2378</v>
      </c>
    </row>
    <row r="24" spans="2:7" x14ac:dyDescent="0.2">
      <c r="C24" t="s">
        <v>2379</v>
      </c>
    </row>
    <row r="26" spans="2:7" x14ac:dyDescent="0.2">
      <c r="C26" t="s">
        <v>1013</v>
      </c>
    </row>
    <row r="27" spans="2:7" ht="25.5" x14ac:dyDescent="0.2">
      <c r="C27" s="6" t="s">
        <v>3054</v>
      </c>
      <c r="D27" s="57" t="s">
        <v>2380</v>
      </c>
      <c r="E27" s="57" t="s">
        <v>2381</v>
      </c>
      <c r="F27" s="6" t="s">
        <v>2382</v>
      </c>
    </row>
    <row r="28" spans="2:7" x14ac:dyDescent="0.2">
      <c r="C28" s="7" t="s">
        <v>2383</v>
      </c>
      <c r="D28" s="7">
        <v>126</v>
      </c>
      <c r="E28" s="7">
        <v>12</v>
      </c>
      <c r="F28" s="8">
        <f>D28/E28</f>
        <v>10.5</v>
      </c>
      <c r="G28" s="13" t="s">
        <v>2384</v>
      </c>
    </row>
    <row r="29" spans="2:7" x14ac:dyDescent="0.2">
      <c r="C29" s="7" t="s">
        <v>2385</v>
      </c>
      <c r="D29" s="7">
        <v>200</v>
      </c>
      <c r="E29" s="7">
        <v>8</v>
      </c>
      <c r="F29" s="8">
        <f>D29/E29</f>
        <v>25</v>
      </c>
    </row>
    <row r="30" spans="2:7" x14ac:dyDescent="0.2">
      <c r="C30" s="7" t="s">
        <v>2386</v>
      </c>
      <c r="D30" s="7">
        <v>15</v>
      </c>
      <c r="E30" s="7">
        <v>4</v>
      </c>
      <c r="F30" s="8">
        <f>D30/E30</f>
        <v>3.75</v>
      </c>
    </row>
    <row r="31" spans="2:7" x14ac:dyDescent="0.2">
      <c r="C31" s="7" t="s">
        <v>2387</v>
      </c>
      <c r="D31" s="7">
        <v>250</v>
      </c>
      <c r="E31" s="7">
        <v>20</v>
      </c>
      <c r="F31" s="8">
        <f>D31/E31</f>
        <v>12.5</v>
      </c>
    </row>
    <row r="32" spans="2:7" x14ac:dyDescent="0.2">
      <c r="F32" s="49"/>
    </row>
    <row r="34" spans="3:7" x14ac:dyDescent="0.2">
      <c r="C34" t="s">
        <v>2388</v>
      </c>
    </row>
    <row r="35" spans="3:7" x14ac:dyDescent="0.2">
      <c r="C35" t="s">
        <v>2389</v>
      </c>
    </row>
    <row r="37" spans="3:7" x14ac:dyDescent="0.2">
      <c r="C37" t="s">
        <v>1024</v>
      </c>
    </row>
    <row r="38" spans="3:7" ht="25.5" x14ac:dyDescent="0.2">
      <c r="C38" s="6" t="s">
        <v>3054</v>
      </c>
      <c r="D38" s="57" t="s">
        <v>2380</v>
      </c>
      <c r="E38" s="57" t="s">
        <v>2381</v>
      </c>
      <c r="F38" s="6" t="s">
        <v>2382</v>
      </c>
    </row>
    <row r="39" spans="3:7" x14ac:dyDescent="0.2">
      <c r="C39" s="7" t="s">
        <v>2383</v>
      </c>
      <c r="D39" s="7">
        <v>126</v>
      </c>
      <c r="E39" s="7">
        <v>12</v>
      </c>
      <c r="F39" s="8">
        <f>QUOTIENT(D39,E39)</f>
        <v>10</v>
      </c>
      <c r="G39" s="13" t="s">
        <v>440</v>
      </c>
    </row>
    <row r="40" spans="3:7" x14ac:dyDescent="0.2">
      <c r="C40" s="7" t="s">
        <v>2385</v>
      </c>
      <c r="D40" s="7">
        <v>200</v>
      </c>
      <c r="E40" s="7">
        <v>8</v>
      </c>
      <c r="F40" s="8">
        <f>QUOTIENT(D40,E40)</f>
        <v>25</v>
      </c>
    </row>
    <row r="41" spans="3:7" x14ac:dyDescent="0.2">
      <c r="C41" s="7" t="s">
        <v>2386</v>
      </c>
      <c r="D41" s="7">
        <v>15</v>
      </c>
      <c r="E41" s="7">
        <v>6</v>
      </c>
      <c r="F41" s="8">
        <f>QUOTIENT(D41,E41)</f>
        <v>2</v>
      </c>
    </row>
    <row r="42" spans="3:7" x14ac:dyDescent="0.2">
      <c r="C42" s="7" t="s">
        <v>2387</v>
      </c>
      <c r="D42" s="7">
        <v>250</v>
      </c>
      <c r="E42" s="7">
        <v>20</v>
      </c>
      <c r="F42" s="8">
        <f>QUOTIENT(D42,E42)</f>
        <v>12</v>
      </c>
    </row>
    <row r="43" spans="3:7" x14ac:dyDescent="0.2">
      <c r="F43" s="49"/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L29"/>
  <sheetViews>
    <sheetView showGridLines="0" workbookViewId="0">
      <pane ySplit="1" topLeftCell="A2" activePane="bottomLeft" state="frozen"/>
      <selection activeCell="A3" sqref="A3"/>
      <selection pane="bottomLeft" activeCell="J7" sqref="J7"/>
    </sheetView>
  </sheetViews>
  <sheetFormatPr defaultRowHeight="12.75" x14ac:dyDescent="0.2"/>
  <cols>
    <col min="1" max="1" width="2.7109375" customWidth="1"/>
    <col min="2" max="2" width="4.42578125" customWidth="1"/>
    <col min="3" max="3" width="7.7109375" customWidth="1"/>
    <col min="4" max="4" width="7" customWidth="1"/>
    <col min="5" max="5" width="10.5703125" customWidth="1"/>
    <col min="6" max="6" width="7.7109375" customWidth="1"/>
    <col min="7" max="7" width="2.85546875" customWidth="1"/>
    <col min="8" max="8" width="10.5703125" customWidth="1"/>
    <col min="9" max="9" width="7.7109375" customWidth="1"/>
    <col min="11" max="11" width="14.42578125" customWidth="1"/>
  </cols>
  <sheetData>
    <row r="1" spans="1:12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8"/>
    </row>
    <row r="3" spans="1:12" x14ac:dyDescent="0.2">
      <c r="C3" s="6" t="s">
        <v>3378</v>
      </c>
      <c r="D3" s="194"/>
      <c r="E3" s="6" t="s">
        <v>2351</v>
      </c>
      <c r="F3" s="6" t="s">
        <v>2352</v>
      </c>
    </row>
    <row r="4" spans="1:12" x14ac:dyDescent="0.2">
      <c r="C4" s="7">
        <v>1</v>
      </c>
      <c r="D4" s="149"/>
      <c r="E4" s="7">
        <v>0</v>
      </c>
      <c r="F4" s="8">
        <f>QUARTILE(C4:C8,E4)</f>
        <v>1</v>
      </c>
      <c r="G4" s="13" t="s">
        <v>2353</v>
      </c>
    </row>
    <row r="5" spans="1:12" x14ac:dyDescent="0.2">
      <c r="C5" s="7">
        <v>25</v>
      </c>
      <c r="D5" s="149"/>
      <c r="E5" s="7">
        <v>1</v>
      </c>
      <c r="F5" s="8">
        <f>QUARTILE(C4:C8,E5)</f>
        <v>25</v>
      </c>
      <c r="G5" s="13" t="s">
        <v>2354</v>
      </c>
    </row>
    <row r="6" spans="1:12" x14ac:dyDescent="0.2">
      <c r="C6" s="7">
        <v>50</v>
      </c>
      <c r="D6" s="149"/>
      <c r="E6" s="7">
        <v>2</v>
      </c>
      <c r="F6" s="8">
        <f>QUARTILE(C4:C8,E6)</f>
        <v>50</v>
      </c>
      <c r="G6" s="13" t="s">
        <v>2355</v>
      </c>
    </row>
    <row r="7" spans="1:12" x14ac:dyDescent="0.2">
      <c r="C7" s="7">
        <v>75</v>
      </c>
      <c r="D7" s="149"/>
      <c r="E7" s="7">
        <v>3</v>
      </c>
      <c r="F7" s="8">
        <f>QUARTILE(C4:C8,E7)</f>
        <v>75</v>
      </c>
      <c r="G7" s="13" t="s">
        <v>2356</v>
      </c>
    </row>
    <row r="8" spans="1:12" x14ac:dyDescent="0.2">
      <c r="C8" s="7">
        <v>100</v>
      </c>
      <c r="D8" s="391"/>
      <c r="E8" s="7">
        <v>4</v>
      </c>
      <c r="F8" s="8">
        <f>QUARTILE(C4:C8,E8)</f>
        <v>100</v>
      </c>
      <c r="G8" s="13" t="s">
        <v>2357</v>
      </c>
    </row>
    <row r="11" spans="1:12" x14ac:dyDescent="0.2">
      <c r="C11" s="6" t="s">
        <v>3378</v>
      </c>
      <c r="D11" s="194"/>
      <c r="E11" s="194"/>
      <c r="F11" s="194"/>
      <c r="G11" s="194"/>
      <c r="H11" s="6" t="s">
        <v>2351</v>
      </c>
      <c r="I11" s="6" t="s">
        <v>2352</v>
      </c>
    </row>
    <row r="12" spans="1:12" x14ac:dyDescent="0.2">
      <c r="C12" s="7">
        <v>817</v>
      </c>
      <c r="D12" s="7">
        <v>104</v>
      </c>
      <c r="E12" s="7">
        <v>640</v>
      </c>
      <c r="F12" s="7">
        <v>767</v>
      </c>
      <c r="G12" s="149"/>
      <c r="H12" s="7">
        <v>0</v>
      </c>
      <c r="I12" s="8">
        <f>QUARTILE(C12:F16,H12)</f>
        <v>104</v>
      </c>
      <c r="J12" s="13" t="s">
        <v>2358</v>
      </c>
    </row>
    <row r="13" spans="1:12" x14ac:dyDescent="0.2">
      <c r="C13" s="7">
        <v>748</v>
      </c>
      <c r="D13" s="7">
        <v>756</v>
      </c>
      <c r="E13" s="7">
        <v>369</v>
      </c>
      <c r="F13" s="7">
        <v>703</v>
      </c>
      <c r="G13" s="149"/>
      <c r="H13" s="7">
        <v>1</v>
      </c>
      <c r="I13" s="8">
        <f>QUARTILE(C12:F16,H13)</f>
        <v>285.75</v>
      </c>
      <c r="J13" s="13" t="s">
        <v>2359</v>
      </c>
    </row>
    <row r="14" spans="1:12" x14ac:dyDescent="0.2">
      <c r="C14" s="7">
        <v>372</v>
      </c>
      <c r="D14" s="7">
        <v>993</v>
      </c>
      <c r="E14" s="7">
        <v>294</v>
      </c>
      <c r="F14" s="7">
        <v>261</v>
      </c>
      <c r="G14" s="149"/>
      <c r="H14" s="7">
        <v>2</v>
      </c>
      <c r="I14" s="8">
        <f>QUARTILE(C12:F16,H14)</f>
        <v>489</v>
      </c>
      <c r="J14" s="13" t="s">
        <v>2360</v>
      </c>
    </row>
    <row r="15" spans="1:12" x14ac:dyDescent="0.2">
      <c r="C15" s="7">
        <v>487</v>
      </c>
      <c r="D15" s="7">
        <v>384</v>
      </c>
      <c r="E15" s="7">
        <v>185</v>
      </c>
      <c r="F15" s="7">
        <v>491</v>
      </c>
      <c r="G15" s="149"/>
      <c r="H15" s="7">
        <v>3</v>
      </c>
      <c r="I15" s="8">
        <f>QUARTILE(C12:F16,H15)</f>
        <v>750</v>
      </c>
      <c r="J15" s="13" t="s">
        <v>2361</v>
      </c>
    </row>
    <row r="16" spans="1:12" x14ac:dyDescent="0.2">
      <c r="C16" s="7">
        <v>140</v>
      </c>
      <c r="D16" s="7">
        <v>607</v>
      </c>
      <c r="E16" s="7">
        <v>894</v>
      </c>
      <c r="F16" s="7">
        <v>182</v>
      </c>
      <c r="G16" s="391"/>
      <c r="H16" s="7">
        <v>4</v>
      </c>
      <c r="I16" s="8">
        <f>QUARTILE(C12:F16,H16)</f>
        <v>993</v>
      </c>
      <c r="J16" s="13" t="s">
        <v>2362</v>
      </c>
    </row>
    <row r="18" spans="2:11" ht="13.5" thickBot="1" x14ac:dyDescent="0.25">
      <c r="B18" s="2" t="s">
        <v>2865</v>
      </c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2">
      <c r="B19" t="s">
        <v>2363</v>
      </c>
    </row>
    <row r="20" spans="2:11" x14ac:dyDescent="0.2">
      <c r="B20" t="s">
        <v>2364</v>
      </c>
    </row>
    <row r="21" spans="2:11" x14ac:dyDescent="0.2">
      <c r="B21" t="s">
        <v>2365</v>
      </c>
    </row>
    <row r="22" spans="2:11" x14ac:dyDescent="0.2">
      <c r="B22" t="s">
        <v>2366</v>
      </c>
    </row>
    <row r="24" spans="2:11" ht="13.5" thickBot="1" x14ac:dyDescent="0.25">
      <c r="B24" s="2" t="s">
        <v>998</v>
      </c>
      <c r="C24" s="2"/>
      <c r="D24" s="2"/>
      <c r="E24" s="2"/>
      <c r="F24" s="2"/>
      <c r="G24" s="2"/>
      <c r="H24" s="2"/>
      <c r="I24" s="2"/>
      <c r="J24" s="2"/>
      <c r="K24" s="2"/>
    </row>
    <row r="25" spans="2:11" x14ac:dyDescent="0.2">
      <c r="B25" s="61" t="s">
        <v>2367</v>
      </c>
    </row>
    <row r="26" spans="2:11" x14ac:dyDescent="0.2">
      <c r="B26" t="s">
        <v>2368</v>
      </c>
    </row>
    <row r="28" spans="2:11" ht="13.5" thickBot="1" x14ac:dyDescent="0.25">
      <c r="B28" s="2" t="s">
        <v>3355</v>
      </c>
      <c r="C28" s="2"/>
      <c r="D28" s="2"/>
      <c r="E28" s="2"/>
      <c r="F28" s="2"/>
      <c r="G28" s="2"/>
      <c r="H28" s="2"/>
      <c r="I28" s="2"/>
      <c r="J28" s="2"/>
      <c r="K28" s="2"/>
    </row>
    <row r="29" spans="2:11" x14ac:dyDescent="0.2">
      <c r="B29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J18"/>
  <sheetViews>
    <sheetView showGridLines="0" workbookViewId="0">
      <pane ySplit="1" topLeftCell="A2" activePane="bottomLeft" state="frozen"/>
      <selection activeCell="A3" sqref="A3"/>
      <selection pane="bottomLeft" activeCell="G5" sqref="G5"/>
    </sheetView>
  </sheetViews>
  <sheetFormatPr defaultRowHeight="12.75" x14ac:dyDescent="0.2"/>
  <cols>
    <col min="1" max="1" width="2.7109375" customWidth="1"/>
    <col min="3" max="3" width="16.7109375" customWidth="1"/>
    <col min="4" max="4" width="13" customWidth="1"/>
    <col min="9" max="9" width="6" customWidth="1"/>
  </cols>
  <sheetData>
    <row r="1" spans="1:10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1763</v>
      </c>
      <c r="D3" s="6" t="s">
        <v>618</v>
      </c>
    </row>
    <row r="4" spans="1:10" x14ac:dyDescent="0.2">
      <c r="C4" s="7" t="s">
        <v>619</v>
      </c>
      <c r="D4" s="8" t="str">
        <f>PROPER(C4)</f>
        <v>Alan Jones</v>
      </c>
      <c r="E4" s="13" t="s">
        <v>620</v>
      </c>
    </row>
    <row r="5" spans="1:10" x14ac:dyDescent="0.2">
      <c r="C5" s="7" t="s">
        <v>2341</v>
      </c>
      <c r="D5" s="8" t="str">
        <f>PROPER(C5)</f>
        <v>Bob Smith</v>
      </c>
      <c r="E5" s="13" t="s">
        <v>2342</v>
      </c>
    </row>
    <row r="6" spans="1:10" x14ac:dyDescent="0.2">
      <c r="C6" s="7" t="s">
        <v>2343</v>
      </c>
      <c r="D6" s="8" t="str">
        <f>PROPER(C6)</f>
        <v>Carol Williams</v>
      </c>
      <c r="E6" s="13" t="s">
        <v>2344</v>
      </c>
    </row>
    <row r="7" spans="1:10" x14ac:dyDescent="0.2">
      <c r="C7" s="7" t="s">
        <v>2345</v>
      </c>
      <c r="D7" s="8" t="str">
        <f>PROPER(C7)</f>
        <v>Cardiff</v>
      </c>
      <c r="E7" s="13" t="s">
        <v>2346</v>
      </c>
    </row>
    <row r="8" spans="1:10" x14ac:dyDescent="0.2">
      <c r="C8" s="7" t="s">
        <v>3416</v>
      </c>
      <c r="D8" s="8" t="str">
        <f>PROPER(C8)</f>
        <v>Abc123</v>
      </c>
      <c r="E8" s="13" t="s">
        <v>2347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2348</v>
      </c>
    </row>
    <row r="12" spans="1:10" x14ac:dyDescent="0.2">
      <c r="B12" t="s">
        <v>2349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2350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J27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6" max="6" width="20.42578125" customWidth="1"/>
    <col min="9" max="9" width="6.5703125" customWidth="1"/>
  </cols>
  <sheetData>
    <row r="1" spans="1:10" ht="46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158" t="s">
        <v>2517</v>
      </c>
      <c r="D3" s="160"/>
      <c r="E3" s="6" t="s">
        <v>2845</v>
      </c>
    </row>
    <row r="4" spans="1:10" x14ac:dyDescent="0.2">
      <c r="C4" s="7">
        <v>2</v>
      </c>
      <c r="D4" s="7">
        <v>3</v>
      </c>
      <c r="E4" s="8">
        <f>PRODUCT(C4,D4)</f>
        <v>6</v>
      </c>
      <c r="F4" s="13" t="s">
        <v>609</v>
      </c>
    </row>
    <row r="5" spans="1:10" x14ac:dyDescent="0.2">
      <c r="C5" s="7">
        <v>5</v>
      </c>
      <c r="D5" s="7">
        <v>10</v>
      </c>
      <c r="E5" s="8">
        <f>PRODUCT(C5:D5)</f>
        <v>50</v>
      </c>
      <c r="F5" s="13" t="s">
        <v>610</v>
      </c>
    </row>
    <row r="6" spans="1:10" x14ac:dyDescent="0.2">
      <c r="C6" s="7">
        <v>3</v>
      </c>
      <c r="D6" s="7">
        <v>7</v>
      </c>
      <c r="E6" s="8">
        <f>PRODUCT(C6:D6,10)</f>
        <v>210</v>
      </c>
      <c r="F6" s="13" t="s">
        <v>611</v>
      </c>
    </row>
    <row r="7" spans="1:10" x14ac:dyDescent="0.2">
      <c r="E7" s="8">
        <f>PRODUCT(C4:D6)</f>
        <v>6300</v>
      </c>
      <c r="F7" s="13" t="s">
        <v>612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613</v>
      </c>
    </row>
    <row r="11" spans="1:10" x14ac:dyDescent="0.2">
      <c r="B11" t="s">
        <v>614</v>
      </c>
    </row>
    <row r="13" spans="1:10" ht="13.5" thickBot="1" x14ac:dyDescent="0.25">
      <c r="B13" s="2" t="s">
        <v>998</v>
      </c>
      <c r="C13" s="2"/>
      <c r="D13" s="2"/>
      <c r="E13" s="2"/>
      <c r="F13" s="2"/>
      <c r="G13" s="2"/>
      <c r="H13" s="2"/>
      <c r="I13" s="2"/>
    </row>
    <row r="14" spans="1:10" x14ac:dyDescent="0.2">
      <c r="B14" s="61" t="s">
        <v>615</v>
      </c>
    </row>
    <row r="15" spans="1:10" x14ac:dyDescent="0.2">
      <c r="B15" t="s">
        <v>986</v>
      </c>
    </row>
    <row r="16" spans="1:10" x14ac:dyDescent="0.2">
      <c r="B16" s="61" t="s">
        <v>616</v>
      </c>
    </row>
    <row r="17" spans="2:9" x14ac:dyDescent="0.2">
      <c r="B17" t="s">
        <v>986</v>
      </c>
    </row>
    <row r="18" spans="2:9" x14ac:dyDescent="0.2">
      <c r="B18" s="61" t="s">
        <v>617</v>
      </c>
    </row>
    <row r="20" spans="2:9" ht="13.5" thickBot="1" x14ac:dyDescent="0.25">
      <c r="B20" s="2" t="s">
        <v>3355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2424</v>
      </c>
    </row>
    <row r="27" spans="2:9" x14ac:dyDescent="0.2">
      <c r="D27" s="390"/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J25"/>
  <sheetViews>
    <sheetView showGridLines="0" workbookViewId="0">
      <pane ySplit="1" topLeftCell="A2" activePane="bottomLeft" state="frozen"/>
      <selection activeCell="A3" sqref="A3"/>
      <selection pane="bottomLeft" activeCell="I5" sqref="I5"/>
    </sheetView>
  </sheetViews>
  <sheetFormatPr defaultRowHeight="12.75" x14ac:dyDescent="0.2"/>
  <cols>
    <col min="1" max="1" width="2.7109375" customWidth="1"/>
    <col min="5" max="5" width="19.42578125" customWidth="1"/>
    <col min="9" max="9" width="7.42578125" customWidth="1"/>
  </cols>
  <sheetData>
    <row r="1" spans="1:10" ht="38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990</v>
      </c>
      <c r="D3" s="6" t="s">
        <v>1667</v>
      </c>
      <c r="E3" s="6" t="s">
        <v>3113</v>
      </c>
    </row>
    <row r="4" spans="1:10" x14ac:dyDescent="0.2">
      <c r="C4" s="7">
        <v>3</v>
      </c>
      <c r="D4" s="7">
        <v>2</v>
      </c>
      <c r="E4" s="8">
        <f>POWER(C4,D4)</f>
        <v>9</v>
      </c>
      <c r="F4" s="13" t="s">
        <v>600</v>
      </c>
    </row>
    <row r="5" spans="1:10" x14ac:dyDescent="0.2">
      <c r="C5" s="7">
        <v>3</v>
      </c>
      <c r="D5" s="7">
        <v>4</v>
      </c>
      <c r="E5" s="8">
        <f>POWER(C5,D5)</f>
        <v>81</v>
      </c>
      <c r="F5" s="13" t="s">
        <v>601</v>
      </c>
    </row>
    <row r="6" spans="1:10" x14ac:dyDescent="0.2">
      <c r="C6" s="7">
        <v>5</v>
      </c>
      <c r="D6" s="7">
        <v>2</v>
      </c>
      <c r="E6" s="8">
        <f>POWER(C6,D6)</f>
        <v>25</v>
      </c>
      <c r="F6" s="13" t="s">
        <v>602</v>
      </c>
    </row>
    <row r="7" spans="1:10" x14ac:dyDescent="0.2">
      <c r="C7" s="7">
        <v>5</v>
      </c>
      <c r="D7" s="7">
        <v>4</v>
      </c>
      <c r="E7" s="8">
        <f>POWER(C7,D7)</f>
        <v>625</v>
      </c>
      <c r="F7" s="13" t="s">
        <v>603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604</v>
      </c>
    </row>
    <row r="11" spans="1:10" x14ac:dyDescent="0.2">
      <c r="B11" t="s">
        <v>605</v>
      </c>
    </row>
    <row r="12" spans="1:10" x14ac:dyDescent="0.2">
      <c r="B12" t="s">
        <v>606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607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  <row r="20" spans="2:9" ht="13.5" thickBot="1" x14ac:dyDescent="0.25">
      <c r="B20" s="2" t="s">
        <v>1001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596</v>
      </c>
    </row>
    <row r="23" spans="2:9" x14ac:dyDescent="0.2">
      <c r="C23" s="6" t="s">
        <v>597</v>
      </c>
      <c r="D23" s="6" t="s">
        <v>598</v>
      </c>
    </row>
    <row r="24" spans="2:9" x14ac:dyDescent="0.2">
      <c r="C24" s="7">
        <v>5</v>
      </c>
      <c r="D24" s="80">
        <f>PI()*POWER(C24,2)</f>
        <v>78.539816339744831</v>
      </c>
      <c r="E24" s="13" t="s">
        <v>608</v>
      </c>
    </row>
    <row r="25" spans="2:9" x14ac:dyDescent="0.2">
      <c r="C25" s="7">
        <v>25</v>
      </c>
      <c r="D25" s="80">
        <f>PI()*POWER(C25,2)</f>
        <v>1963.4954084936207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J22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4" max="4" width="16.5703125" customWidth="1"/>
    <col min="5" max="5" width="12.42578125" customWidth="1"/>
    <col min="9" max="9" width="7" customWidth="1"/>
  </cols>
  <sheetData>
    <row r="1" spans="1:10" ht="39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D3" s="388" t="s">
        <v>1714</v>
      </c>
    </row>
    <row r="4" spans="1:10" x14ac:dyDescent="0.2">
      <c r="D4" s="389">
        <f>PI()</f>
        <v>3.1415926535897931</v>
      </c>
      <c r="E4" s="13" t="s">
        <v>591</v>
      </c>
    </row>
    <row r="6" spans="1:10" ht="13.5" thickBot="1" x14ac:dyDescent="0.25">
      <c r="B6" s="2" t="s">
        <v>2865</v>
      </c>
      <c r="C6" s="2"/>
      <c r="D6" s="2"/>
      <c r="E6" s="2"/>
      <c r="F6" s="2"/>
      <c r="G6" s="2"/>
      <c r="H6" s="2"/>
      <c r="I6" s="2"/>
    </row>
    <row r="7" spans="1:10" x14ac:dyDescent="0.2">
      <c r="B7" t="s">
        <v>592</v>
      </c>
    </row>
    <row r="8" spans="1:10" x14ac:dyDescent="0.2">
      <c r="B8" t="s">
        <v>593</v>
      </c>
    </row>
    <row r="9" spans="1:10" x14ac:dyDescent="0.2">
      <c r="B9" t="s">
        <v>594</v>
      </c>
    </row>
    <row r="11" spans="1:10" ht="13.5" thickBot="1" x14ac:dyDescent="0.25">
      <c r="B11" s="2" t="s">
        <v>998</v>
      </c>
      <c r="C11" s="2"/>
      <c r="D11" s="2"/>
      <c r="E11" s="2"/>
      <c r="F11" s="2"/>
      <c r="G11" s="2"/>
      <c r="H11" s="2"/>
      <c r="I11" s="2"/>
    </row>
    <row r="12" spans="1:10" x14ac:dyDescent="0.2">
      <c r="B12" s="61" t="s">
        <v>595</v>
      </c>
    </row>
    <row r="14" spans="1:10" ht="13.5" thickBot="1" x14ac:dyDescent="0.25">
      <c r="B14" s="2" t="s">
        <v>3355</v>
      </c>
      <c r="C14" s="2"/>
      <c r="D14" s="2"/>
      <c r="E14" s="2"/>
      <c r="F14" s="2"/>
      <c r="G14" s="2"/>
      <c r="H14" s="2"/>
      <c r="I14" s="2"/>
    </row>
    <row r="15" spans="1:10" x14ac:dyDescent="0.2">
      <c r="B15" t="s">
        <v>2424</v>
      </c>
    </row>
    <row r="17" spans="2:9" ht="13.5" thickBot="1" x14ac:dyDescent="0.25">
      <c r="B17" s="2" t="s">
        <v>1001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596</v>
      </c>
    </row>
    <row r="20" spans="2:9" x14ac:dyDescent="0.2">
      <c r="C20" s="6" t="s">
        <v>597</v>
      </c>
      <c r="D20" s="6" t="s">
        <v>598</v>
      </c>
    </row>
    <row r="21" spans="2:9" x14ac:dyDescent="0.2">
      <c r="C21" s="7">
        <v>5</v>
      </c>
      <c r="D21" s="80">
        <f>PI()*(C21^2)</f>
        <v>78.539816339744831</v>
      </c>
      <c r="E21" s="13" t="s">
        <v>599</v>
      </c>
    </row>
    <row r="22" spans="2:9" x14ac:dyDescent="0.2">
      <c r="C22" s="7">
        <v>25</v>
      </c>
      <c r="D22" s="80">
        <f>PI()*(C22^2)</f>
        <v>1963.4954084936207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I39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5.5703125" customWidth="1"/>
    <col min="4" max="4" width="15" customWidth="1"/>
    <col min="5" max="5" width="14.7109375" customWidth="1"/>
    <col min="8" max="8" width="12" customWidth="1"/>
  </cols>
  <sheetData>
    <row r="1" spans="1:9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626</v>
      </c>
      <c r="D3" s="6" t="s">
        <v>627</v>
      </c>
      <c r="E3" s="6" t="s">
        <v>559</v>
      </c>
    </row>
    <row r="4" spans="1:9" x14ac:dyDescent="0.2">
      <c r="C4" s="7">
        <v>4</v>
      </c>
      <c r="D4" s="7">
        <v>2</v>
      </c>
      <c r="E4" s="8">
        <f>PERMUT(C4,D4)</f>
        <v>12</v>
      </c>
      <c r="F4" s="13" t="s">
        <v>560</v>
      </c>
    </row>
    <row r="5" spans="1:9" x14ac:dyDescent="0.2">
      <c r="C5" s="7">
        <v>4</v>
      </c>
      <c r="D5" s="7">
        <v>3</v>
      </c>
      <c r="E5" s="8">
        <f>PERMUT(C5,D5)</f>
        <v>24</v>
      </c>
      <c r="F5" s="13" t="s">
        <v>561</v>
      </c>
    </row>
    <row r="6" spans="1:9" x14ac:dyDescent="0.2">
      <c r="C6" s="7">
        <v>10</v>
      </c>
      <c r="D6" s="7">
        <v>4</v>
      </c>
      <c r="E6" s="8">
        <f>PERMUT(C6,D6)</f>
        <v>5040</v>
      </c>
      <c r="F6" s="13" t="s">
        <v>562</v>
      </c>
    </row>
    <row r="7" spans="1:9" x14ac:dyDescent="0.2">
      <c r="C7" s="7">
        <v>26</v>
      </c>
      <c r="D7" s="7">
        <v>6</v>
      </c>
      <c r="E7" s="344">
        <f>PERMUT(C7,D7)</f>
        <v>165765600</v>
      </c>
      <c r="F7" s="13" t="s">
        <v>563</v>
      </c>
    </row>
    <row r="9" spans="1:9" ht="13.5" thickBot="1" x14ac:dyDescent="0.25">
      <c r="B9" s="2" t="s">
        <v>2865</v>
      </c>
      <c r="C9" s="2"/>
      <c r="D9" s="2"/>
      <c r="E9" s="2"/>
      <c r="F9" s="2"/>
      <c r="G9" s="2"/>
      <c r="H9" s="2"/>
    </row>
    <row r="10" spans="1:9" x14ac:dyDescent="0.2">
      <c r="B10" t="s">
        <v>564</v>
      </c>
    </row>
    <row r="11" spans="1:9" x14ac:dyDescent="0.2">
      <c r="B11" t="s">
        <v>565</v>
      </c>
    </row>
    <row r="12" spans="1:9" x14ac:dyDescent="0.2">
      <c r="B12" t="s">
        <v>566</v>
      </c>
    </row>
    <row r="14" spans="1:9" ht="13.5" thickBot="1" x14ac:dyDescent="0.25">
      <c r="B14" s="2" t="s">
        <v>998</v>
      </c>
      <c r="C14" s="2"/>
      <c r="D14" s="2"/>
      <c r="E14" s="2"/>
      <c r="F14" s="2"/>
      <c r="G14" s="2"/>
      <c r="H14" s="2"/>
    </row>
    <row r="15" spans="1:9" x14ac:dyDescent="0.2">
      <c r="B15" s="61" t="s">
        <v>567</v>
      </c>
    </row>
    <row r="17" spans="2:8" ht="13.5" thickBot="1" x14ac:dyDescent="0.25">
      <c r="B17" s="2" t="s">
        <v>3355</v>
      </c>
      <c r="C17" s="2"/>
      <c r="D17" s="2"/>
      <c r="E17" s="2"/>
      <c r="F17" s="2"/>
      <c r="G17" s="2"/>
      <c r="H17" s="2"/>
    </row>
    <row r="18" spans="2:8" x14ac:dyDescent="0.2">
      <c r="B18" t="s">
        <v>2424</v>
      </c>
    </row>
    <row r="20" spans="2:8" ht="13.5" thickBot="1" x14ac:dyDescent="0.25">
      <c r="B20" s="2" t="s">
        <v>1001</v>
      </c>
      <c r="C20" s="2"/>
      <c r="D20" s="2"/>
      <c r="E20" s="2"/>
      <c r="F20" s="2"/>
      <c r="G20" s="2"/>
      <c r="H20" s="2"/>
    </row>
    <row r="21" spans="2:8" x14ac:dyDescent="0.2">
      <c r="B21" t="s">
        <v>568</v>
      </c>
    </row>
    <row r="22" spans="2:8" x14ac:dyDescent="0.2">
      <c r="B22" t="s">
        <v>569</v>
      </c>
    </row>
    <row r="24" spans="2:8" x14ac:dyDescent="0.2">
      <c r="C24" s="6" t="s">
        <v>570</v>
      </c>
      <c r="D24" s="7">
        <v>26</v>
      </c>
    </row>
    <row r="25" spans="2:8" x14ac:dyDescent="0.2">
      <c r="C25" s="6" t="s">
        <v>571</v>
      </c>
      <c r="D25" s="7">
        <v>8</v>
      </c>
    </row>
    <row r="26" spans="2:8" x14ac:dyDescent="0.2">
      <c r="C26" s="6" t="s">
        <v>559</v>
      </c>
      <c r="D26" s="344">
        <f>PERMUT(D24,D25)</f>
        <v>62990928000</v>
      </c>
    </row>
    <row r="29" spans="2:8" x14ac:dyDescent="0.2">
      <c r="B29" t="s">
        <v>572</v>
      </c>
    </row>
    <row r="30" spans="2:8" x14ac:dyDescent="0.2">
      <c r="B30" t="s">
        <v>573</v>
      </c>
    </row>
    <row r="32" spans="2:8" x14ac:dyDescent="0.2">
      <c r="C32" s="188" t="s">
        <v>644</v>
      </c>
    </row>
    <row r="34" spans="3:6" x14ac:dyDescent="0.2">
      <c r="C34" s="121" t="s">
        <v>574</v>
      </c>
      <c r="D34" s="188" t="s">
        <v>646</v>
      </c>
      <c r="E34" s="121" t="s">
        <v>575</v>
      </c>
      <c r="F34" s="188" t="s">
        <v>576</v>
      </c>
    </row>
    <row r="35" spans="3:6" x14ac:dyDescent="0.2">
      <c r="C35" s="121" t="s">
        <v>577</v>
      </c>
      <c r="D35" s="188" t="s">
        <v>648</v>
      </c>
      <c r="E35" s="121" t="s">
        <v>578</v>
      </c>
      <c r="F35" s="188" t="s">
        <v>579</v>
      </c>
    </row>
    <row r="36" spans="3:6" x14ac:dyDescent="0.2">
      <c r="C36" s="121" t="s">
        <v>580</v>
      </c>
      <c r="D36" s="188" t="s">
        <v>650</v>
      </c>
      <c r="E36" s="121" t="s">
        <v>581</v>
      </c>
      <c r="F36" s="188" t="s">
        <v>582</v>
      </c>
    </row>
    <row r="37" spans="3:6" x14ac:dyDescent="0.2">
      <c r="C37" s="121" t="s">
        <v>583</v>
      </c>
      <c r="D37" s="188" t="s">
        <v>652</v>
      </c>
      <c r="E37" s="121" t="s">
        <v>584</v>
      </c>
      <c r="F37" s="188" t="s">
        <v>585</v>
      </c>
    </row>
    <row r="38" spans="3:6" x14ac:dyDescent="0.2">
      <c r="C38" s="121" t="s">
        <v>586</v>
      </c>
      <c r="D38" s="188" t="s">
        <v>654</v>
      </c>
      <c r="E38" s="121" t="s">
        <v>587</v>
      </c>
      <c r="F38" s="188" t="s">
        <v>1464</v>
      </c>
    </row>
    <row r="39" spans="3:6" x14ac:dyDescent="0.2">
      <c r="C39" s="121" t="s">
        <v>588</v>
      </c>
      <c r="D39" s="188" t="s">
        <v>656</v>
      </c>
      <c r="E39" s="121" t="s">
        <v>589</v>
      </c>
      <c r="F39" s="188" t="s">
        <v>590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6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J14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9.42578125" customWidth="1"/>
    <col min="2" max="2" width="10.85546875" customWidth="1"/>
    <col min="3" max="3" width="9.7109375" customWidth="1"/>
    <col min="5" max="5" width="8.28515625" customWidth="1"/>
    <col min="6" max="6" width="9.28515625" customWidth="1"/>
    <col min="7" max="7" width="8" customWidth="1"/>
    <col min="8" max="8" width="10.5703125" customWidth="1"/>
    <col min="9" max="9" width="8.85546875" customWidth="1"/>
  </cols>
  <sheetData>
    <row r="1" spans="1:10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A3" t="s">
        <v>2138</v>
      </c>
    </row>
    <row r="5" spans="1:10" ht="13.5" thickBot="1" x14ac:dyDescent="0.25">
      <c r="A5" s="2" t="s">
        <v>2139</v>
      </c>
      <c r="B5" s="2"/>
      <c r="C5" s="2"/>
      <c r="D5" s="2"/>
      <c r="E5" s="2"/>
      <c r="F5" s="2"/>
      <c r="G5" s="2"/>
      <c r="H5" s="2"/>
      <c r="I5" s="2"/>
    </row>
    <row r="6" spans="1:10" x14ac:dyDescent="0.2">
      <c r="B6" s="380" t="s">
        <v>2140</v>
      </c>
    </row>
    <row r="7" spans="1:10" x14ac:dyDescent="0.2">
      <c r="B7" s="380" t="s">
        <v>2141</v>
      </c>
    </row>
    <row r="8" spans="1:10" x14ac:dyDescent="0.2">
      <c r="B8" t="s">
        <v>2142</v>
      </c>
    </row>
    <row r="9" spans="1:10" x14ac:dyDescent="0.2">
      <c r="B9" t="s">
        <v>2143</v>
      </c>
    </row>
    <row r="10" spans="1:10" x14ac:dyDescent="0.2">
      <c r="B10" s="380" t="s">
        <v>2144</v>
      </c>
    </row>
    <row r="11" spans="1:10" x14ac:dyDescent="0.2">
      <c r="B11" t="s">
        <v>2145</v>
      </c>
    </row>
    <row r="13" spans="1:10" ht="13.5" thickBot="1" x14ac:dyDescent="0.25">
      <c r="A13" s="2" t="s">
        <v>2146</v>
      </c>
      <c r="B13" s="2"/>
      <c r="C13" s="2"/>
      <c r="D13" s="2"/>
      <c r="E13" s="2"/>
      <c r="F13" s="2"/>
      <c r="G13" s="2"/>
      <c r="H13" s="2"/>
      <c r="I13" s="2"/>
    </row>
    <row r="14" spans="1:10" x14ac:dyDescent="0.2">
      <c r="A14" s="380" t="s">
        <v>2147</v>
      </c>
    </row>
    <row r="16" spans="1:10" ht="13.5" thickBot="1" x14ac:dyDescent="0.25">
      <c r="A16" s="2" t="s">
        <v>2148</v>
      </c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121"/>
      <c r="B17" s="121"/>
      <c r="C17" s="121"/>
      <c r="D17" s="121"/>
      <c r="E17" s="121"/>
      <c r="F17" s="371" t="s">
        <v>2149</v>
      </c>
      <c r="G17" s="83">
        <v>75</v>
      </c>
    </row>
    <row r="18" spans="1:9" x14ac:dyDescent="0.2">
      <c r="A18" s="121"/>
      <c r="B18" s="121"/>
      <c r="C18" s="121"/>
      <c r="D18" s="121"/>
      <c r="E18" s="121"/>
      <c r="F18" s="127" t="s">
        <v>2150</v>
      </c>
      <c r="G18" s="29">
        <v>0.12</v>
      </c>
    </row>
    <row r="19" spans="1:9" x14ac:dyDescent="0.2">
      <c r="A19" s="121"/>
      <c r="B19" s="121"/>
      <c r="C19" s="121"/>
      <c r="D19" s="121"/>
      <c r="E19" s="121"/>
      <c r="F19" s="371" t="s">
        <v>2151</v>
      </c>
      <c r="G19" s="7">
        <v>10</v>
      </c>
    </row>
    <row r="20" spans="1:9" x14ac:dyDescent="0.2">
      <c r="A20" s="121"/>
      <c r="B20" s="121"/>
      <c r="C20" s="121"/>
      <c r="D20" s="121"/>
      <c r="E20" s="121"/>
      <c r="F20" s="371" t="s">
        <v>2152</v>
      </c>
      <c r="G20" s="83">
        <v>25</v>
      </c>
    </row>
    <row r="21" spans="1:9" x14ac:dyDescent="0.2">
      <c r="A21" s="121"/>
      <c r="B21" s="121"/>
      <c r="C21" s="121"/>
      <c r="D21" s="371"/>
      <c r="E21" s="121"/>
      <c r="F21" s="371" t="s">
        <v>2153</v>
      </c>
      <c r="G21" s="7">
        <v>0.5</v>
      </c>
    </row>
    <row r="22" spans="1:9" x14ac:dyDescent="0.2">
      <c r="A22" s="121"/>
      <c r="B22" s="121"/>
      <c r="C22" s="121"/>
      <c r="D22" s="371"/>
      <c r="E22" s="121"/>
      <c r="F22" s="127" t="s">
        <v>2154</v>
      </c>
      <c r="G22" s="7">
        <v>2</v>
      </c>
    </row>
    <row r="23" spans="1:9" x14ac:dyDescent="0.2">
      <c r="D23" s="88"/>
      <c r="F23" s="88"/>
    </row>
    <row r="24" spans="1:9" x14ac:dyDescent="0.2">
      <c r="B24" s="121"/>
      <c r="C24" s="121"/>
      <c r="D24" s="121"/>
      <c r="E24" s="121"/>
      <c r="F24" s="127" t="s">
        <v>2155</v>
      </c>
      <c r="G24" s="7">
        <v>200</v>
      </c>
      <c r="H24" s="29">
        <v>0.01</v>
      </c>
    </row>
    <row r="25" spans="1:9" x14ac:dyDescent="0.2">
      <c r="B25" s="121"/>
      <c r="C25" s="121"/>
      <c r="D25" s="121"/>
      <c r="E25" s="121"/>
      <c r="F25" s="127" t="s">
        <v>2156</v>
      </c>
      <c r="G25" s="7">
        <v>750</v>
      </c>
      <c r="H25" s="29">
        <v>0.05</v>
      </c>
    </row>
    <row r="26" spans="1:9" x14ac:dyDescent="0.2">
      <c r="F26" s="88"/>
      <c r="H26" s="381"/>
    </row>
    <row r="27" spans="1:9" ht="13.5" thickBot="1" x14ac:dyDescent="0.25">
      <c r="A27" s="2" t="s">
        <v>2157</v>
      </c>
      <c r="B27" s="2"/>
      <c r="C27" s="2"/>
      <c r="D27" s="2"/>
      <c r="E27" s="2"/>
      <c r="F27" s="382"/>
      <c r="G27" s="2"/>
      <c r="H27" s="383"/>
      <c r="I27" s="2"/>
    </row>
    <row r="28" spans="1:9" ht="51" x14ac:dyDescent="0.2">
      <c r="A28" s="57" t="s">
        <v>2158</v>
      </c>
      <c r="B28" s="57" t="s">
        <v>2159</v>
      </c>
      <c r="C28" s="57" t="s">
        <v>2160</v>
      </c>
      <c r="D28" s="57" t="s">
        <v>2161</v>
      </c>
      <c r="E28" s="57" t="s">
        <v>2162</v>
      </c>
      <c r="F28" s="57" t="s">
        <v>2163</v>
      </c>
      <c r="G28" s="78" t="s">
        <v>2164</v>
      </c>
      <c r="H28" s="57" t="s">
        <v>2165</v>
      </c>
      <c r="I28" s="57" t="s">
        <v>2662</v>
      </c>
    </row>
    <row r="29" spans="1:9" x14ac:dyDescent="0.2">
      <c r="A29" s="7">
        <v>1</v>
      </c>
      <c r="B29" s="8">
        <f t="shared" ref="B29:B59" si="0">A29*$G$19</f>
        <v>10</v>
      </c>
      <c r="C29" s="31">
        <f t="shared" ref="C29:C59" si="1">B29*$G$17</f>
        <v>750</v>
      </c>
      <c r="D29" s="31">
        <f t="shared" ref="D29:D59" si="2">C29*IF(AND(B29&gt;=$G$24,B29&lt;$G$25),$H$24,IF(B29&gt;=$G$25,$H$25,0))</f>
        <v>0</v>
      </c>
      <c r="E29" s="82">
        <f t="shared" ref="E29:E59" si="3">CEILING(365/A29,1)</f>
        <v>365</v>
      </c>
      <c r="F29" s="31">
        <f>E29*$G$20</f>
        <v>9125</v>
      </c>
      <c r="G29" s="31">
        <f t="shared" ref="G29:G59" si="4">(B29*$G$21)*$G$17*$G$18</f>
        <v>45</v>
      </c>
      <c r="H29" s="384">
        <f t="shared" ref="H29:H59" si="5">F29+G29-D29</f>
        <v>9170</v>
      </c>
      <c r="I29" s="385" t="str">
        <f t="shared" ref="I29:I59" si="6">IF(H29=MIN($H$29:$H$59),"Best","-")</f>
        <v>-</v>
      </c>
    </row>
    <row r="30" spans="1:9" x14ac:dyDescent="0.2">
      <c r="A30" s="8">
        <f>G22</f>
        <v>2</v>
      </c>
      <c r="B30" s="8">
        <f t="shared" si="0"/>
        <v>20</v>
      </c>
      <c r="C30" s="31">
        <f t="shared" si="1"/>
        <v>1500</v>
      </c>
      <c r="D30" s="31">
        <f t="shared" si="2"/>
        <v>0</v>
      </c>
      <c r="E30" s="82">
        <f t="shared" si="3"/>
        <v>183</v>
      </c>
      <c r="F30" s="31">
        <f t="shared" ref="F30:F59" si="7">CEILING(E30,1)*$G$20</f>
        <v>4575</v>
      </c>
      <c r="G30" s="31">
        <f t="shared" si="4"/>
        <v>90</v>
      </c>
      <c r="H30" s="31">
        <f t="shared" si="5"/>
        <v>4665</v>
      </c>
      <c r="I30" s="8" t="str">
        <f t="shared" si="6"/>
        <v>-</v>
      </c>
    </row>
    <row r="31" spans="1:9" x14ac:dyDescent="0.2">
      <c r="A31" s="8">
        <f t="shared" ref="A31:A59" si="8">A30+$G$22</f>
        <v>4</v>
      </c>
      <c r="B31" s="8">
        <f t="shared" si="0"/>
        <v>40</v>
      </c>
      <c r="C31" s="31">
        <f t="shared" si="1"/>
        <v>3000</v>
      </c>
      <c r="D31" s="31">
        <f t="shared" si="2"/>
        <v>0</v>
      </c>
      <c r="E31" s="82">
        <f t="shared" si="3"/>
        <v>92</v>
      </c>
      <c r="F31" s="31">
        <f t="shared" si="7"/>
        <v>2300</v>
      </c>
      <c r="G31" s="31">
        <f t="shared" si="4"/>
        <v>180</v>
      </c>
      <c r="H31" s="31">
        <f t="shared" si="5"/>
        <v>2480</v>
      </c>
      <c r="I31" s="8" t="str">
        <f t="shared" si="6"/>
        <v>-</v>
      </c>
    </row>
    <row r="32" spans="1:9" x14ac:dyDescent="0.2">
      <c r="A32" s="8">
        <f t="shared" si="8"/>
        <v>6</v>
      </c>
      <c r="B32" s="8">
        <f t="shared" si="0"/>
        <v>60</v>
      </c>
      <c r="C32" s="31">
        <f t="shared" si="1"/>
        <v>4500</v>
      </c>
      <c r="D32" s="31">
        <f t="shared" si="2"/>
        <v>0</v>
      </c>
      <c r="E32" s="82">
        <f t="shared" si="3"/>
        <v>61</v>
      </c>
      <c r="F32" s="31">
        <f t="shared" si="7"/>
        <v>1525</v>
      </c>
      <c r="G32" s="31">
        <f t="shared" si="4"/>
        <v>270</v>
      </c>
      <c r="H32" s="31">
        <f t="shared" si="5"/>
        <v>1795</v>
      </c>
      <c r="I32" s="8" t="str">
        <f t="shared" si="6"/>
        <v>-</v>
      </c>
    </row>
    <row r="33" spans="1:9" x14ac:dyDescent="0.2">
      <c r="A33" s="8">
        <f t="shared" si="8"/>
        <v>8</v>
      </c>
      <c r="B33" s="8">
        <f t="shared" si="0"/>
        <v>80</v>
      </c>
      <c r="C33" s="31">
        <f t="shared" si="1"/>
        <v>6000</v>
      </c>
      <c r="D33" s="31">
        <f t="shared" si="2"/>
        <v>0</v>
      </c>
      <c r="E33" s="82">
        <f t="shared" si="3"/>
        <v>46</v>
      </c>
      <c r="F33" s="31">
        <f t="shared" si="7"/>
        <v>1150</v>
      </c>
      <c r="G33" s="31">
        <f t="shared" si="4"/>
        <v>360</v>
      </c>
      <c r="H33" s="31">
        <f t="shared" si="5"/>
        <v>1510</v>
      </c>
      <c r="I33" s="8" t="str">
        <f t="shared" si="6"/>
        <v>-</v>
      </c>
    </row>
    <row r="34" spans="1:9" x14ac:dyDescent="0.2">
      <c r="A34" s="8">
        <f t="shared" si="8"/>
        <v>10</v>
      </c>
      <c r="B34" s="8">
        <f t="shared" si="0"/>
        <v>100</v>
      </c>
      <c r="C34" s="31">
        <f t="shared" si="1"/>
        <v>7500</v>
      </c>
      <c r="D34" s="31">
        <f t="shared" si="2"/>
        <v>0</v>
      </c>
      <c r="E34" s="82">
        <f t="shared" si="3"/>
        <v>37</v>
      </c>
      <c r="F34" s="31">
        <f t="shared" si="7"/>
        <v>925</v>
      </c>
      <c r="G34" s="31">
        <f t="shared" si="4"/>
        <v>450</v>
      </c>
      <c r="H34" s="31">
        <f t="shared" si="5"/>
        <v>1375</v>
      </c>
      <c r="I34" s="8" t="str">
        <f t="shared" si="6"/>
        <v>-</v>
      </c>
    </row>
    <row r="35" spans="1:9" x14ac:dyDescent="0.2">
      <c r="A35" s="8">
        <f t="shared" si="8"/>
        <v>12</v>
      </c>
      <c r="B35" s="8">
        <f t="shared" si="0"/>
        <v>120</v>
      </c>
      <c r="C35" s="31">
        <f t="shared" si="1"/>
        <v>9000</v>
      </c>
      <c r="D35" s="31">
        <f t="shared" si="2"/>
        <v>0</v>
      </c>
      <c r="E35" s="82">
        <f t="shared" si="3"/>
        <v>31</v>
      </c>
      <c r="F35" s="31">
        <f t="shared" si="7"/>
        <v>775</v>
      </c>
      <c r="G35" s="31">
        <f t="shared" si="4"/>
        <v>540</v>
      </c>
      <c r="H35" s="31">
        <f t="shared" si="5"/>
        <v>1315</v>
      </c>
      <c r="I35" s="8" t="str">
        <f t="shared" si="6"/>
        <v>-</v>
      </c>
    </row>
    <row r="36" spans="1:9" x14ac:dyDescent="0.2">
      <c r="A36" s="8">
        <f t="shared" si="8"/>
        <v>14</v>
      </c>
      <c r="B36" s="8">
        <f t="shared" si="0"/>
        <v>140</v>
      </c>
      <c r="C36" s="31">
        <f t="shared" si="1"/>
        <v>10500</v>
      </c>
      <c r="D36" s="31">
        <f t="shared" si="2"/>
        <v>0</v>
      </c>
      <c r="E36" s="82">
        <f t="shared" si="3"/>
        <v>27</v>
      </c>
      <c r="F36" s="31">
        <f t="shared" si="7"/>
        <v>675</v>
      </c>
      <c r="G36" s="31">
        <f t="shared" si="4"/>
        <v>630</v>
      </c>
      <c r="H36" s="31">
        <f t="shared" si="5"/>
        <v>1305</v>
      </c>
      <c r="I36" s="8" t="str">
        <f t="shared" si="6"/>
        <v>-</v>
      </c>
    </row>
    <row r="37" spans="1:9" x14ac:dyDescent="0.2">
      <c r="A37" s="8">
        <f t="shared" si="8"/>
        <v>16</v>
      </c>
      <c r="B37" s="8">
        <f t="shared" si="0"/>
        <v>160</v>
      </c>
      <c r="C37" s="31">
        <f t="shared" si="1"/>
        <v>12000</v>
      </c>
      <c r="D37" s="31">
        <f t="shared" si="2"/>
        <v>0</v>
      </c>
      <c r="E37" s="82">
        <f t="shared" si="3"/>
        <v>23</v>
      </c>
      <c r="F37" s="31">
        <f t="shared" si="7"/>
        <v>575</v>
      </c>
      <c r="G37" s="31">
        <f t="shared" si="4"/>
        <v>720</v>
      </c>
      <c r="H37" s="31">
        <f t="shared" si="5"/>
        <v>1295</v>
      </c>
      <c r="I37" s="8" t="str">
        <f t="shared" si="6"/>
        <v>-</v>
      </c>
    </row>
    <row r="38" spans="1:9" x14ac:dyDescent="0.2">
      <c r="A38" s="8">
        <f t="shared" si="8"/>
        <v>18</v>
      </c>
      <c r="B38" s="8">
        <f t="shared" si="0"/>
        <v>180</v>
      </c>
      <c r="C38" s="31">
        <f t="shared" si="1"/>
        <v>13500</v>
      </c>
      <c r="D38" s="31">
        <f t="shared" si="2"/>
        <v>0</v>
      </c>
      <c r="E38" s="82">
        <f t="shared" si="3"/>
        <v>21</v>
      </c>
      <c r="F38" s="31">
        <f t="shared" si="7"/>
        <v>525</v>
      </c>
      <c r="G38" s="31">
        <f t="shared" si="4"/>
        <v>810</v>
      </c>
      <c r="H38" s="31">
        <f t="shared" si="5"/>
        <v>1335</v>
      </c>
      <c r="I38" s="8" t="str">
        <f t="shared" si="6"/>
        <v>-</v>
      </c>
    </row>
    <row r="39" spans="1:9" x14ac:dyDescent="0.2">
      <c r="A39" s="8">
        <f t="shared" si="8"/>
        <v>20</v>
      </c>
      <c r="B39" s="8">
        <f t="shared" si="0"/>
        <v>200</v>
      </c>
      <c r="C39" s="31">
        <f t="shared" si="1"/>
        <v>15000</v>
      </c>
      <c r="D39" s="31">
        <f t="shared" si="2"/>
        <v>150</v>
      </c>
      <c r="E39" s="82">
        <f t="shared" si="3"/>
        <v>19</v>
      </c>
      <c r="F39" s="31">
        <f t="shared" si="7"/>
        <v>475</v>
      </c>
      <c r="G39" s="31">
        <f t="shared" si="4"/>
        <v>900</v>
      </c>
      <c r="H39" s="31">
        <f t="shared" si="5"/>
        <v>1225</v>
      </c>
      <c r="I39" s="8" t="str">
        <f t="shared" si="6"/>
        <v>Best</v>
      </c>
    </row>
    <row r="40" spans="1:9" x14ac:dyDescent="0.2">
      <c r="A40" s="8">
        <f t="shared" si="8"/>
        <v>22</v>
      </c>
      <c r="B40" s="8">
        <f t="shared" si="0"/>
        <v>220</v>
      </c>
      <c r="C40" s="31">
        <f t="shared" si="1"/>
        <v>16500</v>
      </c>
      <c r="D40" s="31">
        <f t="shared" si="2"/>
        <v>165</v>
      </c>
      <c r="E40" s="82">
        <f t="shared" si="3"/>
        <v>17</v>
      </c>
      <c r="F40" s="31">
        <f t="shared" si="7"/>
        <v>425</v>
      </c>
      <c r="G40" s="31">
        <f t="shared" si="4"/>
        <v>990</v>
      </c>
      <c r="H40" s="31">
        <f t="shared" si="5"/>
        <v>1250</v>
      </c>
      <c r="I40" s="8" t="str">
        <f t="shared" si="6"/>
        <v>-</v>
      </c>
    </row>
    <row r="41" spans="1:9" x14ac:dyDescent="0.2">
      <c r="A41" s="8">
        <f t="shared" si="8"/>
        <v>24</v>
      </c>
      <c r="B41" s="8">
        <f t="shared" si="0"/>
        <v>240</v>
      </c>
      <c r="C41" s="31">
        <f t="shared" si="1"/>
        <v>18000</v>
      </c>
      <c r="D41" s="31">
        <f t="shared" si="2"/>
        <v>180</v>
      </c>
      <c r="E41" s="82">
        <f t="shared" si="3"/>
        <v>16</v>
      </c>
      <c r="F41" s="31">
        <f t="shared" si="7"/>
        <v>400</v>
      </c>
      <c r="G41" s="31">
        <f t="shared" si="4"/>
        <v>1080</v>
      </c>
      <c r="H41" s="31">
        <f t="shared" si="5"/>
        <v>1300</v>
      </c>
      <c r="I41" s="8" t="str">
        <f t="shared" si="6"/>
        <v>-</v>
      </c>
    </row>
    <row r="42" spans="1:9" x14ac:dyDescent="0.2">
      <c r="A42" s="8">
        <f t="shared" si="8"/>
        <v>26</v>
      </c>
      <c r="B42" s="8">
        <f t="shared" si="0"/>
        <v>260</v>
      </c>
      <c r="C42" s="31">
        <f t="shared" si="1"/>
        <v>19500</v>
      </c>
      <c r="D42" s="31">
        <f t="shared" si="2"/>
        <v>195</v>
      </c>
      <c r="E42" s="82">
        <f t="shared" si="3"/>
        <v>15</v>
      </c>
      <c r="F42" s="31">
        <f t="shared" si="7"/>
        <v>375</v>
      </c>
      <c r="G42" s="31">
        <f t="shared" si="4"/>
        <v>1170</v>
      </c>
      <c r="H42" s="31">
        <f t="shared" si="5"/>
        <v>1350</v>
      </c>
      <c r="I42" s="8" t="str">
        <f t="shared" si="6"/>
        <v>-</v>
      </c>
    </row>
    <row r="43" spans="1:9" x14ac:dyDescent="0.2">
      <c r="A43" s="8">
        <f t="shared" si="8"/>
        <v>28</v>
      </c>
      <c r="B43" s="8">
        <f t="shared" si="0"/>
        <v>280</v>
      </c>
      <c r="C43" s="31">
        <f t="shared" si="1"/>
        <v>21000</v>
      </c>
      <c r="D43" s="31">
        <f t="shared" si="2"/>
        <v>210</v>
      </c>
      <c r="E43" s="82">
        <f t="shared" si="3"/>
        <v>14</v>
      </c>
      <c r="F43" s="31">
        <f t="shared" si="7"/>
        <v>350</v>
      </c>
      <c r="G43" s="31">
        <f t="shared" si="4"/>
        <v>1260</v>
      </c>
      <c r="H43" s="31">
        <f t="shared" si="5"/>
        <v>1400</v>
      </c>
      <c r="I43" s="8" t="str">
        <f t="shared" si="6"/>
        <v>-</v>
      </c>
    </row>
    <row r="44" spans="1:9" x14ac:dyDescent="0.2">
      <c r="A44" s="8">
        <f t="shared" si="8"/>
        <v>30</v>
      </c>
      <c r="B44" s="8">
        <f t="shared" si="0"/>
        <v>300</v>
      </c>
      <c r="C44" s="31">
        <f t="shared" si="1"/>
        <v>22500</v>
      </c>
      <c r="D44" s="31">
        <f t="shared" si="2"/>
        <v>225</v>
      </c>
      <c r="E44" s="82">
        <f t="shared" si="3"/>
        <v>13</v>
      </c>
      <c r="F44" s="31">
        <f t="shared" si="7"/>
        <v>325</v>
      </c>
      <c r="G44" s="31">
        <f t="shared" si="4"/>
        <v>1350</v>
      </c>
      <c r="H44" s="31">
        <f t="shared" si="5"/>
        <v>1450</v>
      </c>
      <c r="I44" s="8" t="str">
        <f t="shared" si="6"/>
        <v>-</v>
      </c>
    </row>
    <row r="45" spans="1:9" x14ac:dyDescent="0.2">
      <c r="A45" s="8">
        <f t="shared" si="8"/>
        <v>32</v>
      </c>
      <c r="B45" s="8">
        <f t="shared" si="0"/>
        <v>320</v>
      </c>
      <c r="C45" s="31">
        <f t="shared" si="1"/>
        <v>24000</v>
      </c>
      <c r="D45" s="31">
        <f t="shared" si="2"/>
        <v>240</v>
      </c>
      <c r="E45" s="82">
        <f t="shared" si="3"/>
        <v>12</v>
      </c>
      <c r="F45" s="31">
        <f t="shared" si="7"/>
        <v>300</v>
      </c>
      <c r="G45" s="31">
        <f t="shared" si="4"/>
        <v>1440</v>
      </c>
      <c r="H45" s="31">
        <f t="shared" si="5"/>
        <v>1500</v>
      </c>
      <c r="I45" s="8" t="str">
        <f t="shared" si="6"/>
        <v>-</v>
      </c>
    </row>
    <row r="46" spans="1:9" x14ac:dyDescent="0.2">
      <c r="A46" s="8">
        <f t="shared" si="8"/>
        <v>34</v>
      </c>
      <c r="B46" s="8">
        <f t="shared" si="0"/>
        <v>340</v>
      </c>
      <c r="C46" s="31">
        <f t="shared" si="1"/>
        <v>25500</v>
      </c>
      <c r="D46" s="31">
        <f t="shared" si="2"/>
        <v>255</v>
      </c>
      <c r="E46" s="82">
        <f t="shared" si="3"/>
        <v>11</v>
      </c>
      <c r="F46" s="31">
        <f t="shared" si="7"/>
        <v>275</v>
      </c>
      <c r="G46" s="31">
        <f t="shared" si="4"/>
        <v>1530</v>
      </c>
      <c r="H46" s="31">
        <f t="shared" si="5"/>
        <v>1550</v>
      </c>
      <c r="I46" s="8" t="str">
        <f t="shared" si="6"/>
        <v>-</v>
      </c>
    </row>
    <row r="47" spans="1:9" x14ac:dyDescent="0.2">
      <c r="A47" s="8">
        <f t="shared" si="8"/>
        <v>36</v>
      </c>
      <c r="B47" s="8">
        <f t="shared" si="0"/>
        <v>360</v>
      </c>
      <c r="C47" s="31">
        <f t="shared" si="1"/>
        <v>27000</v>
      </c>
      <c r="D47" s="31">
        <f t="shared" si="2"/>
        <v>270</v>
      </c>
      <c r="E47" s="82">
        <f t="shared" si="3"/>
        <v>11</v>
      </c>
      <c r="F47" s="31">
        <f t="shared" si="7"/>
        <v>275</v>
      </c>
      <c r="G47" s="31">
        <f t="shared" si="4"/>
        <v>1620</v>
      </c>
      <c r="H47" s="31">
        <f t="shared" si="5"/>
        <v>1625</v>
      </c>
      <c r="I47" s="8" t="str">
        <f t="shared" si="6"/>
        <v>-</v>
      </c>
    </row>
    <row r="48" spans="1:9" x14ac:dyDescent="0.2">
      <c r="A48" s="8">
        <f t="shared" si="8"/>
        <v>38</v>
      </c>
      <c r="B48" s="8">
        <f t="shared" si="0"/>
        <v>380</v>
      </c>
      <c r="C48" s="31">
        <f t="shared" si="1"/>
        <v>28500</v>
      </c>
      <c r="D48" s="31">
        <f t="shared" si="2"/>
        <v>285</v>
      </c>
      <c r="E48" s="82">
        <f t="shared" si="3"/>
        <v>10</v>
      </c>
      <c r="F48" s="31">
        <f t="shared" si="7"/>
        <v>250</v>
      </c>
      <c r="G48" s="31">
        <f t="shared" si="4"/>
        <v>1710</v>
      </c>
      <c r="H48" s="31">
        <f t="shared" si="5"/>
        <v>1675</v>
      </c>
      <c r="I48" s="8" t="str">
        <f t="shared" si="6"/>
        <v>-</v>
      </c>
    </row>
    <row r="49" spans="1:9" x14ac:dyDescent="0.2">
      <c r="A49" s="8">
        <f t="shared" si="8"/>
        <v>40</v>
      </c>
      <c r="B49" s="8">
        <f t="shared" si="0"/>
        <v>400</v>
      </c>
      <c r="C49" s="31">
        <f t="shared" si="1"/>
        <v>30000</v>
      </c>
      <c r="D49" s="31">
        <f t="shared" si="2"/>
        <v>300</v>
      </c>
      <c r="E49" s="82">
        <f t="shared" si="3"/>
        <v>10</v>
      </c>
      <c r="F49" s="31">
        <f t="shared" si="7"/>
        <v>250</v>
      </c>
      <c r="G49" s="31">
        <f t="shared" si="4"/>
        <v>1800</v>
      </c>
      <c r="H49" s="31">
        <f t="shared" si="5"/>
        <v>1750</v>
      </c>
      <c r="I49" s="8" t="str">
        <f t="shared" si="6"/>
        <v>-</v>
      </c>
    </row>
    <row r="50" spans="1:9" x14ac:dyDescent="0.2">
      <c r="A50" s="8">
        <f t="shared" si="8"/>
        <v>42</v>
      </c>
      <c r="B50" s="8">
        <f t="shared" si="0"/>
        <v>420</v>
      </c>
      <c r="C50" s="31">
        <f t="shared" si="1"/>
        <v>31500</v>
      </c>
      <c r="D50" s="31">
        <f t="shared" si="2"/>
        <v>315</v>
      </c>
      <c r="E50" s="82">
        <f t="shared" si="3"/>
        <v>9</v>
      </c>
      <c r="F50" s="31">
        <f t="shared" si="7"/>
        <v>225</v>
      </c>
      <c r="G50" s="31">
        <f t="shared" si="4"/>
        <v>1890</v>
      </c>
      <c r="H50" s="31">
        <f t="shared" si="5"/>
        <v>1800</v>
      </c>
      <c r="I50" s="8" t="str">
        <f t="shared" si="6"/>
        <v>-</v>
      </c>
    </row>
    <row r="51" spans="1:9" x14ac:dyDescent="0.2">
      <c r="A51" s="8">
        <f t="shared" si="8"/>
        <v>44</v>
      </c>
      <c r="B51" s="8">
        <f t="shared" si="0"/>
        <v>440</v>
      </c>
      <c r="C51" s="31">
        <f t="shared" si="1"/>
        <v>33000</v>
      </c>
      <c r="D51" s="31">
        <f t="shared" si="2"/>
        <v>330</v>
      </c>
      <c r="E51" s="82">
        <f t="shared" si="3"/>
        <v>9</v>
      </c>
      <c r="F51" s="31">
        <f t="shared" si="7"/>
        <v>225</v>
      </c>
      <c r="G51" s="31">
        <f t="shared" si="4"/>
        <v>1980</v>
      </c>
      <c r="H51" s="31">
        <f t="shared" si="5"/>
        <v>1875</v>
      </c>
      <c r="I51" s="8" t="str">
        <f t="shared" si="6"/>
        <v>-</v>
      </c>
    </row>
    <row r="52" spans="1:9" x14ac:dyDescent="0.2">
      <c r="A52" s="8">
        <f t="shared" si="8"/>
        <v>46</v>
      </c>
      <c r="B52" s="8">
        <f t="shared" si="0"/>
        <v>460</v>
      </c>
      <c r="C52" s="31">
        <f t="shared" si="1"/>
        <v>34500</v>
      </c>
      <c r="D52" s="31">
        <f t="shared" si="2"/>
        <v>345</v>
      </c>
      <c r="E52" s="82">
        <f t="shared" si="3"/>
        <v>8</v>
      </c>
      <c r="F52" s="31">
        <f t="shared" si="7"/>
        <v>200</v>
      </c>
      <c r="G52" s="31">
        <f t="shared" si="4"/>
        <v>2070</v>
      </c>
      <c r="H52" s="31">
        <f t="shared" si="5"/>
        <v>1925</v>
      </c>
      <c r="I52" s="8" t="str">
        <f t="shared" si="6"/>
        <v>-</v>
      </c>
    </row>
    <row r="53" spans="1:9" x14ac:dyDescent="0.2">
      <c r="A53" s="8">
        <f t="shared" si="8"/>
        <v>48</v>
      </c>
      <c r="B53" s="8">
        <f t="shared" si="0"/>
        <v>480</v>
      </c>
      <c r="C53" s="31">
        <f t="shared" si="1"/>
        <v>36000</v>
      </c>
      <c r="D53" s="31">
        <f t="shared" si="2"/>
        <v>360</v>
      </c>
      <c r="E53" s="82">
        <f t="shared" si="3"/>
        <v>8</v>
      </c>
      <c r="F53" s="31">
        <f t="shared" si="7"/>
        <v>200</v>
      </c>
      <c r="G53" s="31">
        <f t="shared" si="4"/>
        <v>2160</v>
      </c>
      <c r="H53" s="31">
        <f t="shared" si="5"/>
        <v>2000</v>
      </c>
      <c r="I53" s="8" t="str">
        <f t="shared" si="6"/>
        <v>-</v>
      </c>
    </row>
    <row r="54" spans="1:9" x14ac:dyDescent="0.2">
      <c r="A54" s="8">
        <f t="shared" si="8"/>
        <v>50</v>
      </c>
      <c r="B54" s="8">
        <f t="shared" si="0"/>
        <v>500</v>
      </c>
      <c r="C54" s="31">
        <f t="shared" si="1"/>
        <v>37500</v>
      </c>
      <c r="D54" s="31">
        <f t="shared" si="2"/>
        <v>375</v>
      </c>
      <c r="E54" s="82">
        <f t="shared" si="3"/>
        <v>8</v>
      </c>
      <c r="F54" s="31">
        <f t="shared" si="7"/>
        <v>200</v>
      </c>
      <c r="G54" s="31">
        <f t="shared" si="4"/>
        <v>2250</v>
      </c>
      <c r="H54" s="31">
        <f t="shared" si="5"/>
        <v>2075</v>
      </c>
      <c r="I54" s="8" t="str">
        <f t="shared" si="6"/>
        <v>-</v>
      </c>
    </row>
    <row r="55" spans="1:9" x14ac:dyDescent="0.2">
      <c r="A55" s="8">
        <f t="shared" si="8"/>
        <v>52</v>
      </c>
      <c r="B55" s="8">
        <f t="shared" si="0"/>
        <v>520</v>
      </c>
      <c r="C55" s="31">
        <f t="shared" si="1"/>
        <v>39000</v>
      </c>
      <c r="D55" s="31">
        <f t="shared" si="2"/>
        <v>390</v>
      </c>
      <c r="E55" s="82">
        <f t="shared" si="3"/>
        <v>8</v>
      </c>
      <c r="F55" s="31">
        <f t="shared" si="7"/>
        <v>200</v>
      </c>
      <c r="G55" s="31">
        <f t="shared" si="4"/>
        <v>2340</v>
      </c>
      <c r="H55" s="31">
        <f t="shared" si="5"/>
        <v>2150</v>
      </c>
      <c r="I55" s="8" t="str">
        <f t="shared" si="6"/>
        <v>-</v>
      </c>
    </row>
    <row r="56" spans="1:9" x14ac:dyDescent="0.2">
      <c r="A56" s="8">
        <f t="shared" si="8"/>
        <v>54</v>
      </c>
      <c r="B56" s="8">
        <f t="shared" si="0"/>
        <v>540</v>
      </c>
      <c r="C56" s="31">
        <f t="shared" si="1"/>
        <v>40500</v>
      </c>
      <c r="D56" s="31">
        <f t="shared" si="2"/>
        <v>405</v>
      </c>
      <c r="E56" s="82">
        <f t="shared" si="3"/>
        <v>7</v>
      </c>
      <c r="F56" s="31">
        <f t="shared" si="7"/>
        <v>175</v>
      </c>
      <c r="G56" s="31">
        <f t="shared" si="4"/>
        <v>2430</v>
      </c>
      <c r="H56" s="31">
        <f t="shared" si="5"/>
        <v>2200</v>
      </c>
      <c r="I56" s="8" t="str">
        <f t="shared" si="6"/>
        <v>-</v>
      </c>
    </row>
    <row r="57" spans="1:9" x14ac:dyDescent="0.2">
      <c r="A57" s="8">
        <f t="shared" si="8"/>
        <v>56</v>
      </c>
      <c r="B57" s="8">
        <f t="shared" si="0"/>
        <v>560</v>
      </c>
      <c r="C57" s="31">
        <f t="shared" si="1"/>
        <v>42000</v>
      </c>
      <c r="D57" s="31">
        <f t="shared" si="2"/>
        <v>420</v>
      </c>
      <c r="E57" s="82">
        <f t="shared" si="3"/>
        <v>7</v>
      </c>
      <c r="F57" s="31">
        <f t="shared" si="7"/>
        <v>175</v>
      </c>
      <c r="G57" s="31">
        <f t="shared" si="4"/>
        <v>2520</v>
      </c>
      <c r="H57" s="31">
        <f t="shared" si="5"/>
        <v>2275</v>
      </c>
      <c r="I57" s="8" t="str">
        <f t="shared" si="6"/>
        <v>-</v>
      </c>
    </row>
    <row r="58" spans="1:9" x14ac:dyDescent="0.2">
      <c r="A58" s="8">
        <f t="shared" si="8"/>
        <v>58</v>
      </c>
      <c r="B58" s="8">
        <f t="shared" si="0"/>
        <v>580</v>
      </c>
      <c r="C58" s="31">
        <f t="shared" si="1"/>
        <v>43500</v>
      </c>
      <c r="D58" s="31">
        <f t="shared" si="2"/>
        <v>435</v>
      </c>
      <c r="E58" s="82">
        <f t="shared" si="3"/>
        <v>7</v>
      </c>
      <c r="F58" s="31">
        <f t="shared" si="7"/>
        <v>175</v>
      </c>
      <c r="G58" s="31">
        <f t="shared" si="4"/>
        <v>2610</v>
      </c>
      <c r="H58" s="31">
        <f t="shared" si="5"/>
        <v>2350</v>
      </c>
      <c r="I58" s="8" t="str">
        <f t="shared" si="6"/>
        <v>-</v>
      </c>
    </row>
    <row r="59" spans="1:9" x14ac:dyDescent="0.2">
      <c r="A59" s="8">
        <f t="shared" si="8"/>
        <v>60</v>
      </c>
      <c r="B59" s="8">
        <f t="shared" si="0"/>
        <v>600</v>
      </c>
      <c r="C59" s="31">
        <f t="shared" si="1"/>
        <v>45000</v>
      </c>
      <c r="D59" s="31">
        <f t="shared" si="2"/>
        <v>450</v>
      </c>
      <c r="E59" s="82">
        <f t="shared" si="3"/>
        <v>7</v>
      </c>
      <c r="F59" s="31">
        <f t="shared" si="7"/>
        <v>175</v>
      </c>
      <c r="G59" s="31">
        <f t="shared" si="4"/>
        <v>2700</v>
      </c>
      <c r="H59" s="31">
        <f t="shared" si="5"/>
        <v>2425</v>
      </c>
      <c r="I59" s="8" t="str">
        <f t="shared" si="6"/>
        <v>-</v>
      </c>
    </row>
    <row r="61" spans="1:9" ht="13.5" thickBot="1" x14ac:dyDescent="0.25">
      <c r="A61" s="2" t="s">
        <v>2663</v>
      </c>
      <c r="B61" s="2"/>
      <c r="C61" s="2"/>
      <c r="D61" s="2"/>
      <c r="E61" s="2"/>
      <c r="F61" s="2"/>
      <c r="G61" s="2"/>
      <c r="H61" s="2"/>
      <c r="I61" s="2"/>
    </row>
    <row r="62" spans="1:9" x14ac:dyDescent="0.2">
      <c r="B62" s="380" t="s">
        <v>2664</v>
      </c>
    </row>
    <row r="63" spans="1:9" x14ac:dyDescent="0.2">
      <c r="B63" s="380" t="s">
        <v>2665</v>
      </c>
    </row>
    <row r="64" spans="1:9" x14ac:dyDescent="0.2">
      <c r="B64" s="380" t="s">
        <v>2666</v>
      </c>
    </row>
    <row r="65" spans="1:9" x14ac:dyDescent="0.2">
      <c r="B65" s="380" t="s">
        <v>2667</v>
      </c>
    </row>
    <row r="67" spans="1:9" ht="13.5" thickBot="1" x14ac:dyDescent="0.25">
      <c r="A67" s="2" t="s">
        <v>1483</v>
      </c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t="s">
        <v>2668</v>
      </c>
      <c r="B68" s="188" t="s">
        <v>2669</v>
      </c>
    </row>
    <row r="69" spans="1:9" x14ac:dyDescent="0.2">
      <c r="B69" t="s">
        <v>2670</v>
      </c>
    </row>
    <row r="70" spans="1:9" x14ac:dyDescent="0.2">
      <c r="B70" t="s">
        <v>2671</v>
      </c>
    </row>
    <row r="71" spans="1:9" x14ac:dyDescent="0.2">
      <c r="B71" t="s">
        <v>2672</v>
      </c>
    </row>
    <row r="72" spans="1:9" x14ac:dyDescent="0.2">
      <c r="B72" t="s">
        <v>2673</v>
      </c>
    </row>
    <row r="73" spans="1:9" x14ac:dyDescent="0.2">
      <c r="B73" s="380" t="s">
        <v>2674</v>
      </c>
    </row>
    <row r="75" spans="1:9" x14ac:dyDescent="0.2">
      <c r="A75" t="s">
        <v>2675</v>
      </c>
      <c r="B75" s="188" t="s">
        <v>2676</v>
      </c>
    </row>
    <row r="76" spans="1:9" x14ac:dyDescent="0.2">
      <c r="B76" t="s">
        <v>2677</v>
      </c>
    </row>
    <row r="78" spans="1:9" x14ac:dyDescent="0.2">
      <c r="B78" t="s">
        <v>2678</v>
      </c>
      <c r="C78" t="s">
        <v>2679</v>
      </c>
    </row>
    <row r="80" spans="1:9" x14ac:dyDescent="0.2">
      <c r="A80" t="s">
        <v>2680</v>
      </c>
      <c r="B80" s="188" t="s">
        <v>2681</v>
      </c>
    </row>
    <row r="81" spans="1:3" x14ac:dyDescent="0.2">
      <c r="B81" t="s">
        <v>2682</v>
      </c>
    </row>
    <row r="83" spans="1:3" x14ac:dyDescent="0.2">
      <c r="B83" t="s">
        <v>2678</v>
      </c>
      <c r="C83" t="s">
        <v>2683</v>
      </c>
    </row>
    <row r="85" spans="1:3" x14ac:dyDescent="0.2">
      <c r="A85" t="s">
        <v>2684</v>
      </c>
      <c r="B85" s="188" t="s">
        <v>2685</v>
      </c>
    </row>
    <row r="86" spans="1:3" x14ac:dyDescent="0.2">
      <c r="B86" t="s">
        <v>2686</v>
      </c>
    </row>
    <row r="87" spans="1:3" x14ac:dyDescent="0.2">
      <c r="B87" t="s">
        <v>2687</v>
      </c>
    </row>
    <row r="88" spans="1:3" x14ac:dyDescent="0.2">
      <c r="B88" t="s">
        <v>2688</v>
      </c>
    </row>
    <row r="90" spans="1:3" x14ac:dyDescent="0.2">
      <c r="B90" t="s">
        <v>2678</v>
      </c>
      <c r="C90" t="s">
        <v>2689</v>
      </c>
    </row>
    <row r="91" spans="1:3" x14ac:dyDescent="0.2">
      <c r="C91" t="s">
        <v>2690</v>
      </c>
    </row>
    <row r="93" spans="1:3" x14ac:dyDescent="0.2">
      <c r="C93" t="s">
        <v>2691</v>
      </c>
    </row>
    <row r="94" spans="1:3" x14ac:dyDescent="0.2">
      <c r="C94" t="s">
        <v>2692</v>
      </c>
    </row>
    <row r="95" spans="1:3" x14ac:dyDescent="0.2">
      <c r="C95" s="386" t="s">
        <v>2286</v>
      </c>
    </row>
    <row r="97" spans="1:3" x14ac:dyDescent="0.2">
      <c r="C97" t="s">
        <v>2693</v>
      </c>
    </row>
    <row r="98" spans="1:3" x14ac:dyDescent="0.2">
      <c r="C98" t="s">
        <v>2694</v>
      </c>
    </row>
    <row r="99" spans="1:3" x14ac:dyDescent="0.2">
      <c r="C99" s="386" t="s">
        <v>2287</v>
      </c>
    </row>
    <row r="101" spans="1:3" x14ac:dyDescent="0.2">
      <c r="C101" s="380" t="s">
        <v>2695</v>
      </c>
    </row>
    <row r="102" spans="1:3" x14ac:dyDescent="0.2">
      <c r="C102" s="386" t="s">
        <v>558</v>
      </c>
    </row>
    <row r="104" spans="1:3" x14ac:dyDescent="0.2">
      <c r="A104" t="s">
        <v>2696</v>
      </c>
      <c r="B104" s="188" t="s">
        <v>2697</v>
      </c>
    </row>
    <row r="105" spans="1:3" x14ac:dyDescent="0.2">
      <c r="B105" t="s">
        <v>2698</v>
      </c>
    </row>
    <row r="106" spans="1:3" x14ac:dyDescent="0.2">
      <c r="B106" t="s">
        <v>2699</v>
      </c>
    </row>
    <row r="108" spans="1:3" x14ac:dyDescent="0.2">
      <c r="B108" t="s">
        <v>2678</v>
      </c>
      <c r="C108" t="s">
        <v>2700</v>
      </c>
    </row>
    <row r="109" spans="1:3" x14ac:dyDescent="0.2">
      <c r="C109" t="s">
        <v>2701</v>
      </c>
    </row>
    <row r="110" spans="1:3" x14ac:dyDescent="0.2">
      <c r="C110" t="s">
        <v>2702</v>
      </c>
    </row>
    <row r="111" spans="1:3" x14ac:dyDescent="0.2">
      <c r="C111" t="s">
        <v>2703</v>
      </c>
    </row>
    <row r="112" spans="1:3" x14ac:dyDescent="0.2">
      <c r="C112" t="s">
        <v>2704</v>
      </c>
    </row>
    <row r="113" spans="1:3" x14ac:dyDescent="0.2">
      <c r="C113" t="s">
        <v>2705</v>
      </c>
    </row>
    <row r="114" spans="1:3" x14ac:dyDescent="0.2">
      <c r="C114" s="387" t="s">
        <v>2706</v>
      </c>
    </row>
    <row r="116" spans="1:3" x14ac:dyDescent="0.2">
      <c r="A116" t="s">
        <v>2707</v>
      </c>
      <c r="B116" s="188" t="s">
        <v>2708</v>
      </c>
    </row>
    <row r="117" spans="1:3" x14ac:dyDescent="0.2">
      <c r="B117" s="380" t="s">
        <v>2709</v>
      </c>
    </row>
    <row r="119" spans="1:3" x14ac:dyDescent="0.2">
      <c r="B119" t="s">
        <v>2678</v>
      </c>
      <c r="C119" t="s">
        <v>2710</v>
      </c>
    </row>
    <row r="120" spans="1:3" x14ac:dyDescent="0.2">
      <c r="C120" s="387" t="s">
        <v>2711</v>
      </c>
    </row>
    <row r="122" spans="1:3" x14ac:dyDescent="0.2">
      <c r="A122" t="s">
        <v>2712</v>
      </c>
      <c r="B122" s="188" t="s">
        <v>2713</v>
      </c>
    </row>
    <row r="123" spans="1:3" x14ac:dyDescent="0.2">
      <c r="B123" s="380" t="s">
        <v>2714</v>
      </c>
    </row>
    <row r="124" spans="1:3" x14ac:dyDescent="0.2">
      <c r="B124" t="s">
        <v>2715</v>
      </c>
    </row>
    <row r="125" spans="1:3" x14ac:dyDescent="0.2">
      <c r="B125" t="s">
        <v>2716</v>
      </c>
    </row>
    <row r="127" spans="1:3" x14ac:dyDescent="0.2">
      <c r="B127" t="s">
        <v>2678</v>
      </c>
      <c r="C127" s="380" t="s">
        <v>2717</v>
      </c>
    </row>
    <row r="128" spans="1:3" x14ac:dyDescent="0.2">
      <c r="C128" s="387" t="s">
        <v>2718</v>
      </c>
    </row>
    <row r="130" spans="1:3" x14ac:dyDescent="0.2">
      <c r="A130" t="s">
        <v>2719</v>
      </c>
      <c r="B130" s="188" t="s">
        <v>2720</v>
      </c>
    </row>
    <row r="131" spans="1:3" x14ac:dyDescent="0.2">
      <c r="B131" t="s">
        <v>2721</v>
      </c>
    </row>
    <row r="132" spans="1:3" x14ac:dyDescent="0.2">
      <c r="B132" t="s">
        <v>2722</v>
      </c>
    </row>
    <row r="133" spans="1:3" x14ac:dyDescent="0.2">
      <c r="B133" s="380" t="s">
        <v>2723</v>
      </c>
    </row>
    <row r="134" spans="1:3" x14ac:dyDescent="0.2">
      <c r="B134" t="s">
        <v>2724</v>
      </c>
    </row>
    <row r="135" spans="1:3" x14ac:dyDescent="0.2">
      <c r="B135" t="s">
        <v>2725</v>
      </c>
    </row>
    <row r="136" spans="1:3" x14ac:dyDescent="0.2">
      <c r="B136" t="s">
        <v>2726</v>
      </c>
    </row>
    <row r="137" spans="1:3" x14ac:dyDescent="0.2">
      <c r="B137" t="s">
        <v>2727</v>
      </c>
    </row>
    <row r="139" spans="1:3" x14ac:dyDescent="0.2">
      <c r="B139" t="s">
        <v>2678</v>
      </c>
      <c r="C139" s="380" t="s">
        <v>2728</v>
      </c>
    </row>
    <row r="140" spans="1:3" x14ac:dyDescent="0.2">
      <c r="C140" s="387" t="s">
        <v>2729</v>
      </c>
    </row>
    <row r="142" spans="1:3" x14ac:dyDescent="0.2">
      <c r="A142" t="s">
        <v>2730</v>
      </c>
      <c r="B142" s="188" t="s">
        <v>2731</v>
      </c>
    </row>
    <row r="143" spans="1:3" x14ac:dyDescent="0.2">
      <c r="B143" t="s">
        <v>2253</v>
      </c>
    </row>
    <row r="144" spans="1:3" x14ac:dyDescent="0.2">
      <c r="B144" t="s">
        <v>2283</v>
      </c>
    </row>
    <row r="145" spans="2:3" x14ac:dyDescent="0.2">
      <c r="B145" s="380" t="s">
        <v>2284</v>
      </c>
    </row>
    <row r="146" spans="2:3" x14ac:dyDescent="0.2">
      <c r="C146" s="61" t="s">
        <v>2285</v>
      </c>
    </row>
  </sheetData>
  <sheetProtection password="F663" sheet="1" objects="1" scenarios="1"/>
  <phoneticPr fontId="0" type="noConversion"/>
  <conditionalFormatting sqref="I29:I59">
    <cfRule type="cellIs" dxfId="0" priority="1" stopIfTrue="1" operator="equal">
      <formula>"Best"</formula>
    </cfRule>
  </conditionalFormatting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rowBreaks count="3" manualBreakCount="3">
    <brk id="15" max="65535" man="1"/>
    <brk id="66" max="65535" man="1"/>
    <brk id="115" max="65535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K30"/>
  <sheetViews>
    <sheetView showGridLines="0" workbookViewId="0">
      <pane ySplit="1" topLeftCell="A2" activePane="bottomLeft" state="frozen"/>
      <selection activeCell="A3" sqref="A3"/>
      <selection pane="bottomLeft" activeCell="K3" sqref="K3"/>
    </sheetView>
  </sheetViews>
  <sheetFormatPr defaultRowHeight="12.75" x14ac:dyDescent="0.2"/>
  <cols>
    <col min="1" max="1" width="2.7109375" customWidth="1"/>
    <col min="10" max="10" width="8.7109375" customWidth="1"/>
  </cols>
  <sheetData>
    <row r="1" spans="1:11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s="375" customFormat="1" ht="25.5" x14ac:dyDescent="0.2">
      <c r="C3" s="376" t="s">
        <v>3675</v>
      </c>
      <c r="D3" s="377" t="s">
        <v>2755</v>
      </c>
      <c r="E3" s="377" t="s">
        <v>3676</v>
      </c>
      <c r="F3" s="378" t="s">
        <v>3677</v>
      </c>
    </row>
    <row r="4" spans="1:11" x14ac:dyDescent="0.2">
      <c r="C4" s="7" t="s">
        <v>3678</v>
      </c>
      <c r="D4" s="7">
        <v>1000</v>
      </c>
      <c r="E4" s="7" t="s">
        <v>3679</v>
      </c>
      <c r="F4" s="379">
        <f>IF(OR(E4="Visa",E4="Delta"),5,0)</f>
        <v>0</v>
      </c>
      <c r="G4" s="13" t="s">
        <v>2121</v>
      </c>
    </row>
    <row r="5" spans="1:11" x14ac:dyDescent="0.2">
      <c r="C5" s="7" t="s">
        <v>2122</v>
      </c>
      <c r="D5" s="7">
        <v>1000</v>
      </c>
      <c r="E5" s="7" t="s">
        <v>2123</v>
      </c>
      <c r="F5" s="379">
        <f>IF(OR(E5="Visa",E5="Delta"),5,0)</f>
        <v>5</v>
      </c>
      <c r="G5" s="13" t="s">
        <v>2124</v>
      </c>
    </row>
    <row r="6" spans="1:11" x14ac:dyDescent="0.2">
      <c r="C6" s="7" t="s">
        <v>2125</v>
      </c>
      <c r="D6" s="7">
        <v>2000</v>
      </c>
      <c r="E6" s="7" t="s">
        <v>2126</v>
      </c>
      <c r="F6" s="379">
        <f>IF(OR(E6="Visa",E6="Delta"),5,0)</f>
        <v>0</v>
      </c>
      <c r="G6" s="13" t="s">
        <v>2127</v>
      </c>
    </row>
    <row r="7" spans="1:11" x14ac:dyDescent="0.2">
      <c r="C7" s="7" t="s">
        <v>2128</v>
      </c>
      <c r="D7" s="7">
        <v>5000</v>
      </c>
      <c r="E7" s="7" t="s">
        <v>3284</v>
      </c>
      <c r="F7" s="379">
        <f>IF(OR(E7="Visa",E7="Delta"),5,0)</f>
        <v>5</v>
      </c>
      <c r="G7" s="13" t="s">
        <v>2129</v>
      </c>
    </row>
    <row r="9" spans="1:11" ht="13.5" thickBot="1" x14ac:dyDescent="0.25">
      <c r="B9" s="2" t="s">
        <v>3118</v>
      </c>
      <c r="C9" s="2"/>
      <c r="D9" s="2"/>
      <c r="E9" s="2"/>
      <c r="F9" s="2"/>
      <c r="G9" s="2"/>
      <c r="H9" s="2"/>
      <c r="I9" s="2"/>
      <c r="J9" s="2"/>
    </row>
    <row r="10" spans="1:11" x14ac:dyDescent="0.2">
      <c r="B10" t="s">
        <v>2130</v>
      </c>
    </row>
    <row r="11" spans="1:11" x14ac:dyDescent="0.2">
      <c r="B11" t="s">
        <v>2131</v>
      </c>
    </row>
    <row r="12" spans="1:11" x14ac:dyDescent="0.2">
      <c r="B12" t="s">
        <v>2132</v>
      </c>
    </row>
    <row r="14" spans="1:11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  <c r="J14" s="2"/>
    </row>
    <row r="15" spans="1:11" x14ac:dyDescent="0.2">
      <c r="B15" t="s">
        <v>2133</v>
      </c>
    </row>
    <row r="16" spans="1:11" x14ac:dyDescent="0.2">
      <c r="B16" t="s">
        <v>3124</v>
      </c>
    </row>
    <row r="18" spans="2:10" ht="13.5" thickBot="1" x14ac:dyDescent="0.25">
      <c r="B18" s="2" t="s">
        <v>3355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t="s">
        <v>3125</v>
      </c>
    </row>
    <row r="21" spans="2:10" ht="13.5" thickBot="1" x14ac:dyDescent="0.25">
      <c r="B21" s="2" t="s">
        <v>1001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t="s">
        <v>2134</v>
      </c>
    </row>
    <row r="23" spans="2:10" x14ac:dyDescent="0.2">
      <c r="B23" t="s">
        <v>2135</v>
      </c>
    </row>
    <row r="24" spans="2:10" x14ac:dyDescent="0.2">
      <c r="B24" t="s">
        <v>2136</v>
      </c>
    </row>
    <row r="26" spans="2:10" ht="25.5" x14ac:dyDescent="0.2">
      <c r="C26" s="57" t="s">
        <v>3675</v>
      </c>
      <c r="D26" s="57" t="s">
        <v>2755</v>
      </c>
      <c r="E26" s="57" t="s">
        <v>3676</v>
      </c>
      <c r="F26" s="57" t="s">
        <v>3677</v>
      </c>
    </row>
    <row r="27" spans="2:10" x14ac:dyDescent="0.2">
      <c r="C27" s="7" t="s">
        <v>3678</v>
      </c>
      <c r="D27" s="7">
        <v>1000</v>
      </c>
      <c r="E27" s="7" t="s">
        <v>3679</v>
      </c>
      <c r="F27" s="379">
        <f>IF(OR(E27="Visa",E27="Delta"),5,0)</f>
        <v>0</v>
      </c>
      <c r="G27" s="13" t="s">
        <v>2137</v>
      </c>
    </row>
    <row r="28" spans="2:10" x14ac:dyDescent="0.2">
      <c r="C28" s="7" t="s">
        <v>2122</v>
      </c>
      <c r="D28" s="7">
        <v>1000</v>
      </c>
      <c r="E28" s="7" t="s">
        <v>2123</v>
      </c>
      <c r="F28" s="379">
        <f>IF(OR(E28="Visa",E28="Delta"),5,0)</f>
        <v>5</v>
      </c>
    </row>
    <row r="29" spans="2:10" x14ac:dyDescent="0.2">
      <c r="C29" s="7" t="s">
        <v>2125</v>
      </c>
      <c r="D29" s="7">
        <v>2000</v>
      </c>
      <c r="E29" s="7" t="s">
        <v>2126</v>
      </c>
      <c r="F29" s="379">
        <f>IF(OR(E29="Visa",E29="Delta"),5,0)</f>
        <v>0</v>
      </c>
    </row>
    <row r="30" spans="2:10" x14ac:dyDescent="0.2">
      <c r="C30" s="7" t="s">
        <v>2128</v>
      </c>
      <c r="D30" s="7">
        <v>5000</v>
      </c>
      <c r="E30" s="7" t="s">
        <v>3284</v>
      </c>
      <c r="F30" s="379">
        <f>IF(OR(E30="Visa",E30="Delta"),5,0)</f>
        <v>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J18"/>
  <sheetViews>
    <sheetView showGridLines="0" workbookViewId="0">
      <pane ySplit="1" topLeftCell="A2" activePane="bottomLeft" state="frozen"/>
      <selection activeCell="A3" sqref="A3"/>
      <selection pane="bottomLeft" activeCell="G4" sqref="G4"/>
    </sheetView>
  </sheetViews>
  <sheetFormatPr defaultRowHeight="12.75" x14ac:dyDescent="0.2"/>
  <cols>
    <col min="1" max="1" width="2.7109375" customWidth="1"/>
    <col min="4" max="4" width="10.5703125" customWidth="1"/>
    <col min="5" max="5" width="10.140625" customWidth="1"/>
    <col min="9" max="9" width="15.140625" customWidth="1"/>
  </cols>
  <sheetData>
    <row r="1" spans="1:10" ht="38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38.25" x14ac:dyDescent="0.2">
      <c r="C3" s="6" t="s">
        <v>990</v>
      </c>
      <c r="D3" s="57" t="s">
        <v>3666</v>
      </c>
    </row>
    <row r="4" spans="1:10" x14ac:dyDescent="0.2">
      <c r="C4" s="7">
        <v>2</v>
      </c>
      <c r="D4" s="8">
        <f t="shared" ref="D4:D9" si="0">ODD(C4)</f>
        <v>3</v>
      </c>
      <c r="E4" s="13" t="s">
        <v>3667</v>
      </c>
    </row>
    <row r="5" spans="1:10" x14ac:dyDescent="0.2">
      <c r="C5" s="7">
        <v>2.4</v>
      </c>
      <c r="D5" s="8">
        <f t="shared" si="0"/>
        <v>3</v>
      </c>
      <c r="E5" s="13" t="s">
        <v>3668</v>
      </c>
    </row>
    <row r="6" spans="1:10" x14ac:dyDescent="0.2">
      <c r="C6" s="7">
        <v>2.9</v>
      </c>
      <c r="D6" s="8">
        <f t="shared" si="0"/>
        <v>3</v>
      </c>
      <c r="E6" s="13" t="s">
        <v>3669</v>
      </c>
    </row>
    <row r="7" spans="1:10" x14ac:dyDescent="0.2">
      <c r="C7" s="7">
        <v>3</v>
      </c>
      <c r="D7" s="8">
        <f t="shared" si="0"/>
        <v>3</v>
      </c>
      <c r="E7" s="13" t="s">
        <v>3670</v>
      </c>
    </row>
    <row r="8" spans="1:10" x14ac:dyDescent="0.2">
      <c r="C8" s="7">
        <v>3.4</v>
      </c>
      <c r="D8" s="8">
        <f t="shared" si="0"/>
        <v>5</v>
      </c>
      <c r="E8" s="13" t="s">
        <v>3671</v>
      </c>
    </row>
    <row r="9" spans="1:10" x14ac:dyDescent="0.2">
      <c r="C9" s="7">
        <v>3.9</v>
      </c>
      <c r="D9" s="8">
        <f t="shared" si="0"/>
        <v>5</v>
      </c>
      <c r="E9" s="13" t="s">
        <v>3672</v>
      </c>
    </row>
    <row r="11" spans="1:10" ht="13.5" thickBot="1" x14ac:dyDescent="0.25">
      <c r="B11" s="2" t="s">
        <v>2865</v>
      </c>
      <c r="C11" s="2"/>
      <c r="D11" s="2"/>
      <c r="E11" s="2"/>
      <c r="F11" s="2"/>
      <c r="G11" s="2"/>
      <c r="H11" s="2"/>
      <c r="I11" s="2"/>
    </row>
    <row r="12" spans="1:10" x14ac:dyDescent="0.2">
      <c r="B12" t="s">
        <v>3673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3674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I16"/>
  <sheetViews>
    <sheetView showGridLines="0" workbookViewId="0">
      <pane ySplit="1" topLeftCell="A2" activePane="bottomLeft" state="frozen"/>
      <selection activeCell="A3" sqref="A3"/>
      <selection pane="bottomLeft" activeCell="G5" sqref="G5"/>
    </sheetView>
  </sheetViews>
  <sheetFormatPr defaultRowHeight="12.75" x14ac:dyDescent="0.2"/>
  <cols>
    <col min="1" max="1" width="2.7109375" customWidth="1"/>
    <col min="3" max="3" width="22.85546875" customWidth="1"/>
    <col min="4" max="4" width="11.140625" customWidth="1"/>
  </cols>
  <sheetData>
    <row r="1" spans="1:9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23" t="s">
        <v>3660</v>
      </c>
    </row>
    <row r="4" spans="1:9" x14ac:dyDescent="0.2">
      <c r="C4" s="374">
        <f ca="1">NOW()</f>
        <v>45434.404793518515</v>
      </c>
      <c r="D4" s="63" t="s">
        <v>3661</v>
      </c>
    </row>
    <row r="5" spans="1:9" x14ac:dyDescent="0.2">
      <c r="C5" s="8">
        <f ca="1">NOW()</f>
        <v>45434.404793518515</v>
      </c>
      <c r="D5" s="63" t="s">
        <v>3661</v>
      </c>
    </row>
    <row r="7" spans="1:9" ht="13.5" thickBot="1" x14ac:dyDescent="0.25">
      <c r="B7" s="2" t="s">
        <v>3118</v>
      </c>
      <c r="C7" s="2"/>
      <c r="D7" s="2"/>
      <c r="E7" s="2"/>
      <c r="F7" s="2"/>
      <c r="G7" s="2"/>
      <c r="H7" s="2"/>
    </row>
    <row r="8" spans="1:9" x14ac:dyDescent="0.2">
      <c r="B8" t="s">
        <v>3662</v>
      </c>
    </row>
    <row r="9" spans="1:9" x14ac:dyDescent="0.2">
      <c r="B9" t="s">
        <v>3663</v>
      </c>
    </row>
    <row r="11" spans="1:9" ht="13.5" thickBot="1" x14ac:dyDescent="0.25">
      <c r="B11" s="2" t="s">
        <v>998</v>
      </c>
      <c r="C11" s="2"/>
      <c r="D11" s="2"/>
      <c r="E11" s="2"/>
      <c r="F11" s="2"/>
      <c r="G11" s="2"/>
      <c r="H11" s="2"/>
    </row>
    <row r="12" spans="1:9" x14ac:dyDescent="0.2">
      <c r="B12" t="s">
        <v>3661</v>
      </c>
    </row>
    <row r="14" spans="1:9" ht="13.5" thickBot="1" x14ac:dyDescent="0.25">
      <c r="B14" s="2" t="s">
        <v>3355</v>
      </c>
      <c r="C14" s="2"/>
      <c r="D14" s="2"/>
      <c r="E14" s="2"/>
      <c r="F14" s="2"/>
      <c r="G14" s="2"/>
      <c r="H14" s="2"/>
    </row>
    <row r="15" spans="1:9" x14ac:dyDescent="0.2">
      <c r="B15" t="s">
        <v>3664</v>
      </c>
    </row>
    <row r="16" spans="1:9" x14ac:dyDescent="0.2">
      <c r="B16" t="s">
        <v>3665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K35"/>
  <sheetViews>
    <sheetView showGridLines="0" workbookViewId="0">
      <pane ySplit="1" topLeftCell="A2" activePane="bottomLeft" state="frozen"/>
      <selection activeCell="A3" sqref="A3"/>
      <selection pane="bottomLeft" activeCell="I6" sqref="I6"/>
    </sheetView>
  </sheetViews>
  <sheetFormatPr defaultRowHeight="12.75" x14ac:dyDescent="0.2"/>
  <cols>
    <col min="1" max="1" width="4.28515625" customWidth="1"/>
    <col min="10" max="10" width="6.85546875" customWidth="1"/>
  </cols>
  <sheetData>
    <row r="1" spans="1:11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158" t="s">
        <v>3634</v>
      </c>
      <c r="D3" s="160"/>
      <c r="E3" s="6" t="s">
        <v>3113</v>
      </c>
    </row>
    <row r="4" spans="1:11" x14ac:dyDescent="0.2">
      <c r="C4" s="7">
        <v>10</v>
      </c>
      <c r="D4" s="7">
        <v>20</v>
      </c>
      <c r="E4" s="8" t="b">
        <f>NOT(C4&gt;D4)</f>
        <v>1</v>
      </c>
      <c r="F4" s="13" t="s">
        <v>3635</v>
      </c>
    </row>
    <row r="5" spans="1:11" x14ac:dyDescent="0.2">
      <c r="C5" s="7">
        <v>10</v>
      </c>
      <c r="D5" s="7">
        <v>20</v>
      </c>
      <c r="E5" s="8" t="b">
        <f>NOT(C5=D5)</f>
        <v>1</v>
      </c>
      <c r="F5" s="13" t="s">
        <v>3636</v>
      </c>
    </row>
    <row r="6" spans="1:11" x14ac:dyDescent="0.2">
      <c r="C6" s="7">
        <v>10</v>
      </c>
      <c r="D6" s="7">
        <v>20</v>
      </c>
      <c r="E6" s="8" t="b">
        <f>NOT(C6&lt;D6)</f>
        <v>0</v>
      </c>
      <c r="F6" s="13" t="s">
        <v>3637</v>
      </c>
    </row>
    <row r="7" spans="1:11" x14ac:dyDescent="0.2">
      <c r="C7" s="161">
        <v>35796</v>
      </c>
      <c r="D7" s="161">
        <v>35827</v>
      </c>
      <c r="E7" s="8" t="b">
        <f>NOT(C7&gt;D7)</f>
        <v>1</v>
      </c>
      <c r="F7" s="13" t="s">
        <v>3638</v>
      </c>
    </row>
    <row r="8" spans="1:11" x14ac:dyDescent="0.2">
      <c r="C8" s="7" t="s">
        <v>1029</v>
      </c>
      <c r="D8" s="7" t="s">
        <v>1191</v>
      </c>
      <c r="E8" s="8" t="b">
        <f>NOT(C8=D8)</f>
        <v>1</v>
      </c>
      <c r="F8" s="13" t="s">
        <v>3639</v>
      </c>
    </row>
    <row r="9" spans="1:11" x14ac:dyDescent="0.2">
      <c r="C9" s="7" t="s">
        <v>1029</v>
      </c>
      <c r="D9" s="7" t="s">
        <v>1029</v>
      </c>
      <c r="E9" s="8" t="b">
        <f>NOT(C9=D9)</f>
        <v>0</v>
      </c>
      <c r="F9" s="13" t="s">
        <v>3640</v>
      </c>
    </row>
    <row r="11" spans="1:11" ht="13.5" thickBot="1" x14ac:dyDescent="0.25">
      <c r="B11" s="2" t="s">
        <v>2865</v>
      </c>
      <c r="C11" s="2"/>
      <c r="D11" s="2"/>
      <c r="E11" s="2"/>
      <c r="F11" s="2"/>
      <c r="G11" s="2"/>
      <c r="H11" s="2"/>
      <c r="I11" s="2"/>
      <c r="J11" s="2"/>
    </row>
    <row r="12" spans="1:11" x14ac:dyDescent="0.2">
      <c r="B12" t="s">
        <v>3641</v>
      </c>
    </row>
    <row r="13" spans="1:11" x14ac:dyDescent="0.2">
      <c r="B13" t="s">
        <v>3642</v>
      </c>
    </row>
    <row r="14" spans="1:11" x14ac:dyDescent="0.2">
      <c r="B14" t="s">
        <v>3643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3644</v>
      </c>
    </row>
    <row r="18" spans="2:10" x14ac:dyDescent="0.2">
      <c r="B18" t="s">
        <v>3645</v>
      </c>
    </row>
    <row r="20" spans="2:10" ht="13.5" thickBot="1" x14ac:dyDescent="0.25">
      <c r="B20" s="2" t="s">
        <v>3355</v>
      </c>
      <c r="C20" s="2"/>
      <c r="D20" s="2"/>
      <c r="E20" s="2"/>
      <c r="F20" s="2"/>
      <c r="G20" s="2"/>
      <c r="H20" s="2"/>
      <c r="I20" s="2"/>
      <c r="J20" s="2"/>
    </row>
    <row r="21" spans="2:10" x14ac:dyDescent="0.2">
      <c r="B21" t="s">
        <v>2424</v>
      </c>
    </row>
    <row r="23" spans="2:10" ht="13.5" thickBot="1" x14ac:dyDescent="0.25">
      <c r="B23" s="2" t="s">
        <v>1001</v>
      </c>
      <c r="C23" s="2"/>
      <c r="D23" s="2"/>
      <c r="E23" s="2"/>
      <c r="F23" s="2"/>
      <c r="G23" s="2"/>
      <c r="H23" s="2"/>
      <c r="I23" s="2"/>
      <c r="J23" s="2"/>
    </row>
    <row r="24" spans="2:10" x14ac:dyDescent="0.2">
      <c r="B24" t="s">
        <v>3646</v>
      </c>
    </row>
    <row r="25" spans="2:10" x14ac:dyDescent="0.2">
      <c r="B25" t="s">
        <v>3647</v>
      </c>
    </row>
    <row r="26" spans="2:10" x14ac:dyDescent="0.2">
      <c r="B26" t="s">
        <v>3648</v>
      </c>
    </row>
    <row r="27" spans="2:10" x14ac:dyDescent="0.2">
      <c r="B27" t="s">
        <v>3649</v>
      </c>
    </row>
    <row r="28" spans="2:10" x14ac:dyDescent="0.2">
      <c r="B28" t="s">
        <v>3650</v>
      </c>
    </row>
    <row r="29" spans="2:10" x14ac:dyDescent="0.2">
      <c r="B29" t="s">
        <v>3651</v>
      </c>
    </row>
    <row r="30" spans="2:10" x14ac:dyDescent="0.2">
      <c r="B30" t="s">
        <v>3652</v>
      </c>
    </row>
    <row r="32" spans="2:10" x14ac:dyDescent="0.2">
      <c r="B32" s="6" t="s">
        <v>3653</v>
      </c>
      <c r="C32" s="6" t="s">
        <v>3654</v>
      </c>
      <c r="D32" s="6" t="s">
        <v>3655</v>
      </c>
      <c r="E32" s="46" t="s">
        <v>3656</v>
      </c>
    </row>
    <row r="33" spans="2:6" x14ac:dyDescent="0.2">
      <c r="B33" s="161">
        <v>35796</v>
      </c>
      <c r="C33" s="7">
        <v>14</v>
      </c>
      <c r="D33" s="161">
        <v>35800</v>
      </c>
      <c r="E33" s="8" t="str">
        <f>IF(NOT(D33&lt;=B33+C33),"Overdue","OK")</f>
        <v>OK</v>
      </c>
      <c r="F33" s="13" t="s">
        <v>3657</v>
      </c>
    </row>
    <row r="34" spans="2:6" x14ac:dyDescent="0.2">
      <c r="B34" s="161">
        <v>35796</v>
      </c>
      <c r="C34" s="7">
        <v>14</v>
      </c>
      <c r="D34" s="161">
        <v>35810</v>
      </c>
      <c r="E34" s="8" t="str">
        <f>IF(NOT(D34&lt;=B34+C34),"Overdue","OK")</f>
        <v>OK</v>
      </c>
      <c r="F34" s="13" t="s">
        <v>3658</v>
      </c>
    </row>
    <row r="35" spans="2:6" x14ac:dyDescent="0.2">
      <c r="B35" s="161">
        <v>35796</v>
      </c>
      <c r="C35" s="7">
        <v>14</v>
      </c>
      <c r="D35" s="161">
        <v>35815</v>
      </c>
      <c r="E35" s="8" t="str">
        <f>IF(NOT(D35&lt;=B35+C35),"Overdue","OK")</f>
        <v>Overdue</v>
      </c>
      <c r="F35" s="13" t="s">
        <v>3659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G37"/>
  <sheetViews>
    <sheetView showGridLines="0" workbookViewId="0">
      <pane ySplit="1" topLeftCell="A2" activePane="bottomLeft" state="frozen"/>
      <selection activeCell="A3" sqref="A3"/>
      <selection pane="bottomLeft" activeCell="G7" sqref="G7"/>
    </sheetView>
  </sheetViews>
  <sheetFormatPr defaultRowHeight="12.75" x14ac:dyDescent="0.2"/>
  <cols>
    <col min="1" max="1" width="1.7109375" customWidth="1"/>
    <col min="2" max="2" width="15" customWidth="1"/>
    <col min="3" max="3" width="14.42578125" customWidth="1"/>
    <col min="4" max="4" width="14.7109375" customWidth="1"/>
    <col min="5" max="5" width="11.7109375" customWidth="1"/>
    <col min="6" max="6" width="26.5703125" customWidth="1"/>
  </cols>
  <sheetData>
    <row r="1" spans="1:7" ht="41.25" customHeight="1" x14ac:dyDescent="0.25">
      <c r="A1" s="476"/>
      <c r="B1" s="476"/>
      <c r="C1" s="476"/>
      <c r="D1" s="476"/>
      <c r="E1" s="476"/>
      <c r="F1" s="476"/>
      <c r="G1" s="478"/>
    </row>
    <row r="3" spans="1:7" x14ac:dyDescent="0.2">
      <c r="C3" s="6" t="s">
        <v>2921</v>
      </c>
      <c r="D3" s="6" t="s">
        <v>2923</v>
      </c>
      <c r="E3" s="6" t="s">
        <v>2058</v>
      </c>
    </row>
    <row r="4" spans="1:7" x14ac:dyDescent="0.2">
      <c r="C4" s="161">
        <v>35855</v>
      </c>
      <c r="D4" s="161">
        <v>35861</v>
      </c>
      <c r="E4" s="8">
        <f>NETWORKDAYS(C4,D4)</f>
        <v>5</v>
      </c>
      <c r="F4" s="63" t="s">
        <v>2059</v>
      </c>
    </row>
    <row r="5" spans="1:7" x14ac:dyDescent="0.2">
      <c r="C5" s="161">
        <v>35910</v>
      </c>
      <c r="D5" s="161">
        <v>36006</v>
      </c>
      <c r="E5" s="8">
        <f>NETWORKDAYS(C5,D5)</f>
        <v>69</v>
      </c>
      <c r="F5" s="63" t="s">
        <v>2060</v>
      </c>
    </row>
    <row r="6" spans="1:7" x14ac:dyDescent="0.2">
      <c r="C6" s="161">
        <v>36153</v>
      </c>
      <c r="D6" s="161">
        <v>36165</v>
      </c>
      <c r="E6" s="8">
        <f>NETWORKDAYS(C6,D6)</f>
        <v>9</v>
      </c>
      <c r="F6" s="63" t="s">
        <v>2061</v>
      </c>
    </row>
    <row r="8" spans="1:7" ht="13.5" thickBot="1" x14ac:dyDescent="0.25">
      <c r="B8" s="2" t="s">
        <v>3118</v>
      </c>
      <c r="C8" s="2"/>
      <c r="D8" s="2"/>
      <c r="E8" s="2"/>
      <c r="F8" s="2"/>
    </row>
    <row r="9" spans="1:7" x14ac:dyDescent="0.2">
      <c r="B9" t="s">
        <v>2062</v>
      </c>
    </row>
    <row r="10" spans="1:7" x14ac:dyDescent="0.2">
      <c r="B10" t="s">
        <v>2063</v>
      </c>
    </row>
    <row r="12" spans="1:7" ht="13.5" thickBot="1" x14ac:dyDescent="0.25">
      <c r="B12" s="2" t="s">
        <v>998</v>
      </c>
      <c r="C12" s="2"/>
      <c r="D12" s="2"/>
      <c r="E12" s="2"/>
      <c r="F12" s="2"/>
    </row>
    <row r="13" spans="1:7" x14ac:dyDescent="0.2">
      <c r="B13" t="s">
        <v>2064</v>
      </c>
    </row>
    <row r="14" spans="1:7" x14ac:dyDescent="0.2">
      <c r="B14" t="s">
        <v>2065</v>
      </c>
    </row>
    <row r="15" spans="1:7" x14ac:dyDescent="0.2">
      <c r="B15" t="s">
        <v>2066</v>
      </c>
    </row>
    <row r="17" spans="2:6" ht="13.5" thickBot="1" x14ac:dyDescent="0.25">
      <c r="B17" s="2" t="s">
        <v>3355</v>
      </c>
      <c r="C17" s="2"/>
      <c r="D17" s="2"/>
      <c r="E17" s="2"/>
      <c r="F17" s="2"/>
    </row>
    <row r="18" spans="2:6" x14ac:dyDescent="0.2">
      <c r="B18" t="s">
        <v>3153</v>
      </c>
    </row>
    <row r="20" spans="2:6" ht="13.5" thickBot="1" x14ac:dyDescent="0.25">
      <c r="B20" s="2" t="s">
        <v>2659</v>
      </c>
      <c r="C20" s="2"/>
      <c r="D20" s="2"/>
      <c r="E20" s="2"/>
      <c r="F20" s="2"/>
    </row>
    <row r="21" spans="2:6" x14ac:dyDescent="0.2">
      <c r="B21" t="s">
        <v>740</v>
      </c>
    </row>
    <row r="22" spans="2:6" x14ac:dyDescent="0.2">
      <c r="B22" t="s">
        <v>3625</v>
      </c>
    </row>
    <row r="24" spans="2:6" ht="13.5" thickBot="1" x14ac:dyDescent="0.25">
      <c r="B24" s="2" t="s">
        <v>1001</v>
      </c>
      <c r="C24" s="2"/>
      <c r="D24" s="2"/>
      <c r="E24" s="2"/>
      <c r="F24" s="2"/>
    </row>
    <row r="25" spans="2:6" x14ac:dyDescent="0.2">
      <c r="B25" t="s">
        <v>3626</v>
      </c>
    </row>
    <row r="27" spans="2:6" x14ac:dyDescent="0.2">
      <c r="B27" s="6" t="s">
        <v>2921</v>
      </c>
      <c r="C27" s="6" t="s">
        <v>2923</v>
      </c>
      <c r="D27" s="6" t="s">
        <v>2058</v>
      </c>
    </row>
    <row r="28" spans="2:6" x14ac:dyDescent="0.2">
      <c r="B28" s="373">
        <v>35856</v>
      </c>
      <c r="C28" s="373">
        <v>35860</v>
      </c>
      <c r="D28" s="8">
        <f>NETWORKDAYS(B28,C28,C33:C37)</f>
        <v>5</v>
      </c>
      <c r="E28" s="13" t="s">
        <v>3627</v>
      </c>
    </row>
    <row r="29" spans="2:6" x14ac:dyDescent="0.2">
      <c r="B29" s="373">
        <v>35856</v>
      </c>
      <c r="C29" s="373">
        <v>35867</v>
      </c>
      <c r="D29" s="8">
        <f>NETWORKDAYS(B29,C29,C33:C37)</f>
        <v>10</v>
      </c>
      <c r="E29" s="13" t="s">
        <v>3628</v>
      </c>
    </row>
    <row r="30" spans="2:6" x14ac:dyDescent="0.2">
      <c r="B30" s="373">
        <v>35912</v>
      </c>
      <c r="C30" s="373">
        <v>35916</v>
      </c>
      <c r="D30" s="8">
        <f>NETWORKDAYS(B30,C30,C33:C37)</f>
        <v>4</v>
      </c>
      <c r="E30" s="13" t="s">
        <v>3629</v>
      </c>
    </row>
    <row r="32" spans="2:6" x14ac:dyDescent="0.2">
      <c r="C32" s="6" t="s">
        <v>3630</v>
      </c>
    </row>
    <row r="33" spans="2:3" x14ac:dyDescent="0.2">
      <c r="B33" s="79" t="s">
        <v>3631</v>
      </c>
      <c r="C33" s="161">
        <v>35916</v>
      </c>
    </row>
    <row r="34" spans="2:3" x14ac:dyDescent="0.2">
      <c r="B34" s="79" t="s">
        <v>3632</v>
      </c>
      <c r="C34" s="161">
        <v>36154</v>
      </c>
    </row>
    <row r="35" spans="2:3" x14ac:dyDescent="0.2">
      <c r="B35" s="79" t="s">
        <v>3633</v>
      </c>
      <c r="C35" s="161">
        <v>35431</v>
      </c>
    </row>
    <row r="36" spans="2:3" x14ac:dyDescent="0.2">
      <c r="B36" s="79" t="s">
        <v>3633</v>
      </c>
      <c r="C36" s="161">
        <v>35796</v>
      </c>
    </row>
    <row r="37" spans="2:3" x14ac:dyDescent="0.2">
      <c r="B37" s="79" t="s">
        <v>3633</v>
      </c>
      <c r="C37" s="161">
        <v>36161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K51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5.42578125" customWidth="1"/>
    <col min="9" max="9" width="15.140625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  <c r="K1" s="477"/>
    </row>
    <row r="3" spans="1:11" x14ac:dyDescent="0.2">
      <c r="D3" s="24" t="e">
        <f>NA()</f>
        <v>#N/A</v>
      </c>
      <c r="E3" s="13" t="s">
        <v>820</v>
      </c>
    </row>
    <row r="5" spans="1:11" x14ac:dyDescent="0.2">
      <c r="C5" s="6" t="s">
        <v>1459</v>
      </c>
      <c r="D5" s="6" t="s">
        <v>821</v>
      </c>
    </row>
    <row r="6" spans="1:11" x14ac:dyDescent="0.2">
      <c r="C6" s="7">
        <v>10</v>
      </c>
      <c r="D6" s="8">
        <f>IF(ISBLANK(C6),NA(),C6+1)</f>
        <v>11</v>
      </c>
      <c r="E6" s="13" t="s">
        <v>822</v>
      </c>
    </row>
    <row r="7" spans="1:11" x14ac:dyDescent="0.2">
      <c r="C7" s="7"/>
      <c r="D7" s="8" t="e">
        <f>IF(ISBLANK(C7),NA(),C7+1)</f>
        <v>#N/A</v>
      </c>
      <c r="E7" s="13" t="s">
        <v>823</v>
      </c>
    </row>
    <row r="8" spans="1:11" x14ac:dyDescent="0.2">
      <c r="C8" s="7">
        <v>30</v>
      </c>
      <c r="D8" s="8">
        <f>IF(ISBLANK(C8),NA(),C8+1)</f>
        <v>31</v>
      </c>
      <c r="E8" s="13" t="s">
        <v>824</v>
      </c>
    </row>
    <row r="10" spans="1:11" x14ac:dyDescent="0.2">
      <c r="D10" s="6" t="s">
        <v>1726</v>
      </c>
    </row>
    <row r="11" spans="1:11" x14ac:dyDescent="0.2">
      <c r="C11" s="23" t="s">
        <v>3356</v>
      </c>
      <c r="D11" s="7">
        <v>100</v>
      </c>
      <c r="E11" s="4"/>
    </row>
    <row r="12" spans="1:11" x14ac:dyDescent="0.2">
      <c r="C12" s="23" t="s">
        <v>3357</v>
      </c>
      <c r="D12" s="7" t="e">
        <f>NA()</f>
        <v>#N/A</v>
      </c>
      <c r="E12" s="63" t="s">
        <v>820</v>
      </c>
    </row>
    <row r="13" spans="1:11" x14ac:dyDescent="0.2">
      <c r="C13" s="23" t="s">
        <v>3358</v>
      </c>
      <c r="D13" s="7" t="e">
        <f>NA()</f>
        <v>#N/A</v>
      </c>
      <c r="E13" s="63" t="s">
        <v>820</v>
      </c>
    </row>
    <row r="14" spans="1:11" x14ac:dyDescent="0.2">
      <c r="C14" s="23" t="s">
        <v>3359</v>
      </c>
      <c r="D14" s="7">
        <v>200</v>
      </c>
      <c r="E14" s="4"/>
    </row>
    <row r="15" spans="1:11" x14ac:dyDescent="0.2">
      <c r="C15" s="23" t="s">
        <v>3360</v>
      </c>
      <c r="D15" s="7" t="e">
        <f>SUM(D11:D14)</f>
        <v>#N/A</v>
      </c>
      <c r="E15" s="63" t="s">
        <v>825</v>
      </c>
    </row>
    <row r="17" spans="2:9" ht="13.5" thickBot="1" x14ac:dyDescent="0.25">
      <c r="B17" s="2" t="s">
        <v>2865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826</v>
      </c>
    </row>
    <row r="19" spans="2:9" x14ac:dyDescent="0.2">
      <c r="B19" t="s">
        <v>827</v>
      </c>
    </row>
    <row r="20" spans="2:9" x14ac:dyDescent="0.2">
      <c r="B20" t="s">
        <v>828</v>
      </c>
    </row>
    <row r="21" spans="2:9" x14ac:dyDescent="0.2">
      <c r="B21" t="s">
        <v>829</v>
      </c>
    </row>
    <row r="23" spans="2:9" ht="13.5" thickBot="1" x14ac:dyDescent="0.25">
      <c r="B23" s="2" t="s">
        <v>998</v>
      </c>
      <c r="C23" s="2"/>
      <c r="D23" s="2"/>
      <c r="E23" s="2"/>
      <c r="F23" s="2"/>
      <c r="G23" s="2"/>
      <c r="H23" s="2"/>
      <c r="I23" s="2"/>
    </row>
    <row r="24" spans="2:9" x14ac:dyDescent="0.2">
      <c r="B24" s="61" t="s">
        <v>830</v>
      </c>
    </row>
    <row r="26" spans="2:9" ht="13.5" thickBot="1" x14ac:dyDescent="0.25">
      <c r="B26" s="2" t="s">
        <v>3355</v>
      </c>
      <c r="C26" s="2"/>
      <c r="D26" s="2"/>
      <c r="E26" s="2"/>
      <c r="F26" s="2"/>
      <c r="G26" s="2"/>
      <c r="H26" s="2"/>
      <c r="I26" s="2"/>
    </row>
    <row r="27" spans="2:9" x14ac:dyDescent="0.2">
      <c r="B27" t="s">
        <v>3762</v>
      </c>
    </row>
    <row r="29" spans="2:9" ht="13.5" thickBot="1" x14ac:dyDescent="0.25">
      <c r="B29" s="2" t="s">
        <v>1001</v>
      </c>
      <c r="C29" s="2"/>
      <c r="D29" s="2"/>
      <c r="E29" s="2"/>
      <c r="F29" s="2"/>
      <c r="G29" s="2"/>
      <c r="H29" s="2"/>
      <c r="I29" s="2"/>
    </row>
    <row r="30" spans="2:9" x14ac:dyDescent="0.2">
      <c r="B30" t="s">
        <v>831</v>
      </c>
    </row>
    <row r="31" spans="2:9" x14ac:dyDescent="0.2">
      <c r="B31" t="s">
        <v>832</v>
      </c>
    </row>
    <row r="32" spans="2:9" x14ac:dyDescent="0.2">
      <c r="B32" t="s">
        <v>833</v>
      </c>
    </row>
    <row r="33" spans="2:6" ht="12.75" customHeight="1" x14ac:dyDescent="0.2"/>
    <row r="34" spans="2:6" ht="12.75" customHeight="1" x14ac:dyDescent="0.2">
      <c r="B34" t="s">
        <v>834</v>
      </c>
    </row>
    <row r="35" spans="2:6" ht="12.75" customHeight="1" x14ac:dyDescent="0.2">
      <c r="B35" t="s">
        <v>835</v>
      </c>
    </row>
    <row r="36" spans="2:6" ht="12.75" customHeight="1" x14ac:dyDescent="0.2"/>
    <row r="37" spans="2:6" ht="12.75" customHeight="1" x14ac:dyDescent="0.2">
      <c r="B37" t="s">
        <v>1013</v>
      </c>
    </row>
    <row r="38" spans="2:6" ht="12.75" customHeight="1" x14ac:dyDescent="0.2">
      <c r="C38" s="6" t="s">
        <v>1382</v>
      </c>
      <c r="D38" s="6" t="s">
        <v>836</v>
      </c>
      <c r="E38" s="6" t="s">
        <v>837</v>
      </c>
    </row>
    <row r="39" spans="2:6" x14ac:dyDescent="0.2">
      <c r="B39" s="23" t="s">
        <v>3361</v>
      </c>
      <c r="C39" s="7">
        <v>1000</v>
      </c>
      <c r="D39" s="29">
        <v>0.25</v>
      </c>
      <c r="E39" s="8">
        <f>C39-C39*D39</f>
        <v>750</v>
      </c>
      <c r="F39" s="13" t="s">
        <v>838</v>
      </c>
    </row>
    <row r="40" spans="2:6" x14ac:dyDescent="0.2">
      <c r="B40" s="23" t="s">
        <v>3362</v>
      </c>
      <c r="C40" s="7">
        <v>1000</v>
      </c>
      <c r="D40" s="29"/>
      <c r="E40" s="8">
        <f>C40-C40*D40</f>
        <v>1000</v>
      </c>
      <c r="F40" s="13" t="s">
        <v>839</v>
      </c>
    </row>
    <row r="41" spans="2:6" x14ac:dyDescent="0.2">
      <c r="B41" s="23" t="s">
        <v>3363</v>
      </c>
      <c r="C41" s="7">
        <v>1000</v>
      </c>
      <c r="D41" s="29">
        <v>0.2</v>
      </c>
      <c r="E41" s="8">
        <f>C41-C41*D41</f>
        <v>800</v>
      </c>
      <c r="F41" s="13" t="s">
        <v>840</v>
      </c>
    </row>
    <row r="44" spans="2:6" x14ac:dyDescent="0.2">
      <c r="B44" t="s">
        <v>2053</v>
      </c>
    </row>
    <row r="45" spans="2:6" x14ac:dyDescent="0.2">
      <c r="B45" t="s">
        <v>2054</v>
      </c>
    </row>
    <row r="47" spans="2:6" x14ac:dyDescent="0.2">
      <c r="B47" t="s">
        <v>1024</v>
      </c>
    </row>
    <row r="48" spans="2:6" x14ac:dyDescent="0.2">
      <c r="C48" s="6" t="s">
        <v>1382</v>
      </c>
      <c r="D48" s="6" t="s">
        <v>836</v>
      </c>
      <c r="E48" s="6" t="s">
        <v>837</v>
      </c>
    </row>
    <row r="49" spans="2:6" x14ac:dyDescent="0.2">
      <c r="B49" s="23" t="s">
        <v>3361</v>
      </c>
      <c r="C49" s="7">
        <v>1000</v>
      </c>
      <c r="D49" s="29">
        <v>0.25</v>
      </c>
      <c r="E49" s="8">
        <f>C49-C49*D49</f>
        <v>750</v>
      </c>
      <c r="F49" s="13" t="s">
        <v>2055</v>
      </c>
    </row>
    <row r="50" spans="2:6" x14ac:dyDescent="0.2">
      <c r="B50" s="23" t="s">
        <v>3362</v>
      </c>
      <c r="C50" s="7">
        <v>1000</v>
      </c>
      <c r="D50" s="29" t="e">
        <f>NA()</f>
        <v>#N/A</v>
      </c>
      <c r="E50" s="8" t="e">
        <f>C50-C50*D50</f>
        <v>#N/A</v>
      </c>
      <c r="F50" s="13" t="s">
        <v>2056</v>
      </c>
    </row>
    <row r="51" spans="2:6" x14ac:dyDescent="0.2">
      <c r="B51" s="23" t="s">
        <v>3363</v>
      </c>
      <c r="C51" s="7">
        <v>1000</v>
      </c>
      <c r="D51" s="29">
        <v>0.2</v>
      </c>
      <c r="E51" s="8">
        <f>C51-C51*D51</f>
        <v>800</v>
      </c>
      <c r="F51" s="13" t="s">
        <v>2057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K24"/>
  <sheetViews>
    <sheetView showGridLines="0" workbookViewId="0">
      <pane ySplit="1" topLeftCell="A2" activePane="bottomLeft" state="frozen"/>
      <selection activeCell="A3" sqref="A3"/>
      <selection pane="bottomLeft" activeCell="G4" sqref="G4"/>
    </sheetView>
  </sheetViews>
  <sheetFormatPr defaultRowHeight="12.75" x14ac:dyDescent="0.2"/>
  <cols>
    <col min="1" max="1" width="3.42578125" customWidth="1"/>
    <col min="3" max="4" width="10" customWidth="1"/>
    <col min="10" max="10" width="6.28515625" customWidth="1"/>
  </cols>
  <sheetData>
    <row r="1" spans="1:11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6" t="s">
        <v>804</v>
      </c>
      <c r="D3" s="6" t="s">
        <v>805</v>
      </c>
    </row>
    <row r="4" spans="1:11" x14ac:dyDescent="0.2">
      <c r="C4" s="7">
        <v>1</v>
      </c>
      <c r="D4" s="8">
        <f t="shared" ref="D4:D12" si="0">N(C4)</f>
        <v>1</v>
      </c>
      <c r="E4" s="13" t="s">
        <v>806</v>
      </c>
    </row>
    <row r="5" spans="1:11" x14ac:dyDescent="0.2">
      <c r="C5" s="372">
        <v>3.5</v>
      </c>
      <c r="D5" s="8">
        <f t="shared" si="0"/>
        <v>3.5</v>
      </c>
      <c r="E5" s="13" t="s">
        <v>807</v>
      </c>
    </row>
    <row r="6" spans="1:11" x14ac:dyDescent="0.2">
      <c r="C6" s="7">
        <v>3.5</v>
      </c>
      <c r="D6" s="8">
        <f t="shared" si="0"/>
        <v>3.5</v>
      </c>
      <c r="E6" s="13" t="s">
        <v>808</v>
      </c>
    </row>
    <row r="7" spans="1:11" x14ac:dyDescent="0.2">
      <c r="C7" s="87">
        <v>3.5000000000000003E-2</v>
      </c>
      <c r="D7" s="8">
        <f t="shared" si="0"/>
        <v>3.5000000000000003E-2</v>
      </c>
      <c r="E7" s="13" t="s">
        <v>809</v>
      </c>
    </row>
    <row r="8" spans="1:11" x14ac:dyDescent="0.2">
      <c r="C8" s="161">
        <v>36154</v>
      </c>
      <c r="D8" s="8">
        <f t="shared" si="0"/>
        <v>36154</v>
      </c>
      <c r="E8" s="13" t="s">
        <v>810</v>
      </c>
    </row>
    <row r="9" spans="1:11" x14ac:dyDescent="0.2">
      <c r="C9" s="7" t="b">
        <v>1</v>
      </c>
      <c r="D9" s="8">
        <f t="shared" si="0"/>
        <v>1</v>
      </c>
      <c r="E9" s="13" t="s">
        <v>811</v>
      </c>
    </row>
    <row r="10" spans="1:11" x14ac:dyDescent="0.2">
      <c r="C10" s="7" t="b">
        <v>0</v>
      </c>
      <c r="D10" s="8">
        <f t="shared" si="0"/>
        <v>0</v>
      </c>
      <c r="E10" s="13" t="s">
        <v>812</v>
      </c>
    </row>
    <row r="11" spans="1:11" x14ac:dyDescent="0.2">
      <c r="C11" s="7" t="s">
        <v>1029</v>
      </c>
      <c r="D11" s="8">
        <f t="shared" si="0"/>
        <v>0</v>
      </c>
      <c r="E11" s="13" t="s">
        <v>813</v>
      </c>
    </row>
    <row r="12" spans="1:11" x14ac:dyDescent="0.2">
      <c r="C12" s="7"/>
      <c r="D12" s="8">
        <f t="shared" si="0"/>
        <v>0</v>
      </c>
      <c r="E12" s="13" t="s">
        <v>814</v>
      </c>
    </row>
    <row r="14" spans="1:11" ht="13.5" thickBot="1" x14ac:dyDescent="0.25">
      <c r="B14" s="2" t="s">
        <v>2865</v>
      </c>
      <c r="C14" s="2"/>
      <c r="D14" s="2"/>
      <c r="E14" s="2"/>
      <c r="F14" s="2"/>
      <c r="G14" s="2"/>
      <c r="H14" s="2"/>
      <c r="I14" s="2"/>
      <c r="J14" s="2"/>
    </row>
    <row r="15" spans="1:11" x14ac:dyDescent="0.2">
      <c r="B15" t="s">
        <v>815</v>
      </c>
    </row>
    <row r="16" spans="1:11" x14ac:dyDescent="0.2">
      <c r="B16" t="s">
        <v>816</v>
      </c>
    </row>
    <row r="17" spans="2:10" x14ac:dyDescent="0.2">
      <c r="B17" t="s">
        <v>817</v>
      </c>
    </row>
    <row r="18" spans="2:10" x14ac:dyDescent="0.2">
      <c r="B18" t="s">
        <v>818</v>
      </c>
    </row>
    <row r="20" spans="2:10" ht="13.5" thickBot="1" x14ac:dyDescent="0.25">
      <c r="B20" s="2" t="s">
        <v>998</v>
      </c>
      <c r="C20" s="2"/>
      <c r="D20" s="2"/>
      <c r="E20" s="2"/>
      <c r="F20" s="2"/>
      <c r="G20" s="2"/>
      <c r="H20" s="2"/>
      <c r="I20" s="2"/>
      <c r="J20" s="2"/>
    </row>
    <row r="21" spans="2:10" x14ac:dyDescent="0.2">
      <c r="B21" s="61" t="s">
        <v>819</v>
      </c>
    </row>
    <row r="23" spans="2:10" ht="13.5" thickBot="1" x14ac:dyDescent="0.25">
      <c r="B23" s="2" t="s">
        <v>3355</v>
      </c>
      <c r="C23" s="2"/>
      <c r="D23" s="2"/>
      <c r="E23" s="2"/>
      <c r="F23" s="2"/>
      <c r="G23" s="2"/>
      <c r="H23" s="2"/>
      <c r="I23" s="2"/>
      <c r="J23" s="2"/>
    </row>
    <row r="24" spans="2:10" x14ac:dyDescent="0.2">
      <c r="B24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K17"/>
  <sheetViews>
    <sheetView showGridLines="0" workbookViewId="0">
      <pane ySplit="1" topLeftCell="A2" activePane="bottomLeft" state="frozen"/>
      <selection activeCell="A3" sqref="A3"/>
      <selection pane="bottomLeft" activeCell="I3" sqref="I3"/>
    </sheetView>
  </sheetViews>
  <sheetFormatPr defaultRowHeight="12.75" x14ac:dyDescent="0.2"/>
  <cols>
    <col min="1" max="1" width="2.7109375" customWidth="1"/>
    <col min="10" max="10" width="8.5703125" customWidth="1"/>
  </cols>
  <sheetData>
    <row r="1" spans="1:11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25.5" x14ac:dyDescent="0.2">
      <c r="C3" s="6" t="s">
        <v>990</v>
      </c>
      <c r="D3" s="6" t="s">
        <v>795</v>
      </c>
      <c r="E3" s="57" t="s">
        <v>796</v>
      </c>
    </row>
    <row r="4" spans="1:11" x14ac:dyDescent="0.2">
      <c r="C4" s="7">
        <v>110</v>
      </c>
      <c r="D4" s="7">
        <v>50</v>
      </c>
      <c r="E4" s="8">
        <f>MROUND(C4,D4)</f>
        <v>100</v>
      </c>
      <c r="F4" s="13" t="s">
        <v>797</v>
      </c>
    </row>
    <row r="5" spans="1:11" x14ac:dyDescent="0.2">
      <c r="C5" s="7">
        <v>120</v>
      </c>
      <c r="D5" s="7">
        <v>50</v>
      </c>
      <c r="E5" s="8">
        <f>MROUND(C5,D5)</f>
        <v>100</v>
      </c>
      <c r="F5" s="13" t="s">
        <v>798</v>
      </c>
    </row>
    <row r="6" spans="1:11" x14ac:dyDescent="0.2">
      <c r="C6" s="7">
        <v>150</v>
      </c>
      <c r="D6" s="7">
        <v>50</v>
      </c>
      <c r="E6" s="8">
        <f>MROUND(C6,D6)</f>
        <v>150</v>
      </c>
      <c r="F6" s="13" t="s">
        <v>799</v>
      </c>
    </row>
    <row r="7" spans="1:11" x14ac:dyDescent="0.2">
      <c r="C7" s="7">
        <v>160</v>
      </c>
      <c r="D7" s="7">
        <v>50</v>
      </c>
      <c r="E7" s="8">
        <f>MROUND(C7,D7)</f>
        <v>150</v>
      </c>
      <c r="F7" s="13" t="s">
        <v>800</v>
      </c>
    </row>
    <row r="8" spans="1:11" x14ac:dyDescent="0.2">
      <c r="C8" s="7">
        <v>170</v>
      </c>
      <c r="D8" s="7">
        <v>50</v>
      </c>
      <c r="E8" s="8">
        <f>MROUND(C8,D8)</f>
        <v>150</v>
      </c>
      <c r="F8" s="13" t="s">
        <v>801</v>
      </c>
    </row>
    <row r="10" spans="1:11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  <c r="J10" s="2"/>
    </row>
    <row r="11" spans="1:11" x14ac:dyDescent="0.2">
      <c r="B11" t="s">
        <v>802</v>
      </c>
    </row>
    <row r="13" spans="1:11" ht="13.5" thickBot="1" x14ac:dyDescent="0.25">
      <c r="B13" s="2" t="s">
        <v>998</v>
      </c>
      <c r="C13" s="2"/>
      <c r="D13" s="2"/>
      <c r="E13" s="2"/>
      <c r="F13" s="2"/>
      <c r="G13" s="2"/>
      <c r="H13" s="2"/>
      <c r="I13" s="2"/>
      <c r="J13" s="2"/>
    </row>
    <row r="14" spans="1:11" x14ac:dyDescent="0.2">
      <c r="B14" s="61" t="s">
        <v>803</v>
      </c>
    </row>
    <row r="16" spans="1:11" ht="13.5" thickBot="1" x14ac:dyDescent="0.25">
      <c r="B16" s="2" t="s">
        <v>3355</v>
      </c>
      <c r="C16" s="2"/>
      <c r="D16" s="2"/>
      <c r="E16" s="2"/>
      <c r="F16" s="2"/>
      <c r="G16" s="2"/>
      <c r="H16" s="2"/>
      <c r="I16" s="2"/>
      <c r="J16" s="2"/>
    </row>
    <row r="17" spans="2:2" x14ac:dyDescent="0.2">
      <c r="B17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H21"/>
  <sheetViews>
    <sheetView showGridLines="0" workbookViewId="0">
      <pane ySplit="1" topLeftCell="A2" activePane="bottomLeft" state="frozen"/>
      <selection activeCell="A3" sqref="A3"/>
      <selection pane="bottomLeft" activeCell="F4" sqref="F4"/>
    </sheetView>
  </sheetViews>
  <sheetFormatPr defaultRowHeight="12.75" x14ac:dyDescent="0.2"/>
  <cols>
    <col min="1" max="1" width="2.7109375" customWidth="1"/>
    <col min="2" max="2" width="10" customWidth="1"/>
    <col min="3" max="3" width="13.28515625" customWidth="1"/>
    <col min="4" max="4" width="13.140625" customWidth="1"/>
    <col min="5" max="5" width="14.85546875" customWidth="1"/>
    <col min="6" max="6" width="15.42578125" customWidth="1"/>
    <col min="7" max="7" width="13" customWidth="1"/>
  </cols>
  <sheetData>
    <row r="1" spans="1:8" ht="42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1275</v>
      </c>
      <c r="D3" s="6" t="s">
        <v>1722</v>
      </c>
    </row>
    <row r="4" spans="1:8" x14ac:dyDescent="0.2">
      <c r="B4" s="49"/>
      <c r="C4" s="161">
        <v>35796</v>
      </c>
      <c r="D4" s="8">
        <f>MONTH(C4)</f>
        <v>1</v>
      </c>
      <c r="E4" s="13" t="s">
        <v>1276</v>
      </c>
    </row>
    <row r="5" spans="1:8" x14ac:dyDescent="0.2">
      <c r="C5" s="161">
        <v>35796</v>
      </c>
      <c r="D5" s="370">
        <f>MONTH(C5)</f>
        <v>1</v>
      </c>
      <c r="E5" s="13" t="s">
        <v>1277</v>
      </c>
    </row>
    <row r="7" spans="1:8" ht="13.5" thickBot="1" x14ac:dyDescent="0.25">
      <c r="B7" s="2" t="s">
        <v>3118</v>
      </c>
      <c r="C7" s="2"/>
      <c r="D7" s="2"/>
      <c r="E7" s="2"/>
      <c r="F7" s="2"/>
      <c r="G7" s="2"/>
    </row>
    <row r="8" spans="1:8" x14ac:dyDescent="0.2">
      <c r="B8" t="s">
        <v>1278</v>
      </c>
    </row>
    <row r="10" spans="1:8" ht="13.5" thickBot="1" x14ac:dyDescent="0.25">
      <c r="B10" s="2" t="s">
        <v>998</v>
      </c>
      <c r="C10" s="2"/>
      <c r="D10" s="2"/>
      <c r="E10" s="2"/>
      <c r="F10" s="2"/>
      <c r="G10" s="2"/>
    </row>
    <row r="11" spans="1:8" x14ac:dyDescent="0.2">
      <c r="B11" t="s">
        <v>1279</v>
      </c>
    </row>
    <row r="13" spans="1:8" ht="13.5" thickBot="1" x14ac:dyDescent="0.25">
      <c r="B13" s="2" t="s">
        <v>3355</v>
      </c>
      <c r="C13" s="2"/>
      <c r="D13" s="2"/>
      <c r="E13" s="2"/>
      <c r="F13" s="2"/>
      <c r="G13" s="2"/>
    </row>
    <row r="14" spans="1:8" x14ac:dyDescent="0.2">
      <c r="B14" t="s">
        <v>721</v>
      </c>
    </row>
    <row r="15" spans="1:8" x14ac:dyDescent="0.2">
      <c r="B15" t="s">
        <v>1280</v>
      </c>
    </row>
    <row r="17" spans="2:7" ht="13.5" thickBot="1" x14ac:dyDescent="0.25">
      <c r="B17" s="2" t="s">
        <v>1001</v>
      </c>
      <c r="C17" s="2"/>
      <c r="D17" s="2"/>
      <c r="E17" s="2"/>
      <c r="F17" s="2"/>
      <c r="G17" s="2"/>
    </row>
    <row r="18" spans="2:7" x14ac:dyDescent="0.2">
      <c r="B18" t="s">
        <v>791</v>
      </c>
    </row>
    <row r="20" spans="2:7" x14ac:dyDescent="0.2">
      <c r="B20" s="121"/>
      <c r="C20" s="121"/>
      <c r="D20" s="121"/>
      <c r="E20" s="371" t="s">
        <v>792</v>
      </c>
      <c r="F20" s="200">
        <v>22730</v>
      </c>
    </row>
    <row r="21" spans="2:7" x14ac:dyDescent="0.2">
      <c r="B21" s="121"/>
      <c r="C21" s="121"/>
      <c r="D21" s="121"/>
      <c r="E21" s="371" t="s">
        <v>793</v>
      </c>
      <c r="F21" s="370">
        <f>MONTH(F20)</f>
        <v>3</v>
      </c>
      <c r="G21" s="13" t="s">
        <v>794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K56"/>
  <sheetViews>
    <sheetView showGridLines="0" workbookViewId="0">
      <pane ySplit="1" topLeftCell="A2" activePane="bottomLeft" state="frozen"/>
      <selection activeCell="A3" sqref="A3"/>
      <selection pane="bottomLeft" activeCell="K5" sqref="K5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6" t="s">
        <v>3871</v>
      </c>
      <c r="D3" s="6" t="s">
        <v>3872</v>
      </c>
      <c r="E3" s="6" t="s">
        <v>3873</v>
      </c>
      <c r="F3" s="6" t="s">
        <v>3874</v>
      </c>
      <c r="G3" s="6" t="s">
        <v>3875</v>
      </c>
      <c r="H3" s="6" t="s">
        <v>1244</v>
      </c>
    </row>
    <row r="4" spans="1:11" x14ac:dyDescent="0.2">
      <c r="C4" s="7">
        <v>20</v>
      </c>
      <c r="D4" s="7">
        <v>50</v>
      </c>
      <c r="E4" s="7">
        <v>10</v>
      </c>
      <c r="F4" s="7">
        <v>10</v>
      </c>
      <c r="G4" s="7">
        <v>40</v>
      </c>
      <c r="H4" s="8">
        <f>MODE(C4:G4)</f>
        <v>10</v>
      </c>
      <c r="I4" s="13" t="s">
        <v>1245</v>
      </c>
    </row>
    <row r="6" spans="1:11" x14ac:dyDescent="0.2">
      <c r="C6" s="7">
        <v>40</v>
      </c>
      <c r="D6" s="7">
        <v>20</v>
      </c>
      <c r="E6" s="7">
        <v>40</v>
      </c>
      <c r="F6" s="7">
        <v>10</v>
      </c>
      <c r="G6" s="7">
        <v>40</v>
      </c>
      <c r="H6" s="8">
        <f>MODE(C6:G6)</f>
        <v>40</v>
      </c>
      <c r="I6" s="13" t="s">
        <v>1246</v>
      </c>
    </row>
    <row r="8" spans="1:11" x14ac:dyDescent="0.2">
      <c r="C8" s="7">
        <v>10</v>
      </c>
      <c r="D8" s="7">
        <v>10</v>
      </c>
      <c r="E8" s="7">
        <v>99</v>
      </c>
      <c r="F8" s="7">
        <v>20</v>
      </c>
      <c r="G8" s="7">
        <v>20</v>
      </c>
      <c r="H8" s="8">
        <f>MODE(C8:G8)</f>
        <v>10</v>
      </c>
      <c r="I8" s="13" t="s">
        <v>1247</v>
      </c>
    </row>
    <row r="9" spans="1:11" x14ac:dyDescent="0.2">
      <c r="C9" s="7">
        <v>20</v>
      </c>
      <c r="D9" s="7">
        <v>20</v>
      </c>
      <c r="E9" s="7">
        <v>99</v>
      </c>
      <c r="F9" s="7">
        <v>10</v>
      </c>
      <c r="G9" s="7">
        <v>10</v>
      </c>
      <c r="H9" s="8">
        <f>MODE(C9:G9)</f>
        <v>20</v>
      </c>
      <c r="I9" s="13" t="s">
        <v>1248</v>
      </c>
    </row>
    <row r="10" spans="1:11" x14ac:dyDescent="0.2">
      <c r="C10" s="7">
        <v>10</v>
      </c>
      <c r="D10" s="7">
        <v>20</v>
      </c>
      <c r="E10" s="7">
        <v>20</v>
      </c>
      <c r="F10" s="7">
        <v>99</v>
      </c>
      <c r="G10" s="7">
        <v>10</v>
      </c>
      <c r="H10" s="8">
        <f>MODE(C10:G10)</f>
        <v>10</v>
      </c>
      <c r="I10" s="13" t="s">
        <v>1249</v>
      </c>
    </row>
    <row r="12" spans="1:11" x14ac:dyDescent="0.2">
      <c r="C12" s="7">
        <v>10</v>
      </c>
      <c r="D12" s="7">
        <v>20</v>
      </c>
      <c r="E12" s="7">
        <v>30</v>
      </c>
      <c r="F12" s="7">
        <v>40</v>
      </c>
      <c r="G12" s="7">
        <v>50</v>
      </c>
      <c r="H12" s="8" t="e">
        <f>MODE(C12:G12)</f>
        <v>#N/A</v>
      </c>
      <c r="I12" s="13" t="s">
        <v>1250</v>
      </c>
    </row>
    <row r="14" spans="1:11" ht="13.5" thickBot="1" x14ac:dyDescent="0.25">
      <c r="B14" s="2" t="s">
        <v>2865</v>
      </c>
      <c r="C14" s="2"/>
      <c r="D14" s="2"/>
      <c r="E14" s="2"/>
      <c r="F14" s="2"/>
      <c r="G14" s="2"/>
      <c r="H14" s="2"/>
      <c r="I14" s="2"/>
      <c r="J14" s="2"/>
    </row>
    <row r="15" spans="1:11" x14ac:dyDescent="0.2">
      <c r="B15" t="s">
        <v>1251</v>
      </c>
    </row>
    <row r="16" spans="1:11" x14ac:dyDescent="0.2">
      <c r="B16" t="s">
        <v>1252</v>
      </c>
    </row>
    <row r="17" spans="2:10" x14ac:dyDescent="0.2">
      <c r="B17" t="s">
        <v>1253</v>
      </c>
    </row>
    <row r="18" spans="2:10" x14ac:dyDescent="0.2">
      <c r="B18" t="s">
        <v>1254</v>
      </c>
    </row>
    <row r="19" spans="2:10" x14ac:dyDescent="0.2">
      <c r="B19" t="s">
        <v>1255</v>
      </c>
    </row>
    <row r="21" spans="2:10" ht="13.5" thickBot="1" x14ac:dyDescent="0.25">
      <c r="B21" s="2" t="s">
        <v>998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s="61" t="s">
        <v>1256</v>
      </c>
    </row>
    <row r="24" spans="2:10" ht="13.5" thickBot="1" x14ac:dyDescent="0.25">
      <c r="B24" s="2" t="s">
        <v>3355</v>
      </c>
      <c r="C24" s="2"/>
      <c r="D24" s="2"/>
      <c r="E24" s="2"/>
      <c r="F24" s="2"/>
      <c r="G24" s="2"/>
      <c r="H24" s="2"/>
      <c r="I24" s="2"/>
      <c r="J24" s="2"/>
    </row>
    <row r="25" spans="2:10" x14ac:dyDescent="0.2">
      <c r="B25" t="s">
        <v>2424</v>
      </c>
    </row>
    <row r="27" spans="2:10" ht="13.5" thickBot="1" x14ac:dyDescent="0.25">
      <c r="B27" s="2" t="s">
        <v>1001</v>
      </c>
      <c r="C27" s="2"/>
      <c r="D27" s="2"/>
      <c r="E27" s="2"/>
      <c r="F27" s="2"/>
      <c r="G27" s="2"/>
      <c r="H27" s="2"/>
      <c r="I27" s="2"/>
      <c r="J27" s="2"/>
    </row>
    <row r="28" spans="2:10" x14ac:dyDescent="0.2">
      <c r="B28" t="s">
        <v>1257</v>
      </c>
    </row>
    <row r="29" spans="2:10" x14ac:dyDescent="0.2">
      <c r="B29" t="s">
        <v>1258</v>
      </c>
    </row>
    <row r="30" spans="2:10" x14ac:dyDescent="0.2">
      <c r="B30" t="s">
        <v>1259</v>
      </c>
    </row>
    <row r="32" spans="2:10" x14ac:dyDescent="0.2">
      <c r="B32" s="6" t="s">
        <v>1457</v>
      </c>
      <c r="C32" s="6" t="s">
        <v>1260</v>
      </c>
      <c r="D32" s="6" t="s">
        <v>347</v>
      </c>
    </row>
    <row r="33" spans="2:9" x14ac:dyDescent="0.2">
      <c r="B33" s="369">
        <v>1</v>
      </c>
      <c r="C33" s="7" t="s">
        <v>1261</v>
      </c>
      <c r="D33" s="7">
        <v>10</v>
      </c>
      <c r="F33" s="20"/>
      <c r="G33" s="162"/>
      <c r="H33" s="21" t="s">
        <v>1262</v>
      </c>
      <c r="I33" s="8">
        <f>MODE(D33:D52)</f>
        <v>10</v>
      </c>
    </row>
    <row r="34" spans="2:9" x14ac:dyDescent="0.2">
      <c r="B34" s="369">
        <v>2</v>
      </c>
      <c r="C34" s="7" t="s">
        <v>1263</v>
      </c>
      <c r="D34" s="7">
        <v>10</v>
      </c>
      <c r="I34" s="13" t="s">
        <v>1264</v>
      </c>
    </row>
    <row r="35" spans="2:9" x14ac:dyDescent="0.2">
      <c r="B35" s="369">
        <v>3</v>
      </c>
      <c r="C35" s="7" t="s">
        <v>1265</v>
      </c>
      <c r="D35" s="7">
        <v>8</v>
      </c>
    </row>
    <row r="36" spans="2:9" x14ac:dyDescent="0.2">
      <c r="B36" s="369">
        <v>4</v>
      </c>
      <c r="C36" s="7" t="s">
        <v>1261</v>
      </c>
      <c r="D36" s="7">
        <v>10</v>
      </c>
    </row>
    <row r="37" spans="2:9" x14ac:dyDescent="0.2">
      <c r="B37" s="369">
        <v>5</v>
      </c>
      <c r="C37" s="7" t="s">
        <v>1263</v>
      </c>
      <c r="D37" s="7">
        <v>12</v>
      </c>
      <c r="F37" s="20"/>
      <c r="G37" s="21" t="s">
        <v>1266</v>
      </c>
      <c r="H37" s="8">
        <f>COUNTIF(D33:D52,"8")</f>
        <v>6</v>
      </c>
    </row>
    <row r="38" spans="2:9" x14ac:dyDescent="0.2">
      <c r="B38" s="369">
        <v>6</v>
      </c>
      <c r="C38" s="7" t="s">
        <v>1267</v>
      </c>
      <c r="D38" s="7">
        <v>8</v>
      </c>
      <c r="H38" s="13" t="s">
        <v>1268</v>
      </c>
    </row>
    <row r="39" spans="2:9" x14ac:dyDescent="0.2">
      <c r="B39" s="369">
        <v>7</v>
      </c>
      <c r="C39" s="7" t="s">
        <v>1265</v>
      </c>
      <c r="D39" s="7">
        <v>10</v>
      </c>
    </row>
    <row r="40" spans="2:9" x14ac:dyDescent="0.2">
      <c r="B40" s="369">
        <v>8</v>
      </c>
      <c r="C40" s="7" t="s">
        <v>1261</v>
      </c>
      <c r="D40" s="7">
        <v>10</v>
      </c>
      <c r="F40" s="20"/>
      <c r="G40" s="21" t="s">
        <v>1269</v>
      </c>
      <c r="H40" s="8">
        <f>COUNTIF(D33:D52,"10")</f>
        <v>11</v>
      </c>
    </row>
    <row r="41" spans="2:9" x14ac:dyDescent="0.2">
      <c r="B41" s="369">
        <v>9</v>
      </c>
      <c r="C41" s="7" t="s">
        <v>1267</v>
      </c>
      <c r="D41" s="7">
        <v>8</v>
      </c>
      <c r="H41" s="13" t="s">
        <v>1270</v>
      </c>
    </row>
    <row r="42" spans="2:9" x14ac:dyDescent="0.2">
      <c r="B42" s="369">
        <v>10</v>
      </c>
      <c r="C42" s="7" t="s">
        <v>1265</v>
      </c>
      <c r="D42" s="7">
        <v>10</v>
      </c>
    </row>
    <row r="43" spans="2:9" x14ac:dyDescent="0.2">
      <c r="B43" s="369">
        <v>11</v>
      </c>
      <c r="C43" s="7" t="s">
        <v>1267</v>
      </c>
      <c r="D43" s="7">
        <v>12</v>
      </c>
      <c r="F43" s="20"/>
      <c r="G43" s="21" t="s">
        <v>1271</v>
      </c>
      <c r="H43" s="8">
        <f>COUNTIF(D33:D52,"12")</f>
        <v>3</v>
      </c>
    </row>
    <row r="44" spans="2:9" x14ac:dyDescent="0.2">
      <c r="B44" s="369">
        <v>12</v>
      </c>
      <c r="C44" s="7" t="s">
        <v>1263</v>
      </c>
      <c r="D44" s="7">
        <v>12</v>
      </c>
      <c r="H44" s="13" t="s">
        <v>1272</v>
      </c>
    </row>
    <row r="45" spans="2:9" x14ac:dyDescent="0.2">
      <c r="B45" s="369">
        <v>13</v>
      </c>
      <c r="C45" s="7" t="s">
        <v>1263</v>
      </c>
      <c r="D45" s="7">
        <v>10</v>
      </c>
    </row>
    <row r="46" spans="2:9" x14ac:dyDescent="0.2">
      <c r="B46" s="369">
        <v>14</v>
      </c>
      <c r="C46" s="7" t="s">
        <v>1265</v>
      </c>
      <c r="D46" s="7">
        <v>10</v>
      </c>
    </row>
    <row r="47" spans="2:9" x14ac:dyDescent="0.2">
      <c r="B47" s="369">
        <v>15</v>
      </c>
      <c r="C47" s="7" t="s">
        <v>1267</v>
      </c>
      <c r="D47" s="7">
        <v>8</v>
      </c>
    </row>
    <row r="48" spans="2:9" x14ac:dyDescent="0.2">
      <c r="B48" s="369">
        <v>16</v>
      </c>
      <c r="C48" s="7" t="s">
        <v>1265</v>
      </c>
      <c r="D48" s="7">
        <v>10</v>
      </c>
    </row>
    <row r="49" spans="2:10" x14ac:dyDescent="0.2">
      <c r="B49" s="369">
        <v>17</v>
      </c>
      <c r="C49" s="7" t="s">
        <v>1261</v>
      </c>
      <c r="D49" s="7">
        <v>10</v>
      </c>
    </row>
    <row r="50" spans="2:10" x14ac:dyDescent="0.2">
      <c r="B50" s="369">
        <v>18</v>
      </c>
      <c r="C50" s="7" t="s">
        <v>1261</v>
      </c>
      <c r="D50" s="7">
        <v>8</v>
      </c>
    </row>
    <row r="51" spans="2:10" x14ac:dyDescent="0.2">
      <c r="B51" s="369">
        <v>19</v>
      </c>
      <c r="C51" s="7" t="s">
        <v>1267</v>
      </c>
      <c r="D51" s="7">
        <v>10</v>
      </c>
    </row>
    <row r="52" spans="2:10" x14ac:dyDescent="0.2">
      <c r="B52" s="369">
        <v>20</v>
      </c>
      <c r="C52" s="7" t="s">
        <v>1263</v>
      </c>
      <c r="D52" s="7">
        <v>8</v>
      </c>
    </row>
    <row r="54" spans="2:10" ht="13.5" thickBot="1" x14ac:dyDescent="0.25">
      <c r="B54" s="2" t="s">
        <v>2659</v>
      </c>
      <c r="C54" s="2"/>
      <c r="D54" s="2"/>
      <c r="E54" s="2"/>
      <c r="F54" s="2"/>
      <c r="G54" s="2"/>
      <c r="H54" s="2"/>
      <c r="I54" s="2"/>
      <c r="J54" s="2"/>
    </row>
    <row r="55" spans="2:10" x14ac:dyDescent="0.2">
      <c r="B55" t="s">
        <v>1273</v>
      </c>
      <c r="I55" s="49">
        <f>AVERAGE(D33:D52)</f>
        <v>9.6999999999999993</v>
      </c>
    </row>
    <row r="56" spans="2:10" x14ac:dyDescent="0.2">
      <c r="B56" t="s">
        <v>1274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J17"/>
  <sheetViews>
    <sheetView showGridLines="0" workbookViewId="0">
      <pane ySplit="1" topLeftCell="A2" activePane="bottomLeft" state="frozen"/>
      <selection activeCell="A3" sqref="A3"/>
      <selection pane="bottomLeft" activeCell="H6" sqref="H6"/>
    </sheetView>
  </sheetViews>
  <sheetFormatPr defaultRowHeight="12.75" x14ac:dyDescent="0.2"/>
  <cols>
    <col min="1" max="1" width="2.7109375" customWidth="1"/>
    <col min="5" max="5" width="10.140625" customWidth="1"/>
    <col min="6" max="6" width="13.28515625" customWidth="1"/>
    <col min="9" max="9" width="15.28515625" customWidth="1"/>
  </cols>
  <sheetData>
    <row r="1" spans="1:10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990</v>
      </c>
      <c r="D3" s="6" t="s">
        <v>1235</v>
      </c>
      <c r="E3" s="6" t="s">
        <v>1236</v>
      </c>
    </row>
    <row r="4" spans="1:10" x14ac:dyDescent="0.2">
      <c r="C4" s="7">
        <v>12</v>
      </c>
      <c r="D4" s="7">
        <v>5</v>
      </c>
      <c r="E4" s="8">
        <f>MOD(C4,D4)</f>
        <v>2</v>
      </c>
      <c r="F4" s="13" t="s">
        <v>1237</v>
      </c>
    </row>
    <row r="5" spans="1:10" x14ac:dyDescent="0.2">
      <c r="C5" s="7">
        <v>20</v>
      </c>
      <c r="D5" s="7">
        <v>7</v>
      </c>
      <c r="E5" s="8">
        <f>MOD(C5,D5)</f>
        <v>6</v>
      </c>
      <c r="F5" s="13" t="s">
        <v>1238</v>
      </c>
    </row>
    <row r="6" spans="1:10" x14ac:dyDescent="0.2">
      <c r="C6" s="7">
        <v>18</v>
      </c>
      <c r="D6" s="7">
        <v>3</v>
      </c>
      <c r="E6" s="8">
        <f>MOD(C6,D6)</f>
        <v>0</v>
      </c>
      <c r="F6" s="13" t="s">
        <v>1239</v>
      </c>
    </row>
    <row r="7" spans="1:10" x14ac:dyDescent="0.2">
      <c r="C7" s="7">
        <v>9</v>
      </c>
      <c r="D7" s="7">
        <v>2</v>
      </c>
      <c r="E7" s="8">
        <f>MOD(C7,D7)</f>
        <v>1</v>
      </c>
      <c r="F7" s="13" t="s">
        <v>1240</v>
      </c>
    </row>
    <row r="8" spans="1:10" x14ac:dyDescent="0.2">
      <c r="C8" s="7">
        <v>24</v>
      </c>
      <c r="D8" s="7">
        <v>7</v>
      </c>
      <c r="E8" s="8">
        <f>MOD(C8,D8)</f>
        <v>3</v>
      </c>
      <c r="F8" s="13" t="s">
        <v>1241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1242</v>
      </c>
    </row>
    <row r="13" spans="1:10" ht="13.5" thickBot="1" x14ac:dyDescent="0.25">
      <c r="B13" s="2" t="s">
        <v>998</v>
      </c>
      <c r="C13" s="2"/>
      <c r="D13" s="2"/>
      <c r="E13" s="2"/>
      <c r="F13" s="2"/>
      <c r="G13" s="2"/>
      <c r="H13" s="2"/>
      <c r="I13" s="2"/>
    </row>
    <row r="14" spans="1:10" x14ac:dyDescent="0.2">
      <c r="B14" s="61" t="s">
        <v>1243</v>
      </c>
    </row>
    <row r="16" spans="1:10" ht="13.5" thickBot="1" x14ac:dyDescent="0.25">
      <c r="B16" s="2" t="s">
        <v>3355</v>
      </c>
      <c r="C16" s="2"/>
      <c r="D16" s="2"/>
      <c r="E16" s="2"/>
      <c r="F16" s="2"/>
      <c r="G16" s="2"/>
      <c r="H16" s="2"/>
      <c r="I16" s="2"/>
    </row>
    <row r="17" spans="2:2" x14ac:dyDescent="0.2">
      <c r="B17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K88"/>
  <sheetViews>
    <sheetView showGridLines="0" workbookViewId="0">
      <pane ySplit="1" topLeftCell="A2" activePane="bottomLeft" state="frozen"/>
      <selection activeCell="A3" sqref="A3"/>
      <selection pane="bottomLeft" activeCell="I9" sqref="I9"/>
    </sheetView>
  </sheetViews>
  <sheetFormatPr defaultRowHeight="12.75" x14ac:dyDescent="0.2"/>
  <cols>
    <col min="1" max="1" width="2.7109375" customWidth="1"/>
    <col min="2" max="2" width="10.85546875" customWidth="1"/>
    <col min="6" max="6" width="10.28515625" customWidth="1"/>
    <col min="10" max="10" width="5.42578125" customWidth="1"/>
  </cols>
  <sheetData>
    <row r="1" spans="1:11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13.5" thickBot="1" x14ac:dyDescent="0.25">
      <c r="B3" s="2" t="s">
        <v>2865</v>
      </c>
      <c r="C3" s="2"/>
      <c r="D3" s="2"/>
      <c r="E3" s="2"/>
      <c r="F3" s="2"/>
      <c r="G3" s="2"/>
      <c r="H3" s="2"/>
      <c r="I3" s="2"/>
    </row>
    <row r="4" spans="1:11" x14ac:dyDescent="0.2">
      <c r="B4" t="s">
        <v>2215</v>
      </c>
    </row>
    <row r="5" spans="1:11" x14ac:dyDescent="0.2">
      <c r="B5" t="s">
        <v>2216</v>
      </c>
    </row>
    <row r="6" spans="1:11" x14ac:dyDescent="0.2">
      <c r="B6" t="s">
        <v>2217</v>
      </c>
    </row>
    <row r="7" spans="1:11" x14ac:dyDescent="0.2">
      <c r="B7" t="s">
        <v>2218</v>
      </c>
    </row>
    <row r="9" spans="1:11" ht="13.5" thickBot="1" x14ac:dyDescent="0.25">
      <c r="B9" s="2" t="s">
        <v>998</v>
      </c>
      <c r="C9" s="2"/>
      <c r="D9" s="2"/>
      <c r="E9" s="2"/>
      <c r="F9" s="2"/>
      <c r="G9" s="2"/>
      <c r="H9" s="2"/>
      <c r="I9" s="2"/>
      <c r="J9" s="2"/>
    </row>
    <row r="10" spans="1:11" x14ac:dyDescent="0.2">
      <c r="B10" s="61" t="s">
        <v>2219</v>
      </c>
    </row>
    <row r="12" spans="1:11" ht="13.5" thickBot="1" x14ac:dyDescent="0.25">
      <c r="B12" s="2" t="s">
        <v>3355</v>
      </c>
      <c r="C12" s="2"/>
      <c r="D12" s="2"/>
      <c r="E12" s="2"/>
      <c r="F12" s="2"/>
      <c r="G12" s="2"/>
      <c r="H12" s="2"/>
      <c r="I12" s="2"/>
      <c r="J12" s="2"/>
    </row>
    <row r="13" spans="1:11" x14ac:dyDescent="0.2">
      <c r="B13" t="s">
        <v>2424</v>
      </c>
    </row>
    <row r="15" spans="1:11" ht="13.5" thickBot="1" x14ac:dyDescent="0.25">
      <c r="B15" s="2" t="s">
        <v>1001</v>
      </c>
      <c r="C15" s="2"/>
      <c r="D15" s="2"/>
      <c r="E15" s="2"/>
      <c r="F15" s="2"/>
      <c r="G15" s="2"/>
      <c r="H15" s="2"/>
      <c r="I15" s="2"/>
      <c r="J15" s="2"/>
    </row>
    <row r="16" spans="1:11" x14ac:dyDescent="0.2">
      <c r="B16" t="s">
        <v>2220</v>
      </c>
    </row>
    <row r="17" spans="2:5" x14ac:dyDescent="0.2">
      <c r="B17" t="s">
        <v>2221</v>
      </c>
    </row>
    <row r="18" spans="2:5" x14ac:dyDescent="0.2">
      <c r="B18" t="s">
        <v>2222</v>
      </c>
    </row>
    <row r="19" spans="2:5" x14ac:dyDescent="0.2">
      <c r="B19" t="s">
        <v>2223</v>
      </c>
    </row>
    <row r="20" spans="2:5" x14ac:dyDescent="0.2">
      <c r="B20" t="s">
        <v>2224</v>
      </c>
    </row>
    <row r="21" spans="2:5" x14ac:dyDescent="0.2">
      <c r="B21" t="s">
        <v>2225</v>
      </c>
    </row>
    <row r="22" spans="2:5" x14ac:dyDescent="0.2">
      <c r="B22" t="s">
        <v>2226</v>
      </c>
    </row>
    <row r="24" spans="2:5" x14ac:dyDescent="0.2">
      <c r="C24" s="158" t="s">
        <v>2227</v>
      </c>
      <c r="D24" s="159"/>
      <c r="E24" s="160"/>
    </row>
    <row r="25" spans="2:5" x14ac:dyDescent="0.2">
      <c r="B25" s="6" t="s">
        <v>347</v>
      </c>
      <c r="C25" s="6" t="s">
        <v>2228</v>
      </c>
      <c r="D25" s="6" t="s">
        <v>2229</v>
      </c>
      <c r="E25" s="6" t="s">
        <v>2230</v>
      </c>
    </row>
    <row r="26" spans="2:5" x14ac:dyDescent="0.2">
      <c r="B26" s="6" t="s">
        <v>2231</v>
      </c>
      <c r="C26" s="7">
        <v>50</v>
      </c>
      <c r="D26" s="7">
        <v>50</v>
      </c>
      <c r="E26" s="7">
        <v>50</v>
      </c>
    </row>
    <row r="27" spans="2:5" x14ac:dyDescent="0.2">
      <c r="B27" s="6" t="s">
        <v>2232</v>
      </c>
      <c r="C27" s="7">
        <v>30</v>
      </c>
      <c r="D27" s="7">
        <v>20</v>
      </c>
      <c r="E27" s="7">
        <v>10</v>
      </c>
    </row>
    <row r="28" spans="2:5" x14ac:dyDescent="0.2">
      <c r="B28" s="6" t="s">
        <v>2233</v>
      </c>
      <c r="C28" s="7">
        <v>20</v>
      </c>
      <c r="D28" s="7">
        <v>5</v>
      </c>
      <c r="E28" s="7">
        <v>5</v>
      </c>
    </row>
    <row r="30" spans="2:5" x14ac:dyDescent="0.2">
      <c r="C30" s="158" t="s">
        <v>2234</v>
      </c>
      <c r="D30" s="159"/>
      <c r="E30" s="160"/>
    </row>
    <row r="31" spans="2:5" x14ac:dyDescent="0.2">
      <c r="C31" s="50" t="s">
        <v>2231</v>
      </c>
      <c r="D31" s="50" t="s">
        <v>2232</v>
      </c>
      <c r="E31" s="50" t="s">
        <v>2233</v>
      </c>
    </row>
    <row r="32" spans="2:5" x14ac:dyDescent="0.2">
      <c r="C32" s="7">
        <v>300</v>
      </c>
      <c r="D32" s="7">
        <v>400</v>
      </c>
      <c r="E32" s="7">
        <v>500</v>
      </c>
    </row>
    <row r="34" spans="2:10" x14ac:dyDescent="0.2">
      <c r="C34" s="158" t="s">
        <v>2235</v>
      </c>
      <c r="D34" s="159"/>
      <c r="E34" s="160"/>
    </row>
    <row r="35" spans="2:10" x14ac:dyDescent="0.2">
      <c r="C35" s="6" t="s">
        <v>2228</v>
      </c>
      <c r="D35" s="6" t="s">
        <v>2229</v>
      </c>
      <c r="E35" s="6" t="s">
        <v>2230</v>
      </c>
    </row>
    <row r="36" spans="2:10" x14ac:dyDescent="0.2">
      <c r="C36" s="344">
        <f t="array" ref="C36:E36">MMULT(C32:E32,C26:E28)</f>
        <v>37000</v>
      </c>
      <c r="D36" s="344">
        <v>25500</v>
      </c>
      <c r="E36" s="344">
        <v>21500</v>
      </c>
    </row>
    <row r="37" spans="2:10" ht="13.5" thickBot="1" x14ac:dyDescent="0.25"/>
    <row r="38" spans="2:10" ht="13.5" thickBot="1" x14ac:dyDescent="0.25">
      <c r="C38" s="345" t="s">
        <v>2236</v>
      </c>
      <c r="D38" s="346"/>
      <c r="E38" s="346"/>
    </row>
    <row r="39" spans="2:10" x14ac:dyDescent="0.2">
      <c r="C39" s="347" t="s">
        <v>2237</v>
      </c>
      <c r="D39" s="347"/>
      <c r="E39" s="347"/>
    </row>
    <row r="41" spans="2:10" ht="13.5" thickBot="1" x14ac:dyDescent="0.25">
      <c r="B41" s="2" t="s">
        <v>2238</v>
      </c>
      <c r="C41" s="2"/>
      <c r="D41" s="2"/>
      <c r="E41" s="2"/>
      <c r="F41" s="2"/>
      <c r="G41" s="2"/>
      <c r="H41" s="2"/>
      <c r="I41" s="2"/>
      <c r="J41" s="2"/>
    </row>
    <row r="42" spans="2:10" x14ac:dyDescent="0.2">
      <c r="B42" t="s">
        <v>2239</v>
      </c>
    </row>
    <row r="43" spans="2:10" x14ac:dyDescent="0.2">
      <c r="B43" t="s">
        <v>2240</v>
      </c>
    </row>
    <row r="44" spans="2:10" x14ac:dyDescent="0.2">
      <c r="B44" t="s">
        <v>2241</v>
      </c>
    </row>
    <row r="45" spans="2:10" x14ac:dyDescent="0.2">
      <c r="B45" t="s">
        <v>2242</v>
      </c>
    </row>
    <row r="47" spans="2:10" ht="13.5" thickBot="1" x14ac:dyDescent="0.25">
      <c r="B47" s="2" t="s">
        <v>2243</v>
      </c>
      <c r="C47" s="2"/>
      <c r="D47" s="2"/>
      <c r="E47" s="2"/>
      <c r="F47" s="2"/>
      <c r="G47" s="2"/>
      <c r="H47" s="2"/>
      <c r="I47" s="2"/>
      <c r="J47" s="2"/>
    </row>
    <row r="48" spans="2:10" x14ac:dyDescent="0.2">
      <c r="B48" t="s">
        <v>2244</v>
      </c>
    </row>
    <row r="49" spans="2:10" x14ac:dyDescent="0.2">
      <c r="B49" t="s">
        <v>2245</v>
      </c>
    </row>
    <row r="50" spans="2:10" x14ac:dyDescent="0.2">
      <c r="B50" t="s">
        <v>2246</v>
      </c>
    </row>
    <row r="52" spans="2:10" ht="13.5" thickBot="1" x14ac:dyDescent="0.25">
      <c r="B52" s="2" t="s">
        <v>1962</v>
      </c>
      <c r="C52" s="2"/>
      <c r="D52" s="2"/>
      <c r="E52" s="2"/>
      <c r="F52" s="2"/>
      <c r="G52" s="2"/>
      <c r="H52" s="2"/>
      <c r="I52" s="2"/>
      <c r="J52" s="2"/>
    </row>
    <row r="53" spans="2:10" x14ac:dyDescent="0.2">
      <c r="B53" t="s">
        <v>2247</v>
      </c>
    </row>
    <row r="54" spans="2:10" x14ac:dyDescent="0.2">
      <c r="B54" t="s">
        <v>2248</v>
      </c>
    </row>
    <row r="56" spans="2:10" x14ac:dyDescent="0.2">
      <c r="B56" t="s">
        <v>2249</v>
      </c>
    </row>
    <row r="57" spans="2:10" x14ac:dyDescent="0.2">
      <c r="B57" t="s">
        <v>2250</v>
      </c>
    </row>
    <row r="59" spans="2:10" x14ac:dyDescent="0.2">
      <c r="B59" t="s">
        <v>2251</v>
      </c>
    </row>
    <row r="60" spans="2:10" x14ac:dyDescent="0.2">
      <c r="B60" t="s">
        <v>2252</v>
      </c>
    </row>
    <row r="61" spans="2:10" x14ac:dyDescent="0.2">
      <c r="B61" t="s">
        <v>1219</v>
      </c>
    </row>
    <row r="62" spans="2:10" x14ac:dyDescent="0.2">
      <c r="B62" t="s">
        <v>1220</v>
      </c>
    </row>
    <row r="64" spans="2:10" x14ac:dyDescent="0.2">
      <c r="B64" t="s">
        <v>1221</v>
      </c>
    </row>
    <row r="65" spans="2:9" x14ac:dyDescent="0.2">
      <c r="B65" t="s">
        <v>1222</v>
      </c>
    </row>
    <row r="67" spans="2:9" x14ac:dyDescent="0.2">
      <c r="C67" s="5" t="s">
        <v>1223</v>
      </c>
      <c r="D67" s="5"/>
      <c r="G67" s="5" t="s">
        <v>1224</v>
      </c>
      <c r="H67" s="5"/>
      <c r="I67" s="5"/>
    </row>
    <row r="68" spans="2:9" ht="13.5" thickBot="1" x14ac:dyDescent="0.25">
      <c r="B68" s="6" t="s">
        <v>2736</v>
      </c>
      <c r="C68" s="6" t="s">
        <v>2228</v>
      </c>
      <c r="D68" s="6" t="s">
        <v>2229</v>
      </c>
      <c r="F68" s="6" t="s">
        <v>1225</v>
      </c>
      <c r="G68" s="6" t="s">
        <v>1226</v>
      </c>
      <c r="H68" s="6" t="s">
        <v>1227</v>
      </c>
      <c r="I68" s="6" t="s">
        <v>1228</v>
      </c>
    </row>
    <row r="69" spans="2:9" ht="13.5" thickTop="1" x14ac:dyDescent="0.2">
      <c r="B69" s="6" t="s">
        <v>2738</v>
      </c>
      <c r="C69" s="348">
        <v>20</v>
      </c>
      <c r="D69" s="227">
        <v>0</v>
      </c>
      <c r="F69" s="349" t="s">
        <v>2228</v>
      </c>
      <c r="G69" s="350">
        <v>1</v>
      </c>
      <c r="H69" s="350">
        <v>3</v>
      </c>
      <c r="I69" s="350">
        <v>10</v>
      </c>
    </row>
    <row r="70" spans="2:9" x14ac:dyDescent="0.2">
      <c r="B70" s="6" t="s">
        <v>2740</v>
      </c>
      <c r="C70" s="348">
        <v>20</v>
      </c>
      <c r="D70" s="227">
        <v>1</v>
      </c>
      <c r="F70" s="349" t="s">
        <v>2229</v>
      </c>
      <c r="G70" s="227">
        <v>2</v>
      </c>
      <c r="H70" s="227">
        <v>2</v>
      </c>
      <c r="I70" s="227">
        <v>5</v>
      </c>
    </row>
    <row r="71" spans="2:9" x14ac:dyDescent="0.2">
      <c r="B71" s="6" t="s">
        <v>2741</v>
      </c>
      <c r="C71" s="348">
        <v>10</v>
      </c>
      <c r="D71" s="227">
        <v>5</v>
      </c>
      <c r="E71" s="351"/>
      <c r="F71" s="351"/>
      <c r="G71" s="351"/>
      <c r="H71" s="351"/>
    </row>
    <row r="72" spans="2:9" x14ac:dyDescent="0.2">
      <c r="B72" s="6" t="s">
        <v>2742</v>
      </c>
      <c r="C72" s="348">
        <v>20</v>
      </c>
      <c r="D72" s="227">
        <v>10</v>
      </c>
      <c r="E72" s="351"/>
      <c r="F72" s="351"/>
      <c r="G72" s="351"/>
      <c r="H72" s="351"/>
    </row>
    <row r="73" spans="2:9" x14ac:dyDescent="0.2">
      <c r="B73" s="351"/>
      <c r="C73" s="351"/>
      <c r="D73" s="351"/>
      <c r="E73" s="351"/>
      <c r="F73" s="351"/>
      <c r="G73" s="351"/>
      <c r="H73" s="351"/>
    </row>
    <row r="74" spans="2:9" x14ac:dyDescent="0.2">
      <c r="B74" s="351"/>
      <c r="C74" s="351"/>
      <c r="D74" s="352" t="s">
        <v>3113</v>
      </c>
      <c r="E74" s="352"/>
      <c r="F74" s="352"/>
      <c r="G74" s="351"/>
      <c r="H74" s="351"/>
    </row>
    <row r="75" spans="2:9" ht="13.5" thickBot="1" x14ac:dyDescent="0.25">
      <c r="B75" s="353"/>
      <c r="C75" s="21" t="s">
        <v>1229</v>
      </c>
      <c r="D75" s="6" t="s">
        <v>1226</v>
      </c>
      <c r="E75" s="6" t="s">
        <v>1227</v>
      </c>
      <c r="F75" s="6" t="s">
        <v>1228</v>
      </c>
      <c r="G75" s="351"/>
      <c r="H75" s="351"/>
    </row>
    <row r="76" spans="2:9" ht="13.5" thickTop="1" x14ac:dyDescent="0.2">
      <c r="B76" s="351"/>
      <c r="C76" s="6" t="s">
        <v>2738</v>
      </c>
      <c r="D76" s="354">
        <f t="array" ref="D76:F79">MMULT(C69:D72,G69:I70)</f>
        <v>20</v>
      </c>
      <c r="E76" s="355">
        <v>60</v>
      </c>
      <c r="F76" s="355">
        <v>200</v>
      </c>
      <c r="G76" s="351"/>
      <c r="H76" s="351"/>
    </row>
    <row r="77" spans="2:9" x14ac:dyDescent="0.2">
      <c r="B77" s="351"/>
      <c r="C77" s="6" t="s">
        <v>2740</v>
      </c>
      <c r="D77" s="356">
        <v>22</v>
      </c>
      <c r="E77" s="344">
        <v>62</v>
      </c>
      <c r="F77" s="344">
        <v>205</v>
      </c>
      <c r="G77" s="351"/>
      <c r="H77" s="351"/>
    </row>
    <row r="78" spans="2:9" x14ac:dyDescent="0.2">
      <c r="B78" s="351"/>
      <c r="C78" s="6" t="s">
        <v>2741</v>
      </c>
      <c r="D78" s="356">
        <v>20</v>
      </c>
      <c r="E78" s="344">
        <v>40</v>
      </c>
      <c r="F78" s="344">
        <v>125</v>
      </c>
      <c r="G78" s="351"/>
      <c r="H78" s="351"/>
    </row>
    <row r="79" spans="2:9" x14ac:dyDescent="0.2">
      <c r="B79" s="351"/>
      <c r="C79" s="6" t="s">
        <v>2742</v>
      </c>
      <c r="D79" s="356">
        <v>40</v>
      </c>
      <c r="E79" s="344">
        <v>80</v>
      </c>
      <c r="F79" s="344">
        <v>250</v>
      </c>
      <c r="G79" s="351"/>
      <c r="H79" s="351"/>
    </row>
    <row r="80" spans="2:9" ht="13.5" thickBot="1" x14ac:dyDescent="0.25"/>
    <row r="81" spans="2:10" x14ac:dyDescent="0.2">
      <c r="D81" s="357" t="s">
        <v>1230</v>
      </c>
      <c r="E81" s="358"/>
      <c r="F81" s="359"/>
    </row>
    <row r="82" spans="2:10" x14ac:dyDescent="0.2">
      <c r="D82" s="360"/>
      <c r="E82" s="361" t="s">
        <v>1231</v>
      </c>
      <c r="F82" s="362"/>
    </row>
    <row r="83" spans="2:10" x14ac:dyDescent="0.2">
      <c r="D83" s="363"/>
      <c r="E83" s="364"/>
      <c r="F83" s="365"/>
    </row>
    <row r="84" spans="2:10" ht="13.5" thickBot="1" x14ac:dyDescent="0.25">
      <c r="D84" s="366"/>
      <c r="E84" s="367"/>
      <c r="F84" s="368"/>
    </row>
    <row r="86" spans="2:10" ht="13.5" thickBot="1" x14ac:dyDescent="0.25">
      <c r="B86" s="2" t="s">
        <v>1232</v>
      </c>
      <c r="C86" s="2"/>
      <c r="D86" s="2"/>
      <c r="E86" s="2"/>
      <c r="F86" s="2"/>
      <c r="G86" s="2"/>
      <c r="H86" s="2"/>
      <c r="I86" s="2"/>
      <c r="J86" s="2"/>
    </row>
    <row r="87" spans="2:10" x14ac:dyDescent="0.2">
      <c r="B87" t="s">
        <v>1233</v>
      </c>
    </row>
    <row r="88" spans="2:10" x14ac:dyDescent="0.2">
      <c r="B88" t="s">
        <v>1234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J58"/>
  <sheetViews>
    <sheetView showGridLines="0" workbookViewId="0">
      <pane ySplit="1" topLeftCell="A2" activePane="bottomLeft" state="frozen"/>
      <selection activeCell="A3" sqref="A3"/>
      <selection pane="bottomLeft" activeCell="H7" sqref="H7"/>
    </sheetView>
  </sheetViews>
  <sheetFormatPr defaultRowHeight="12.75" x14ac:dyDescent="0.2"/>
  <cols>
    <col min="1" max="1" width="2.7109375" customWidth="1"/>
    <col min="3" max="3" width="14.140625" customWidth="1"/>
    <col min="4" max="4" width="11.140625" customWidth="1"/>
    <col min="5" max="5" width="13.7109375" customWidth="1"/>
    <col min="7" max="7" width="11.7109375" customWidth="1"/>
    <col min="9" max="9" width="7" customWidth="1"/>
  </cols>
  <sheetData>
    <row r="1" spans="1:10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990</v>
      </c>
      <c r="D3" s="6" t="s">
        <v>1631</v>
      </c>
    </row>
    <row r="4" spans="1:10" x14ac:dyDescent="0.2">
      <c r="C4" s="341">
        <f ca="1">NOW()</f>
        <v>45434.404793518515</v>
      </c>
      <c r="D4" s="8">
        <f ca="1">MINUTE(C4)</f>
        <v>42</v>
      </c>
      <c r="E4" s="63" t="s">
        <v>2632</v>
      </c>
    </row>
    <row r="5" spans="1:10" x14ac:dyDescent="0.2">
      <c r="C5" s="342">
        <v>0.88541666666666663</v>
      </c>
      <c r="D5" s="8">
        <f>MINUTE(C5)</f>
        <v>15</v>
      </c>
      <c r="E5" s="63" t="s">
        <v>2633</v>
      </c>
    </row>
    <row r="6" spans="1:10" x14ac:dyDescent="0.2">
      <c r="C6" s="254">
        <v>0.02</v>
      </c>
      <c r="D6" s="8">
        <f>MINUTE(C6)</f>
        <v>28</v>
      </c>
      <c r="E6" s="63" t="s">
        <v>2634</v>
      </c>
    </row>
    <row r="7" spans="1:10" x14ac:dyDescent="0.2">
      <c r="C7" s="7">
        <v>0.52</v>
      </c>
      <c r="D7" s="8">
        <f>MINUTE(C7)</f>
        <v>28</v>
      </c>
      <c r="E7" s="63" t="s">
        <v>2635</v>
      </c>
    </row>
    <row r="8" spans="1:10" x14ac:dyDescent="0.2">
      <c r="C8" s="7">
        <v>1.52</v>
      </c>
      <c r="D8" s="8">
        <f>MINUTE(C8)</f>
        <v>28</v>
      </c>
      <c r="E8" s="63" t="s">
        <v>2636</v>
      </c>
    </row>
    <row r="10" spans="1:10" ht="13.5" thickBot="1" x14ac:dyDescent="0.25">
      <c r="B10" s="2" t="s">
        <v>3118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2637</v>
      </c>
    </row>
    <row r="12" spans="1:10" x14ac:dyDescent="0.2">
      <c r="B12" t="s">
        <v>2182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t="s">
        <v>2183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2184</v>
      </c>
    </row>
    <row r="20" spans="2:9" ht="13.5" thickBot="1" x14ac:dyDescent="0.25">
      <c r="B20" s="2" t="s">
        <v>1001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2185</v>
      </c>
    </row>
    <row r="22" spans="2:9" x14ac:dyDescent="0.2">
      <c r="B22" t="s">
        <v>2186</v>
      </c>
    </row>
    <row r="23" spans="2:9" x14ac:dyDescent="0.2">
      <c r="B23" t="s">
        <v>2187</v>
      </c>
    </row>
    <row r="24" spans="2:9" x14ac:dyDescent="0.2">
      <c r="B24" t="s">
        <v>2188</v>
      </c>
    </row>
    <row r="26" spans="2:9" x14ac:dyDescent="0.2">
      <c r="C26" s="6" t="s">
        <v>2189</v>
      </c>
    </row>
    <row r="27" spans="2:9" x14ac:dyDescent="0.2">
      <c r="C27" s="343" t="s">
        <v>2190</v>
      </c>
      <c r="D27" s="13" t="str">
        <f ca="1">REPT("|",HOUR(NOW()))&amp;" "&amp;TEXT(HOUR(NOW()),"00")</f>
        <v>||||||||| 09</v>
      </c>
    </row>
    <row r="28" spans="2:9" x14ac:dyDescent="0.2">
      <c r="C28" s="343" t="s">
        <v>2191</v>
      </c>
      <c r="D28" s="13" t="str">
        <f ca="1">REPT("|",MINUTE(NOW()))&amp;" "&amp;TEXT(MINUTE(NOW()),"00")</f>
        <v>|||||||||||||||||||||||||||||||||||||||||| 42</v>
      </c>
    </row>
    <row r="29" spans="2:9" x14ac:dyDescent="0.2">
      <c r="C29" s="343" t="s">
        <v>2192</v>
      </c>
      <c r="D29" s="13" t="str">
        <f ca="1">REPT("|",SECOND(NOW()))&amp;" "&amp;TEXT(SECOND(NOW()),"00")</f>
        <v>|||||||||||||||||||||||||||||||||||||||||||||||||||||| 54</v>
      </c>
    </row>
    <row r="30" spans="2:9" x14ac:dyDescent="0.2">
      <c r="D30" s="13" t="s">
        <v>2193</v>
      </c>
    </row>
    <row r="31" spans="2:9" x14ac:dyDescent="0.2">
      <c r="D31" s="13" t="s">
        <v>2194</v>
      </c>
    </row>
    <row r="32" spans="2:9" x14ac:dyDescent="0.2">
      <c r="D32" s="13" t="s">
        <v>2195</v>
      </c>
    </row>
    <row r="35" spans="2:9" ht="13.5" thickBot="1" x14ac:dyDescent="0.25">
      <c r="B35" s="2" t="s">
        <v>2196</v>
      </c>
      <c r="C35" s="2"/>
      <c r="D35" s="2"/>
      <c r="E35" s="2"/>
      <c r="F35" s="2"/>
      <c r="G35" s="2"/>
      <c r="H35" s="2"/>
      <c r="I35" s="2"/>
    </row>
    <row r="36" spans="2:9" x14ac:dyDescent="0.2">
      <c r="B36" t="s">
        <v>2197</v>
      </c>
    </row>
    <row r="38" spans="2:9" x14ac:dyDescent="0.2">
      <c r="C38" s="20"/>
      <c r="D38" s="162"/>
      <c r="E38" s="59" t="s">
        <v>2198</v>
      </c>
      <c r="F38" s="12">
        <v>0.11458333333333333</v>
      </c>
    </row>
    <row r="40" spans="2:9" x14ac:dyDescent="0.2">
      <c r="C40" s="20"/>
      <c r="D40" s="162"/>
      <c r="E40" s="59" t="s">
        <v>2199</v>
      </c>
      <c r="F40" s="8">
        <f>F38*24</f>
        <v>2.75</v>
      </c>
      <c r="G40" s="13" t="s">
        <v>2200</v>
      </c>
    </row>
    <row r="42" spans="2:9" x14ac:dyDescent="0.2">
      <c r="C42" s="20"/>
      <c r="D42" s="162"/>
      <c r="E42" s="59" t="s">
        <v>2201</v>
      </c>
      <c r="F42" s="8">
        <f>INT(F38*24)</f>
        <v>2</v>
      </c>
      <c r="G42" s="13" t="s">
        <v>2202</v>
      </c>
    </row>
    <row r="44" spans="2:9" x14ac:dyDescent="0.2">
      <c r="C44" s="20"/>
      <c r="D44" s="162"/>
      <c r="E44" s="59" t="s">
        <v>2203</v>
      </c>
      <c r="F44" s="8">
        <f>MOD(F38*24,1)</f>
        <v>0.75</v>
      </c>
      <c r="G44" s="13" t="s">
        <v>2204</v>
      </c>
    </row>
    <row r="47" spans="2:9" x14ac:dyDescent="0.2">
      <c r="B47" t="s">
        <v>2205</v>
      </c>
    </row>
    <row r="49" spans="3:7" x14ac:dyDescent="0.2">
      <c r="C49" s="20"/>
      <c r="D49" s="162"/>
      <c r="E49" s="21" t="s">
        <v>2206</v>
      </c>
      <c r="F49" s="7">
        <v>3.75</v>
      </c>
    </row>
    <row r="51" spans="3:7" x14ac:dyDescent="0.2">
      <c r="C51" s="20"/>
      <c r="D51" s="162"/>
      <c r="E51" s="21" t="s">
        <v>2207</v>
      </c>
      <c r="F51" s="10">
        <f>F49/24</f>
        <v>0.15625</v>
      </c>
      <c r="G51" s="13" t="s">
        <v>2208</v>
      </c>
    </row>
    <row r="53" spans="3:7" x14ac:dyDescent="0.2">
      <c r="C53" s="20"/>
      <c r="D53" s="162"/>
      <c r="E53" s="21" t="s">
        <v>2209</v>
      </c>
      <c r="F53" s="10">
        <f>INT(F49)/24</f>
        <v>0.125</v>
      </c>
      <c r="G53" s="13" t="s">
        <v>2210</v>
      </c>
    </row>
    <row r="55" spans="3:7" x14ac:dyDescent="0.2">
      <c r="C55" s="20"/>
      <c r="D55" s="162"/>
      <c r="E55" s="21" t="s">
        <v>2211</v>
      </c>
      <c r="F55" s="10">
        <f>MOD(F49,1)/24</f>
        <v>3.125E-2</v>
      </c>
      <c r="G55" s="13" t="s">
        <v>2212</v>
      </c>
    </row>
    <row r="57" spans="3:7" x14ac:dyDescent="0.2">
      <c r="C57" t="s">
        <v>2213</v>
      </c>
    </row>
    <row r="58" spans="3:7" x14ac:dyDescent="0.2">
      <c r="C58" t="s">
        <v>2214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6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J31"/>
  <sheetViews>
    <sheetView showGridLines="0" workbookViewId="0">
      <pane ySplit="1" topLeftCell="A2" activePane="bottomLeft" state="frozen"/>
      <selection activeCell="A3" sqref="A3"/>
      <selection pane="bottomLeft" activeCell="K14" sqref="K14"/>
    </sheetView>
  </sheetViews>
  <sheetFormatPr defaultRowHeight="12.75" x14ac:dyDescent="0.2"/>
  <cols>
    <col min="1" max="1" width="2.7109375" customWidth="1"/>
    <col min="2" max="2" width="10.140625" customWidth="1"/>
    <col min="3" max="6" width="9.28515625" customWidth="1"/>
    <col min="7" max="7" width="10.85546875" customWidth="1"/>
    <col min="8" max="8" width="10.5703125" customWidth="1"/>
    <col min="9" max="9" width="12.85546875" customWidth="1"/>
    <col min="10" max="10" width="6.5703125" customWidth="1"/>
  </cols>
  <sheetData>
    <row r="1" spans="1:10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3378</v>
      </c>
      <c r="H3" s="6" t="s">
        <v>2620</v>
      </c>
    </row>
    <row r="4" spans="1:10" x14ac:dyDescent="0.2">
      <c r="C4" s="7">
        <v>120</v>
      </c>
      <c r="D4" s="7">
        <v>800</v>
      </c>
      <c r="E4" s="7">
        <v>100</v>
      </c>
      <c r="F4" s="7">
        <v>120</v>
      </c>
      <c r="G4" s="7">
        <v>250</v>
      </c>
      <c r="H4" s="8">
        <f>MIN(C4:G4)</f>
        <v>100</v>
      </c>
      <c r="I4" s="13" t="s">
        <v>2621</v>
      </c>
    </row>
    <row r="6" spans="1:10" x14ac:dyDescent="0.2">
      <c r="C6" s="6" t="s">
        <v>3859</v>
      </c>
      <c r="H6" s="6" t="s">
        <v>3857</v>
      </c>
    </row>
    <row r="7" spans="1:10" x14ac:dyDescent="0.2">
      <c r="C7" s="161">
        <v>35796</v>
      </c>
      <c r="D7" s="161">
        <v>36154</v>
      </c>
      <c r="E7" s="161">
        <v>35885</v>
      </c>
      <c r="F7" s="161">
        <v>36156</v>
      </c>
      <c r="G7" s="161">
        <v>35980</v>
      </c>
      <c r="H7" s="243">
        <f>MIN(C7:G7)</f>
        <v>35796</v>
      </c>
      <c r="I7" s="13" t="s">
        <v>2622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2623</v>
      </c>
    </row>
    <row r="12" spans="1:10" ht="13.5" thickBot="1" x14ac:dyDescent="0.25">
      <c r="B12" s="2" t="s">
        <v>998</v>
      </c>
      <c r="C12" s="2"/>
      <c r="D12" s="2"/>
      <c r="E12" s="2"/>
      <c r="F12" s="2"/>
      <c r="G12" s="2"/>
      <c r="H12" s="2"/>
      <c r="I12" s="2"/>
    </row>
    <row r="13" spans="1:10" x14ac:dyDescent="0.2">
      <c r="B13" s="61" t="s">
        <v>2624</v>
      </c>
    </row>
    <row r="15" spans="1:10" ht="13.5" thickBot="1" x14ac:dyDescent="0.25">
      <c r="B15" s="2" t="s">
        <v>3355</v>
      </c>
      <c r="C15" s="2"/>
      <c r="D15" s="2"/>
      <c r="E15" s="2"/>
      <c r="F15" s="2"/>
      <c r="G15" s="2"/>
      <c r="H15" s="2"/>
      <c r="I15" s="2"/>
    </row>
    <row r="16" spans="1:10" x14ac:dyDescent="0.2">
      <c r="B16" t="s">
        <v>2424</v>
      </c>
    </row>
    <row r="18" spans="2:9" ht="13.5" thickBot="1" x14ac:dyDescent="0.25">
      <c r="B18" s="2" t="s">
        <v>1001</v>
      </c>
      <c r="C18" s="2"/>
      <c r="D18" s="2"/>
      <c r="E18" s="2"/>
      <c r="F18" s="2"/>
      <c r="G18" s="2"/>
      <c r="H18" s="2"/>
      <c r="I18" s="2"/>
    </row>
    <row r="19" spans="2:9" x14ac:dyDescent="0.2">
      <c r="B19" t="s">
        <v>2625</v>
      </c>
    </row>
    <row r="20" spans="2:9" x14ac:dyDescent="0.2">
      <c r="B20" t="s">
        <v>3864</v>
      </c>
    </row>
    <row r="22" spans="2:9" x14ac:dyDescent="0.2">
      <c r="B22" s="6" t="s">
        <v>1726</v>
      </c>
      <c r="C22" s="6" t="s">
        <v>3555</v>
      </c>
      <c r="D22" s="6" t="s">
        <v>3556</v>
      </c>
      <c r="E22" s="6" t="s">
        <v>3557</v>
      </c>
      <c r="G22" s="6" t="s">
        <v>2626</v>
      </c>
    </row>
    <row r="23" spans="2:9" x14ac:dyDescent="0.2">
      <c r="B23" s="6" t="s">
        <v>3356</v>
      </c>
      <c r="C23" s="83">
        <v>5000</v>
      </c>
      <c r="D23" s="83">
        <v>6000</v>
      </c>
      <c r="E23" s="83">
        <v>4500</v>
      </c>
      <c r="G23" s="252">
        <f>MIN(C23:E23)</f>
        <v>4500</v>
      </c>
      <c r="H23" s="13" t="s">
        <v>2627</v>
      </c>
    </row>
    <row r="24" spans="2:9" x14ac:dyDescent="0.2">
      <c r="B24" s="6" t="s">
        <v>3357</v>
      </c>
      <c r="C24" s="83">
        <v>5800</v>
      </c>
      <c r="D24" s="83">
        <v>7000</v>
      </c>
      <c r="E24" s="83">
        <v>3000</v>
      </c>
      <c r="G24" s="252">
        <f>MIN(C24:E24)</f>
        <v>3000</v>
      </c>
    </row>
    <row r="25" spans="2:9" x14ac:dyDescent="0.2">
      <c r="B25" s="6" t="s">
        <v>3358</v>
      </c>
      <c r="C25" s="83">
        <v>3500</v>
      </c>
      <c r="D25" s="83">
        <v>2000</v>
      </c>
      <c r="E25" s="83">
        <v>10000</v>
      </c>
      <c r="G25" s="252">
        <f>MIN(C25:E25)</f>
        <v>2000</v>
      </c>
    </row>
    <row r="26" spans="2:9" x14ac:dyDescent="0.2">
      <c r="B26" s="6" t="s">
        <v>3359</v>
      </c>
      <c r="C26" s="83">
        <v>12000</v>
      </c>
      <c r="D26" s="83">
        <v>4000</v>
      </c>
      <c r="E26" s="83">
        <v>6000</v>
      </c>
      <c r="G26" s="252">
        <f>MIN(C26:E26)</f>
        <v>4000</v>
      </c>
    </row>
    <row r="28" spans="2:9" x14ac:dyDescent="0.2">
      <c r="B28" s="23" t="s">
        <v>2628</v>
      </c>
      <c r="C28" s="252">
        <f>MIN(C23:C26)</f>
        <v>3500</v>
      </c>
      <c r="D28" s="252">
        <f>MIN(D23:D26)</f>
        <v>2000</v>
      </c>
      <c r="E28" s="252">
        <f>MIN(E23:E26)</f>
        <v>3000</v>
      </c>
    </row>
    <row r="29" spans="2:9" x14ac:dyDescent="0.2">
      <c r="E29" s="4" t="s">
        <v>2629</v>
      </c>
    </row>
    <row r="30" spans="2:9" x14ac:dyDescent="0.2">
      <c r="B30" s="23" t="s">
        <v>2630</v>
      </c>
      <c r="C30" s="252">
        <f>MIN(C23:E26)</f>
        <v>2000</v>
      </c>
    </row>
    <row r="31" spans="2:9" x14ac:dyDescent="0.2">
      <c r="C31" s="4" t="s">
        <v>2631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I56"/>
  <sheetViews>
    <sheetView showGridLines="0" workbookViewId="0">
      <pane ySplit="1" topLeftCell="A2" activePane="bottomLeft" state="frozen"/>
      <selection activeCell="A3" sqref="A3"/>
      <selection pane="bottomLeft" activeCell="I8" sqref="I8"/>
    </sheetView>
  </sheetViews>
  <sheetFormatPr defaultRowHeight="12.75" x14ac:dyDescent="0.2"/>
  <cols>
    <col min="1" max="1" width="2.7109375" customWidth="1"/>
    <col min="3" max="3" width="21.140625" customWidth="1"/>
    <col min="4" max="4" width="12.28515625" customWidth="1"/>
    <col min="5" max="5" width="10.7109375" customWidth="1"/>
  </cols>
  <sheetData>
    <row r="1" spans="1:9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ht="25.5" x14ac:dyDescent="0.2">
      <c r="C3" s="6" t="s">
        <v>1462</v>
      </c>
      <c r="D3" s="57" t="s">
        <v>2294</v>
      </c>
      <c r="E3" s="57" t="s">
        <v>2295</v>
      </c>
      <c r="F3" s="6" t="s">
        <v>2296</v>
      </c>
    </row>
    <row r="4" spans="1:9" x14ac:dyDescent="0.2">
      <c r="C4" s="7" t="s">
        <v>2297</v>
      </c>
      <c r="D4" s="7">
        <v>1</v>
      </c>
      <c r="E4" s="7">
        <v>3</v>
      </c>
      <c r="F4" s="8" t="str">
        <f>MID(C4,D4,E4)</f>
        <v>ABC</v>
      </c>
      <c r="G4" s="13" t="s">
        <v>2298</v>
      </c>
    </row>
    <row r="5" spans="1:9" x14ac:dyDescent="0.2">
      <c r="C5" s="7" t="s">
        <v>2297</v>
      </c>
      <c r="D5" s="7">
        <v>2</v>
      </c>
      <c r="E5" s="7">
        <v>3</v>
      </c>
      <c r="F5" s="8" t="str">
        <f>MID(C5,D5,E5)</f>
        <v>BCD</v>
      </c>
      <c r="G5" s="13" t="s">
        <v>2299</v>
      </c>
    </row>
    <row r="6" spans="1:9" x14ac:dyDescent="0.2">
      <c r="C6" s="7" t="s">
        <v>2297</v>
      </c>
      <c r="D6" s="7">
        <v>5</v>
      </c>
      <c r="E6" s="7">
        <v>2</v>
      </c>
      <c r="F6" s="8" t="str">
        <f>MID(C6,D6,E6)</f>
        <v>ED</v>
      </c>
      <c r="G6" s="13" t="s">
        <v>2300</v>
      </c>
    </row>
    <row r="8" spans="1:9" x14ac:dyDescent="0.2">
      <c r="C8" s="7" t="s">
        <v>2301</v>
      </c>
      <c r="D8" s="8" t="str">
        <f>MID(C8,5,3)</f>
        <v>100</v>
      </c>
      <c r="E8" s="13" t="s">
        <v>2302</v>
      </c>
    </row>
    <row r="9" spans="1:9" x14ac:dyDescent="0.2">
      <c r="C9" s="7" t="s">
        <v>2303</v>
      </c>
      <c r="D9" s="8" t="str">
        <f>MID(C9,5,3)</f>
        <v>200</v>
      </c>
      <c r="E9" s="13" t="s">
        <v>2304</v>
      </c>
    </row>
    <row r="10" spans="1:9" x14ac:dyDescent="0.2">
      <c r="C10" s="7" t="s">
        <v>2305</v>
      </c>
      <c r="D10" s="8" t="str">
        <f>MID(C10,5,3)</f>
        <v>300</v>
      </c>
      <c r="E10" s="13" t="s">
        <v>2306</v>
      </c>
    </row>
    <row r="12" spans="1:9" x14ac:dyDescent="0.2">
      <c r="C12" s="7" t="s">
        <v>2307</v>
      </c>
      <c r="D12" s="8" t="str">
        <f>MID(C12,12,99)</f>
        <v>Large</v>
      </c>
      <c r="E12" s="13" t="s">
        <v>2308</v>
      </c>
    </row>
    <row r="13" spans="1:9" x14ac:dyDescent="0.2">
      <c r="C13" s="7" t="s">
        <v>2309</v>
      </c>
      <c r="D13" s="8" t="str">
        <f>MID(C13,12,99)</f>
        <v>Medium</v>
      </c>
      <c r="E13" s="13" t="s">
        <v>2310</v>
      </c>
    </row>
    <row r="14" spans="1:9" x14ac:dyDescent="0.2">
      <c r="C14" s="7" t="s">
        <v>2311</v>
      </c>
      <c r="D14" s="8" t="str">
        <f>MID(C14,12,99)</f>
        <v>Small</v>
      </c>
      <c r="E14" s="13" t="s">
        <v>2312</v>
      </c>
    </row>
    <row r="16" spans="1:9" ht="13.5" thickBot="1" x14ac:dyDescent="0.25">
      <c r="B16" s="2" t="s">
        <v>2865</v>
      </c>
      <c r="C16" s="2"/>
      <c r="D16" s="2"/>
      <c r="E16" s="2"/>
      <c r="F16" s="2"/>
      <c r="G16" s="2"/>
      <c r="H16" s="2"/>
    </row>
    <row r="17" spans="2:8" x14ac:dyDescent="0.2">
      <c r="B17" t="s">
        <v>2313</v>
      </c>
    </row>
    <row r="18" spans="2:8" x14ac:dyDescent="0.2">
      <c r="B18" t="s">
        <v>2314</v>
      </c>
    </row>
    <row r="19" spans="2:8" x14ac:dyDescent="0.2">
      <c r="B19" t="s">
        <v>2315</v>
      </c>
    </row>
    <row r="20" spans="2:8" x14ac:dyDescent="0.2">
      <c r="B20" t="s">
        <v>2316</v>
      </c>
    </row>
    <row r="22" spans="2:8" ht="13.5" thickBot="1" x14ac:dyDescent="0.25">
      <c r="B22" s="2" t="s">
        <v>998</v>
      </c>
      <c r="C22" s="2"/>
      <c r="D22" s="2"/>
      <c r="E22" s="2"/>
      <c r="F22" s="2"/>
      <c r="G22" s="2"/>
      <c r="H22" s="2"/>
    </row>
    <row r="23" spans="2:8" x14ac:dyDescent="0.2">
      <c r="B23" s="61" t="s">
        <v>2317</v>
      </c>
    </row>
    <row r="25" spans="2:8" ht="13.5" thickBot="1" x14ac:dyDescent="0.25">
      <c r="B25" s="2" t="s">
        <v>3355</v>
      </c>
      <c r="C25" s="2"/>
      <c r="D25" s="2"/>
      <c r="E25" s="2"/>
      <c r="F25" s="2"/>
      <c r="G25" s="2"/>
      <c r="H25" s="2"/>
    </row>
    <row r="26" spans="2:8" x14ac:dyDescent="0.2">
      <c r="B26" t="s">
        <v>2424</v>
      </c>
    </row>
    <row r="28" spans="2:8" ht="13.5" thickBot="1" x14ac:dyDescent="0.25">
      <c r="B28" s="2" t="s">
        <v>1937</v>
      </c>
      <c r="C28" s="2"/>
      <c r="D28" s="2"/>
      <c r="E28" s="2"/>
      <c r="F28" s="2"/>
      <c r="G28" s="2"/>
      <c r="H28" s="2"/>
    </row>
    <row r="29" spans="2:8" x14ac:dyDescent="0.2">
      <c r="B29" t="s">
        <v>2318</v>
      </c>
    </row>
    <row r="30" spans="2:8" x14ac:dyDescent="0.2">
      <c r="B30" t="s">
        <v>2319</v>
      </c>
    </row>
    <row r="31" spans="2:8" x14ac:dyDescent="0.2">
      <c r="B31" t="s">
        <v>2320</v>
      </c>
    </row>
    <row r="32" spans="2:8" x14ac:dyDescent="0.2">
      <c r="B32" t="s">
        <v>2321</v>
      </c>
    </row>
    <row r="34" spans="2:8" x14ac:dyDescent="0.2">
      <c r="C34" s="6" t="s">
        <v>2322</v>
      </c>
      <c r="D34" s="6" t="s">
        <v>2323</v>
      </c>
    </row>
    <row r="35" spans="2:8" x14ac:dyDescent="0.2">
      <c r="C35" s="7" t="s">
        <v>2324</v>
      </c>
      <c r="D35" s="8" t="str">
        <f>MID(C35,5,2)</f>
        <v>CF</v>
      </c>
      <c r="E35" s="13" t="s">
        <v>2325</v>
      </c>
    </row>
    <row r="36" spans="2:8" x14ac:dyDescent="0.2">
      <c r="C36" s="7" t="s">
        <v>2326</v>
      </c>
      <c r="D36" s="8" t="str">
        <f>MID(C36,5,2)</f>
        <v>WA</v>
      </c>
      <c r="E36" s="13" t="s">
        <v>2327</v>
      </c>
    </row>
    <row r="37" spans="2:8" x14ac:dyDescent="0.2">
      <c r="C37" s="7" t="s">
        <v>2328</v>
      </c>
      <c r="D37" s="8" t="str">
        <f>MID(C37,5,2)</f>
        <v>NP</v>
      </c>
      <c r="E37" s="13" t="s">
        <v>2329</v>
      </c>
    </row>
    <row r="40" spans="2:8" ht="13.5" thickBot="1" x14ac:dyDescent="0.25">
      <c r="B40" s="2" t="s">
        <v>1962</v>
      </c>
      <c r="C40" s="2"/>
      <c r="D40" s="2"/>
      <c r="E40" s="2"/>
      <c r="F40" s="2"/>
      <c r="G40" s="2"/>
      <c r="H40" s="2"/>
    </row>
    <row r="41" spans="2:8" x14ac:dyDescent="0.2">
      <c r="B41" t="s">
        <v>2330</v>
      </c>
    </row>
    <row r="42" spans="2:8" x14ac:dyDescent="0.2">
      <c r="B42" t="s">
        <v>2331</v>
      </c>
    </row>
    <row r="43" spans="2:8" x14ac:dyDescent="0.2">
      <c r="B43" t="s">
        <v>2332</v>
      </c>
    </row>
    <row r="45" spans="2:8" x14ac:dyDescent="0.2">
      <c r="C45" s="6" t="s">
        <v>2333</v>
      </c>
      <c r="D45" s="6" t="s">
        <v>2323</v>
      </c>
    </row>
    <row r="46" spans="2:8" x14ac:dyDescent="0.2">
      <c r="C46" s="7" t="s">
        <v>2334</v>
      </c>
      <c r="D46" s="8" t="str">
        <f>MID(C46,FIND("/",C46)+1,FIND("/",C46,FIND("/",C46)+1)-FIND("/",C46)-1)</f>
        <v>STC</v>
      </c>
    </row>
    <row r="47" spans="2:8" x14ac:dyDescent="0.2">
      <c r="C47" s="7" t="s">
        <v>2335</v>
      </c>
      <c r="D47" s="8" t="str">
        <f>MID(C47,FIND("/",C47)+1,FIND("/",C47,FIND("/",C47)+1)-FIND("/",C47)-1)</f>
        <v>FC</v>
      </c>
    </row>
    <row r="48" spans="2:8" x14ac:dyDescent="0.2">
      <c r="C48" s="7" t="s">
        <v>2336</v>
      </c>
      <c r="D48" s="8" t="str">
        <f>MID(C48,FIND("/",C48)+1,FIND("/",C48,FIND("/",C48)+1)-FIND("/",C48)-1)</f>
        <v>NORTH</v>
      </c>
    </row>
    <row r="49" spans="3:4" x14ac:dyDescent="0.2">
      <c r="C49" s="7" t="s">
        <v>2337</v>
      </c>
      <c r="D49" s="8" t="str">
        <f>MID(C49,FIND("/",C49)+1,FIND("/",C49,FIND("/",C49)+1)-FIND("/",C49)-1)</f>
        <v>K</v>
      </c>
    </row>
    <row r="50" spans="3:4" x14ac:dyDescent="0.2">
      <c r="C50" s="7" t="s">
        <v>2338</v>
      </c>
      <c r="D50" s="8" t="str">
        <f>MID(C50,FIND("/",C50)+1,FIND("/",C50,FIND("/",C50)+1)-FIND("/",C50)-1)</f>
        <v>UK &amp; FR</v>
      </c>
    </row>
    <row r="51" spans="3:4" x14ac:dyDescent="0.2">
      <c r="D51" s="49" t="s">
        <v>2618</v>
      </c>
    </row>
    <row r="53" spans="3:4" x14ac:dyDescent="0.2">
      <c r="C53" s="13" t="s">
        <v>2339</v>
      </c>
    </row>
    <row r="54" spans="3:4" x14ac:dyDescent="0.2">
      <c r="C54" s="339" t="s">
        <v>2340</v>
      </c>
    </row>
    <row r="55" spans="3:4" x14ac:dyDescent="0.2">
      <c r="C55" s="340" t="s">
        <v>2617</v>
      </c>
    </row>
    <row r="56" spans="3:4" x14ac:dyDescent="0.2">
      <c r="C56" s="340" t="s">
        <v>2619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K26"/>
  <sheetViews>
    <sheetView showGridLines="0" workbookViewId="0">
      <pane ySplit="1" topLeftCell="A2" activePane="bottomLeft" state="frozen"/>
      <selection activeCell="A3" sqref="A3"/>
      <selection pane="bottomLeft" activeCell="J4" sqref="J4"/>
    </sheetView>
  </sheetViews>
  <sheetFormatPr defaultRowHeight="12.75" x14ac:dyDescent="0.2"/>
  <cols>
    <col min="1" max="1" width="2.7109375" customWidth="1"/>
    <col min="3" max="7" width="7.7109375" customWidth="1"/>
    <col min="10" max="10" width="15.42578125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2" spans="1:11" x14ac:dyDescent="0.2">
      <c r="C2" s="149"/>
    </row>
    <row r="3" spans="1:11" x14ac:dyDescent="0.2">
      <c r="C3" s="6" t="s">
        <v>3871</v>
      </c>
      <c r="D3" s="6" t="s">
        <v>3872</v>
      </c>
      <c r="E3" s="6" t="s">
        <v>3873</v>
      </c>
      <c r="F3" s="6" t="s">
        <v>3874</v>
      </c>
      <c r="G3" s="6" t="s">
        <v>3875</v>
      </c>
      <c r="H3" s="6" t="s">
        <v>3876</v>
      </c>
    </row>
    <row r="4" spans="1:11" x14ac:dyDescent="0.2">
      <c r="C4" s="7">
        <v>20</v>
      </c>
      <c r="D4" s="7">
        <v>50</v>
      </c>
      <c r="E4" s="7">
        <v>10</v>
      </c>
      <c r="F4" s="7">
        <v>30</v>
      </c>
      <c r="G4" s="7">
        <v>40</v>
      </c>
      <c r="H4" s="8">
        <f>MEDIAN(C4:G4)</f>
        <v>30</v>
      </c>
      <c r="I4" s="13" t="s">
        <v>3877</v>
      </c>
    </row>
    <row r="6" spans="1:11" x14ac:dyDescent="0.2">
      <c r="C6" s="7">
        <v>2000</v>
      </c>
      <c r="D6" s="7">
        <v>1000</v>
      </c>
      <c r="E6" s="7">
        <v>10</v>
      </c>
      <c r="F6" s="7">
        <v>20</v>
      </c>
      <c r="G6" s="7">
        <v>8000</v>
      </c>
      <c r="H6" s="8">
        <f>MEDIAN(C6:G6)</f>
        <v>1000</v>
      </c>
      <c r="I6" s="13" t="s">
        <v>3878</v>
      </c>
    </row>
    <row r="8" spans="1:11" x14ac:dyDescent="0.2">
      <c r="C8" s="7">
        <v>10</v>
      </c>
      <c r="D8" s="7">
        <v>20</v>
      </c>
      <c r="E8" s="7">
        <v>40</v>
      </c>
      <c r="F8" s="7">
        <v>40</v>
      </c>
      <c r="G8" s="7">
        <v>40</v>
      </c>
      <c r="H8" s="8">
        <f>MEDIAN(C8:G8)</f>
        <v>40</v>
      </c>
      <c r="I8" s="13" t="s">
        <v>3879</v>
      </c>
    </row>
    <row r="10" spans="1:11" x14ac:dyDescent="0.2">
      <c r="C10" s="6" t="s">
        <v>3871</v>
      </c>
      <c r="D10" s="6" t="s">
        <v>3872</v>
      </c>
      <c r="E10" s="6" t="s">
        <v>3873</v>
      </c>
      <c r="F10" s="6" t="s">
        <v>3874</v>
      </c>
      <c r="H10" s="6" t="s">
        <v>3876</v>
      </c>
    </row>
    <row r="11" spans="1:11" x14ac:dyDescent="0.2">
      <c r="C11" s="7">
        <v>20</v>
      </c>
      <c r="D11" s="7">
        <v>40</v>
      </c>
      <c r="E11" s="7">
        <v>30</v>
      </c>
      <c r="F11" s="7">
        <v>10</v>
      </c>
      <c r="H11" s="8">
        <f>MEDIAN(C11:F11)</f>
        <v>25</v>
      </c>
      <c r="I11" s="13" t="s">
        <v>3880</v>
      </c>
    </row>
    <row r="13" spans="1:11" x14ac:dyDescent="0.2">
      <c r="C13" s="7">
        <v>20</v>
      </c>
      <c r="D13" s="7">
        <v>20</v>
      </c>
      <c r="E13" s="7">
        <v>40</v>
      </c>
      <c r="F13" s="7">
        <v>20</v>
      </c>
      <c r="H13" s="8">
        <f>MEDIAN(C13:F13)</f>
        <v>20</v>
      </c>
      <c r="I13" s="13" t="s">
        <v>3881</v>
      </c>
    </row>
    <row r="15" spans="1:11" ht="13.5" thickBot="1" x14ac:dyDescent="0.25">
      <c r="B15" s="2" t="s">
        <v>2865</v>
      </c>
      <c r="C15" s="2"/>
      <c r="D15" s="2"/>
      <c r="E15" s="2"/>
      <c r="F15" s="2"/>
      <c r="G15" s="2"/>
      <c r="H15" s="2"/>
      <c r="I15" s="2"/>
      <c r="J15" s="2"/>
    </row>
    <row r="16" spans="1:11" x14ac:dyDescent="0.2">
      <c r="B16" t="s">
        <v>2288</v>
      </c>
    </row>
    <row r="17" spans="2:10" x14ac:dyDescent="0.2">
      <c r="B17" t="s">
        <v>2289</v>
      </c>
    </row>
    <row r="18" spans="2:10" x14ac:dyDescent="0.2">
      <c r="B18" t="s">
        <v>2290</v>
      </c>
    </row>
    <row r="19" spans="2:10" x14ac:dyDescent="0.2">
      <c r="B19" t="s">
        <v>2291</v>
      </c>
    </row>
    <row r="20" spans="2:10" x14ac:dyDescent="0.2">
      <c r="B20" t="s">
        <v>2292</v>
      </c>
    </row>
    <row r="22" spans="2:10" ht="13.5" thickBot="1" x14ac:dyDescent="0.25">
      <c r="B22" s="2" t="s">
        <v>998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s="61" t="s">
        <v>2293</v>
      </c>
    </row>
    <row r="25" spans="2:10" ht="13.5" thickBot="1" x14ac:dyDescent="0.25">
      <c r="B25" s="2" t="s">
        <v>3355</v>
      </c>
      <c r="C25" s="2"/>
      <c r="D25" s="2"/>
      <c r="E25" s="2"/>
      <c r="F25" s="2"/>
      <c r="G25" s="2"/>
      <c r="H25" s="2"/>
      <c r="I25" s="2"/>
      <c r="J25" s="2"/>
    </row>
    <row r="26" spans="2:10" x14ac:dyDescent="0.2">
      <c r="B26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K31"/>
  <sheetViews>
    <sheetView showGridLines="0" workbookViewId="0">
      <pane ySplit="1" topLeftCell="A2" activePane="bottomLeft" state="frozen"/>
      <selection activeCell="A3" sqref="A3"/>
      <selection pane="bottomLeft" activeCell="K6" sqref="K6"/>
    </sheetView>
  </sheetViews>
  <sheetFormatPr defaultRowHeight="12.75" x14ac:dyDescent="0.2"/>
  <cols>
    <col min="1" max="1" width="2.7109375" customWidth="1"/>
    <col min="2" max="2" width="10.140625" customWidth="1"/>
    <col min="3" max="6" width="9.28515625" customWidth="1"/>
    <col min="7" max="7" width="10.85546875" customWidth="1"/>
    <col min="8" max="8" width="10.5703125" customWidth="1"/>
    <col min="9" max="9" width="12.85546875" customWidth="1"/>
    <col min="10" max="10" width="6.5703125" customWidth="1"/>
  </cols>
  <sheetData>
    <row r="1" spans="1:11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  <c r="K1" s="478"/>
    </row>
    <row r="3" spans="1:11" x14ac:dyDescent="0.2">
      <c r="C3" s="6" t="s">
        <v>3378</v>
      </c>
      <c r="H3" s="6" t="s">
        <v>3857</v>
      </c>
    </row>
    <row r="4" spans="1:11" x14ac:dyDescent="0.2">
      <c r="C4" s="7">
        <v>120</v>
      </c>
      <c r="D4" s="7">
        <v>800</v>
      </c>
      <c r="E4" s="7">
        <v>100</v>
      </c>
      <c r="F4" s="7">
        <v>120</v>
      </c>
      <c r="G4" s="7">
        <v>250</v>
      </c>
      <c r="H4" s="8">
        <f>MAX(C4:G4)</f>
        <v>800</v>
      </c>
      <c r="I4" s="13" t="s">
        <v>3858</v>
      </c>
    </row>
    <row r="6" spans="1:11" x14ac:dyDescent="0.2">
      <c r="C6" s="6" t="s">
        <v>3859</v>
      </c>
      <c r="H6" s="6" t="s">
        <v>3857</v>
      </c>
    </row>
    <row r="7" spans="1:11" x14ac:dyDescent="0.2">
      <c r="C7" s="161">
        <v>35796</v>
      </c>
      <c r="D7" s="161">
        <v>36154</v>
      </c>
      <c r="E7" s="161">
        <v>35885</v>
      </c>
      <c r="F7" s="161">
        <v>36156</v>
      </c>
      <c r="G7" s="161">
        <v>35980</v>
      </c>
      <c r="H7" s="243">
        <f>MAX(C7:G7)</f>
        <v>36156</v>
      </c>
      <c r="I7" s="13" t="s">
        <v>3860</v>
      </c>
    </row>
    <row r="9" spans="1:11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1" x14ac:dyDescent="0.2">
      <c r="B10" t="s">
        <v>3861</v>
      </c>
    </row>
    <row r="12" spans="1:11" ht="13.5" thickBot="1" x14ac:dyDescent="0.25">
      <c r="B12" s="2" t="s">
        <v>998</v>
      </c>
      <c r="C12" s="2"/>
      <c r="D12" s="2"/>
      <c r="E12" s="2"/>
      <c r="F12" s="2"/>
      <c r="G12" s="2"/>
      <c r="H12" s="2"/>
      <c r="I12" s="2"/>
    </row>
    <row r="13" spans="1:11" x14ac:dyDescent="0.2">
      <c r="B13" s="61" t="s">
        <v>3862</v>
      </c>
    </row>
    <row r="15" spans="1:11" ht="13.5" thickBot="1" x14ac:dyDescent="0.25">
      <c r="B15" s="2" t="s">
        <v>3355</v>
      </c>
      <c r="C15" s="2"/>
      <c r="D15" s="2"/>
      <c r="E15" s="2"/>
      <c r="F15" s="2"/>
      <c r="G15" s="2"/>
      <c r="H15" s="2"/>
      <c r="I15" s="2"/>
    </row>
    <row r="16" spans="1:11" x14ac:dyDescent="0.2">
      <c r="B16" t="s">
        <v>2424</v>
      </c>
    </row>
    <row r="18" spans="2:9" ht="13.5" thickBot="1" x14ac:dyDescent="0.25">
      <c r="B18" s="2" t="s">
        <v>1001</v>
      </c>
      <c r="C18" s="2"/>
      <c r="D18" s="2"/>
      <c r="E18" s="2"/>
      <c r="F18" s="2"/>
      <c r="G18" s="2"/>
      <c r="H18" s="2"/>
      <c r="I18" s="2"/>
    </row>
    <row r="19" spans="2:9" x14ac:dyDescent="0.2">
      <c r="B19" t="s">
        <v>3863</v>
      </c>
    </row>
    <row r="20" spans="2:9" x14ac:dyDescent="0.2">
      <c r="B20" t="s">
        <v>3864</v>
      </c>
    </row>
    <row r="22" spans="2:9" x14ac:dyDescent="0.2">
      <c r="B22" s="6" t="s">
        <v>1726</v>
      </c>
      <c r="C22" s="6" t="s">
        <v>3555</v>
      </c>
      <c r="D22" s="6" t="s">
        <v>3556</v>
      </c>
      <c r="E22" s="6" t="s">
        <v>3557</v>
      </c>
      <c r="G22" s="6" t="s">
        <v>3865</v>
      </c>
    </row>
    <row r="23" spans="2:9" x14ac:dyDescent="0.2">
      <c r="B23" s="6" t="s">
        <v>3356</v>
      </c>
      <c r="C23" s="83">
        <v>5000</v>
      </c>
      <c r="D23" s="83">
        <v>6000</v>
      </c>
      <c r="E23" s="83">
        <v>4500</v>
      </c>
      <c r="G23" s="252">
        <f>MAX(C23:E23)</f>
        <v>6000</v>
      </c>
      <c r="H23" s="13" t="s">
        <v>3866</v>
      </c>
    </row>
    <row r="24" spans="2:9" x14ac:dyDescent="0.2">
      <c r="B24" s="6" t="s">
        <v>3357</v>
      </c>
      <c r="C24" s="83">
        <v>5800</v>
      </c>
      <c r="D24" s="83">
        <v>7000</v>
      </c>
      <c r="E24" s="83">
        <v>3000</v>
      </c>
      <c r="G24" s="252">
        <f>MAX(C24:E24)</f>
        <v>7000</v>
      </c>
    </row>
    <row r="25" spans="2:9" x14ac:dyDescent="0.2">
      <c r="B25" s="6" t="s">
        <v>3358</v>
      </c>
      <c r="C25" s="83">
        <v>3500</v>
      </c>
      <c r="D25" s="83">
        <v>2000</v>
      </c>
      <c r="E25" s="83">
        <v>10000</v>
      </c>
      <c r="G25" s="252">
        <f>MAX(C25:E25)</f>
        <v>10000</v>
      </c>
    </row>
    <row r="26" spans="2:9" x14ac:dyDescent="0.2">
      <c r="B26" s="6" t="s">
        <v>3359</v>
      </c>
      <c r="C26" s="83">
        <v>12000</v>
      </c>
      <c r="D26" s="83">
        <v>4000</v>
      </c>
      <c r="E26" s="83">
        <v>6000</v>
      </c>
      <c r="G26" s="252">
        <f>MAX(C26:E26)</f>
        <v>12000</v>
      </c>
    </row>
    <row r="28" spans="2:9" x14ac:dyDescent="0.2">
      <c r="B28" s="23" t="s">
        <v>3867</v>
      </c>
      <c r="C28" s="252">
        <f>MAX(C23:C26)</f>
        <v>12000</v>
      </c>
      <c r="D28" s="252">
        <f>MAX(D23:D26)</f>
        <v>7000</v>
      </c>
      <c r="E28" s="252">
        <f>MAX(E23:E26)</f>
        <v>10000</v>
      </c>
    </row>
    <row r="29" spans="2:9" x14ac:dyDescent="0.2">
      <c r="E29" s="4" t="s">
        <v>3868</v>
      </c>
    </row>
    <row r="30" spans="2:9" x14ac:dyDescent="0.2">
      <c r="B30" s="23" t="s">
        <v>3869</v>
      </c>
      <c r="C30" s="252">
        <f>MAX(C23:E26)</f>
        <v>12000</v>
      </c>
    </row>
    <row r="31" spans="2:9" x14ac:dyDescent="0.2">
      <c r="C31" s="4" t="s">
        <v>3870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K115"/>
  <sheetViews>
    <sheetView showGridLines="0" workbookViewId="0">
      <pane ySplit="1" topLeftCell="A2" activePane="bottomLeft" state="frozen"/>
      <selection activeCell="A3" sqref="A3"/>
      <selection pane="bottomLeft" activeCell="L7" sqref="L7"/>
    </sheetView>
  </sheetViews>
  <sheetFormatPr defaultRowHeight="12.75" x14ac:dyDescent="0.2"/>
  <cols>
    <col min="1" max="1" width="2.7109375" customWidth="1"/>
    <col min="2" max="2" width="3.28515625" customWidth="1"/>
    <col min="3" max="3" width="10.7109375" customWidth="1"/>
    <col min="4" max="4" width="10.85546875" customWidth="1"/>
    <col min="5" max="5" width="12.28515625" customWidth="1"/>
    <col min="6" max="6" width="9" customWidth="1"/>
    <col min="7" max="7" width="13" customWidth="1"/>
    <col min="8" max="8" width="10.5703125" customWidth="1"/>
    <col min="9" max="9" width="10.85546875" customWidth="1"/>
    <col min="10" max="10" width="1.85546875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  <c r="K1" s="478"/>
    </row>
    <row r="3" spans="1:11" x14ac:dyDescent="0.2">
      <c r="E3" s="6" t="s">
        <v>1865</v>
      </c>
      <c r="I3" s="6" t="s">
        <v>3378</v>
      </c>
    </row>
    <row r="4" spans="1:11" x14ac:dyDescent="0.2">
      <c r="E4" s="7" t="s">
        <v>3362</v>
      </c>
      <c r="I4" s="7">
        <v>250</v>
      </c>
    </row>
    <row r="5" spans="1:11" x14ac:dyDescent="0.2">
      <c r="E5" s="7" t="s">
        <v>3361</v>
      </c>
      <c r="I5" s="7">
        <v>600</v>
      </c>
    </row>
    <row r="6" spans="1:11" x14ac:dyDescent="0.2">
      <c r="E6" s="7" t="s">
        <v>1952</v>
      </c>
      <c r="I6" s="7">
        <v>1000</v>
      </c>
    </row>
    <row r="7" spans="1:11" x14ac:dyDescent="0.2">
      <c r="E7" s="7" t="s">
        <v>3363</v>
      </c>
      <c r="I7" s="7">
        <v>4000</v>
      </c>
    </row>
    <row r="9" spans="1:11" x14ac:dyDescent="0.2">
      <c r="B9" s="20"/>
      <c r="C9" s="162"/>
      <c r="D9" s="21" t="s">
        <v>3512</v>
      </c>
      <c r="E9" s="7" t="s">
        <v>3361</v>
      </c>
      <c r="G9" s="20"/>
      <c r="H9" s="21" t="s">
        <v>1866</v>
      </c>
      <c r="I9" s="7">
        <v>1000</v>
      </c>
    </row>
    <row r="11" spans="1:11" x14ac:dyDescent="0.2">
      <c r="B11" s="20"/>
      <c r="C11" s="162"/>
      <c r="D11" s="21" t="str">
        <f>"The position of "&amp;E9&amp;" is : "</f>
        <v xml:space="preserve">The position of Alan is : </v>
      </c>
      <c r="E11" s="8">
        <f>MATCH(E9,E4:E7,0)</f>
        <v>2</v>
      </c>
      <c r="G11" s="20"/>
      <c r="H11" s="21" t="s">
        <v>1867</v>
      </c>
      <c r="I11" s="8">
        <f>MATCH(I9,I4:I7,1)</f>
        <v>3</v>
      </c>
    </row>
    <row r="12" spans="1:11" x14ac:dyDescent="0.2">
      <c r="E12" s="4" t="s">
        <v>1868</v>
      </c>
      <c r="I12" s="66" t="s">
        <v>1869</v>
      </c>
    </row>
    <row r="14" spans="1:11" ht="13.5" thickBot="1" x14ac:dyDescent="0.25">
      <c r="B14" s="2" t="s">
        <v>2865</v>
      </c>
      <c r="C14" s="2"/>
      <c r="D14" s="2"/>
      <c r="E14" s="2"/>
      <c r="F14" s="2"/>
      <c r="G14" s="2"/>
      <c r="H14" s="2"/>
      <c r="I14" s="2"/>
    </row>
    <row r="15" spans="1:11" x14ac:dyDescent="0.2">
      <c r="B15" t="s">
        <v>1870</v>
      </c>
    </row>
    <row r="16" spans="1:11" x14ac:dyDescent="0.2">
      <c r="B16" t="s">
        <v>1871</v>
      </c>
    </row>
    <row r="17" spans="2:9" x14ac:dyDescent="0.2">
      <c r="B17" t="s">
        <v>1872</v>
      </c>
    </row>
    <row r="19" spans="2:9" ht="13.5" thickBot="1" x14ac:dyDescent="0.25">
      <c r="B19" s="2" t="s">
        <v>998</v>
      </c>
      <c r="C19" s="2"/>
      <c r="D19" s="2"/>
      <c r="E19" s="2"/>
      <c r="F19" s="2"/>
      <c r="G19" s="2"/>
      <c r="H19" s="2"/>
      <c r="I19" s="2"/>
    </row>
    <row r="20" spans="2:9" x14ac:dyDescent="0.2">
      <c r="B20" s="61" t="s">
        <v>1873</v>
      </c>
    </row>
    <row r="21" spans="2:9" x14ac:dyDescent="0.2">
      <c r="B21" t="s">
        <v>1874</v>
      </c>
    </row>
    <row r="23" spans="2:9" x14ac:dyDescent="0.2">
      <c r="B23" t="s">
        <v>1875</v>
      </c>
    </row>
    <row r="25" spans="2:9" x14ac:dyDescent="0.2">
      <c r="B25" t="s">
        <v>1876</v>
      </c>
    </row>
    <row r="26" spans="2:9" x14ac:dyDescent="0.2">
      <c r="B26" t="s">
        <v>1877</v>
      </c>
    </row>
    <row r="27" spans="2:9" x14ac:dyDescent="0.2">
      <c r="B27" t="s">
        <v>1878</v>
      </c>
    </row>
    <row r="29" spans="2:9" x14ac:dyDescent="0.2">
      <c r="B29" t="s">
        <v>1879</v>
      </c>
    </row>
    <row r="30" spans="2:9" x14ac:dyDescent="0.2">
      <c r="B30" t="s">
        <v>1880</v>
      </c>
    </row>
    <row r="31" spans="2:9" x14ac:dyDescent="0.2">
      <c r="B31" t="s">
        <v>1881</v>
      </c>
    </row>
    <row r="33" spans="2:9" ht="13.5" thickBot="1" x14ac:dyDescent="0.25">
      <c r="B33" s="2" t="s">
        <v>1882</v>
      </c>
      <c r="C33" s="2"/>
      <c r="D33" s="2"/>
      <c r="E33" s="2"/>
      <c r="F33" s="2"/>
      <c r="G33" s="2"/>
      <c r="H33" s="2"/>
      <c r="I33" s="2"/>
    </row>
    <row r="34" spans="2:9" x14ac:dyDescent="0.2">
      <c r="B34" t="s">
        <v>1755</v>
      </c>
    </row>
    <row r="35" spans="2:9" x14ac:dyDescent="0.2">
      <c r="B35" t="s">
        <v>3849</v>
      </c>
    </row>
    <row r="36" spans="2:9" x14ac:dyDescent="0.2">
      <c r="B36" t="s">
        <v>3850</v>
      </c>
    </row>
    <row r="37" spans="2:9" x14ac:dyDescent="0.2">
      <c r="B37" t="s">
        <v>3851</v>
      </c>
    </row>
    <row r="38" spans="2:9" ht="13.5" thickBot="1" x14ac:dyDescent="0.25"/>
    <row r="39" spans="2:9" ht="13.5" thickTop="1" x14ac:dyDescent="0.2">
      <c r="C39" s="299" t="s">
        <v>1756</v>
      </c>
      <c r="E39" s="299" t="s">
        <v>1757</v>
      </c>
      <c r="G39" s="332" t="s">
        <v>1758</v>
      </c>
    </row>
    <row r="40" spans="2:9" x14ac:dyDescent="0.2">
      <c r="C40" s="250">
        <v>10</v>
      </c>
      <c r="E40" s="250">
        <v>40</v>
      </c>
      <c r="G40" s="333">
        <v>10</v>
      </c>
    </row>
    <row r="41" spans="2:9" x14ac:dyDescent="0.2">
      <c r="C41" s="250">
        <v>20</v>
      </c>
      <c r="E41" s="250">
        <v>30</v>
      </c>
      <c r="G41" s="333">
        <v>20</v>
      </c>
    </row>
    <row r="42" spans="2:9" x14ac:dyDescent="0.2">
      <c r="C42" s="250">
        <v>30</v>
      </c>
      <c r="E42" s="250">
        <v>20</v>
      </c>
      <c r="G42" s="333">
        <v>30</v>
      </c>
    </row>
    <row r="43" spans="2:9" x14ac:dyDescent="0.2">
      <c r="C43" s="250">
        <v>40</v>
      </c>
      <c r="E43" s="250">
        <v>10</v>
      </c>
      <c r="G43" s="333">
        <v>40</v>
      </c>
    </row>
    <row r="44" spans="2:9" x14ac:dyDescent="0.2">
      <c r="G44" s="334"/>
    </row>
    <row r="45" spans="2:9" x14ac:dyDescent="0.2">
      <c r="C45" s="250">
        <v>20</v>
      </c>
      <c r="E45" s="250">
        <v>20</v>
      </c>
      <c r="G45" s="333">
        <v>25</v>
      </c>
    </row>
    <row r="46" spans="2:9" ht="13.5" thickBot="1" x14ac:dyDescent="0.25">
      <c r="C46" s="251">
        <f>MATCH(C45,C40:C43,0)</f>
        <v>2</v>
      </c>
      <c r="E46" s="251">
        <f>MATCH(E45,E40:E43,0)</f>
        <v>3</v>
      </c>
      <c r="G46" s="335" t="e">
        <f>MATCH(G45,G40:G43,0)</f>
        <v>#N/A</v>
      </c>
    </row>
    <row r="47" spans="2:9" ht="13.5" thickTop="1" x14ac:dyDescent="0.2">
      <c r="E47" s="49" t="s">
        <v>1759</v>
      </c>
    </row>
    <row r="48" spans="2:9" x14ac:dyDescent="0.2">
      <c r="C48" s="167"/>
    </row>
    <row r="50" spans="2:9" ht="13.5" thickBot="1" x14ac:dyDescent="0.25">
      <c r="B50" s="2" t="s">
        <v>1962</v>
      </c>
      <c r="C50" s="2"/>
      <c r="D50" s="2"/>
      <c r="E50" s="2"/>
      <c r="F50" s="2"/>
      <c r="G50" s="2"/>
      <c r="H50" s="2"/>
      <c r="I50" s="2"/>
    </row>
    <row r="51" spans="2:9" x14ac:dyDescent="0.2">
      <c r="B51" t="s">
        <v>1760</v>
      </c>
    </row>
    <row r="52" spans="2:9" x14ac:dyDescent="0.2">
      <c r="B52" t="s">
        <v>3849</v>
      </c>
    </row>
    <row r="53" spans="2:9" x14ac:dyDescent="0.2">
      <c r="B53" t="s">
        <v>3852</v>
      </c>
    </row>
    <row r="54" spans="2:9" x14ac:dyDescent="0.2">
      <c r="B54" t="s">
        <v>3853</v>
      </c>
    </row>
    <row r="55" spans="2:9" ht="13.5" thickBot="1" x14ac:dyDescent="0.25"/>
    <row r="56" spans="2:9" ht="13.5" thickTop="1" x14ac:dyDescent="0.2">
      <c r="C56" s="299" t="s">
        <v>1756</v>
      </c>
      <c r="E56" s="332" t="s">
        <v>1757</v>
      </c>
      <c r="G56" s="299" t="s">
        <v>1758</v>
      </c>
    </row>
    <row r="57" spans="2:9" x14ac:dyDescent="0.2">
      <c r="C57" s="250">
        <v>10</v>
      </c>
      <c r="E57" s="333">
        <v>40</v>
      </c>
      <c r="G57" s="250">
        <v>10</v>
      </c>
    </row>
    <row r="58" spans="2:9" x14ac:dyDescent="0.2">
      <c r="C58" s="250">
        <v>20</v>
      </c>
      <c r="E58" s="333">
        <v>30</v>
      </c>
      <c r="G58" s="250">
        <v>20</v>
      </c>
    </row>
    <row r="59" spans="2:9" x14ac:dyDescent="0.2">
      <c r="C59" s="250">
        <v>30</v>
      </c>
      <c r="E59" s="333">
        <v>20</v>
      </c>
      <c r="G59" s="250">
        <v>30</v>
      </c>
    </row>
    <row r="60" spans="2:9" x14ac:dyDescent="0.2">
      <c r="C60" s="250">
        <v>40</v>
      </c>
      <c r="E60" s="333">
        <v>10</v>
      </c>
      <c r="G60" s="250">
        <v>40</v>
      </c>
    </row>
    <row r="61" spans="2:9" x14ac:dyDescent="0.2">
      <c r="E61" s="334"/>
    </row>
    <row r="62" spans="2:9" x14ac:dyDescent="0.2">
      <c r="C62" s="250">
        <v>20</v>
      </c>
      <c r="E62" s="333">
        <v>20</v>
      </c>
      <c r="G62" s="250">
        <v>25</v>
      </c>
    </row>
    <row r="63" spans="2:9" ht="13.5" thickBot="1" x14ac:dyDescent="0.25">
      <c r="C63" s="251">
        <f>MATCH(C62,C57:C60,1)</f>
        <v>2</v>
      </c>
      <c r="E63" s="335" t="e">
        <f>MATCH(E62,E57:E60,1)</f>
        <v>#N/A</v>
      </c>
      <c r="G63" s="251">
        <f>MATCH(G62,G57:G60,1)</f>
        <v>2</v>
      </c>
    </row>
    <row r="64" spans="2:9" ht="13.5" thickTop="1" x14ac:dyDescent="0.2">
      <c r="G64" s="167" t="s">
        <v>1761</v>
      </c>
    </row>
    <row r="67" spans="2:9" ht="13.5" thickBot="1" x14ac:dyDescent="0.25">
      <c r="B67" s="2" t="s">
        <v>1977</v>
      </c>
      <c r="C67" s="2"/>
      <c r="D67" s="2"/>
      <c r="E67" s="2"/>
      <c r="F67" s="2"/>
      <c r="G67" s="2"/>
      <c r="H67" s="2"/>
      <c r="I67" s="2"/>
    </row>
    <row r="68" spans="2:9" x14ac:dyDescent="0.2">
      <c r="B68" t="s">
        <v>3817</v>
      </c>
    </row>
    <row r="69" spans="2:9" x14ac:dyDescent="0.2">
      <c r="B69" t="s">
        <v>3854</v>
      </c>
    </row>
    <row r="70" spans="2:9" x14ac:dyDescent="0.2">
      <c r="B70" t="s">
        <v>3855</v>
      </c>
    </row>
    <row r="71" spans="2:9" x14ac:dyDescent="0.2">
      <c r="B71" t="s">
        <v>3856</v>
      </c>
    </row>
    <row r="72" spans="2:9" ht="13.5" thickBot="1" x14ac:dyDescent="0.25"/>
    <row r="73" spans="2:9" ht="13.5" thickTop="1" x14ac:dyDescent="0.2">
      <c r="C73" s="336" t="s">
        <v>1756</v>
      </c>
      <c r="E73" s="6" t="s">
        <v>1757</v>
      </c>
      <c r="G73" s="6" t="s">
        <v>1758</v>
      </c>
    </row>
    <row r="74" spans="2:9" x14ac:dyDescent="0.2">
      <c r="C74" s="337">
        <v>10</v>
      </c>
      <c r="E74" s="7">
        <v>40</v>
      </c>
      <c r="G74" s="7">
        <v>40</v>
      </c>
    </row>
    <row r="75" spans="2:9" x14ac:dyDescent="0.2">
      <c r="C75" s="337">
        <v>20</v>
      </c>
      <c r="E75" s="7">
        <v>30</v>
      </c>
      <c r="G75" s="7">
        <v>30</v>
      </c>
    </row>
    <row r="76" spans="2:9" x14ac:dyDescent="0.2">
      <c r="C76" s="337">
        <v>30</v>
      </c>
      <c r="E76" s="7">
        <v>20</v>
      </c>
      <c r="G76" s="7">
        <v>20</v>
      </c>
    </row>
    <row r="77" spans="2:9" x14ac:dyDescent="0.2">
      <c r="C77" s="337">
        <v>40</v>
      </c>
      <c r="E77" s="7">
        <v>10</v>
      </c>
      <c r="G77" s="7">
        <v>10</v>
      </c>
    </row>
    <row r="78" spans="2:9" x14ac:dyDescent="0.2">
      <c r="C78" s="334"/>
    </row>
    <row r="79" spans="2:9" x14ac:dyDescent="0.2">
      <c r="C79" s="337">
        <v>20</v>
      </c>
      <c r="E79" s="7">
        <v>20</v>
      </c>
      <c r="G79" s="7">
        <v>25</v>
      </c>
    </row>
    <row r="80" spans="2:9" ht="13.5" thickBot="1" x14ac:dyDescent="0.25">
      <c r="C80" s="338" t="e">
        <f>MATCH(C79,C74:C77,-1)</f>
        <v>#N/A</v>
      </c>
      <c r="E80" s="8">
        <f>MATCH(E79,E74:E77,-1)</f>
        <v>3</v>
      </c>
      <c r="G80" s="8">
        <f>MATCH(G79,G74:G77,-1)</f>
        <v>2</v>
      </c>
    </row>
    <row r="81" spans="2:9" ht="13.5" thickTop="1" x14ac:dyDescent="0.2">
      <c r="G81" s="63" t="s">
        <v>3818</v>
      </c>
    </row>
    <row r="84" spans="2:9" ht="13.5" thickBot="1" x14ac:dyDescent="0.25">
      <c r="B84" s="2" t="s">
        <v>2003</v>
      </c>
      <c r="C84" s="2"/>
      <c r="D84" s="2"/>
      <c r="E84" s="2"/>
      <c r="F84" s="2"/>
      <c r="G84" s="2"/>
      <c r="H84" s="2"/>
      <c r="I84" s="2"/>
    </row>
    <row r="85" spans="2:9" x14ac:dyDescent="0.2">
      <c r="B85" t="s">
        <v>3819</v>
      </c>
    </row>
    <row r="86" spans="2:9" x14ac:dyDescent="0.2">
      <c r="B86" t="s">
        <v>3820</v>
      </c>
    </row>
    <row r="87" spans="2:9" x14ac:dyDescent="0.2">
      <c r="B87" t="s">
        <v>3821</v>
      </c>
    </row>
    <row r="88" spans="2:9" x14ac:dyDescent="0.2">
      <c r="B88" t="s">
        <v>3822</v>
      </c>
    </row>
    <row r="89" spans="2:9" x14ac:dyDescent="0.2">
      <c r="B89" t="s">
        <v>3823</v>
      </c>
    </row>
    <row r="90" spans="2:9" x14ac:dyDescent="0.2">
      <c r="B90" t="s">
        <v>3824</v>
      </c>
    </row>
    <row r="91" spans="2:9" x14ac:dyDescent="0.2">
      <c r="B91" t="s">
        <v>3825</v>
      </c>
    </row>
    <row r="92" spans="2:9" x14ac:dyDescent="0.2">
      <c r="B92" t="s">
        <v>3826</v>
      </c>
    </row>
    <row r="94" spans="2:9" x14ac:dyDescent="0.2">
      <c r="D94" s="6" t="s">
        <v>3827</v>
      </c>
      <c r="F94" s="20"/>
      <c r="G94" s="79" t="s">
        <v>3828</v>
      </c>
      <c r="H94" s="7">
        <v>23</v>
      </c>
    </row>
    <row r="95" spans="2:9" x14ac:dyDescent="0.2">
      <c r="C95" s="6" t="s">
        <v>3829</v>
      </c>
      <c r="D95" s="7">
        <v>54</v>
      </c>
      <c r="F95" s="22"/>
      <c r="G95" s="79" t="s">
        <v>3830</v>
      </c>
      <c r="H95" s="8">
        <f>INDEX(D95:D99,MATCH(H94,D95:D99,-1),0)</f>
        <v>50</v>
      </c>
    </row>
    <row r="96" spans="2:9" x14ac:dyDescent="0.2">
      <c r="C96" s="6" t="s">
        <v>3831</v>
      </c>
      <c r="D96" s="7">
        <v>50</v>
      </c>
      <c r="H96" s="66" t="s">
        <v>3832</v>
      </c>
    </row>
    <row r="97" spans="2:9" x14ac:dyDescent="0.2">
      <c r="C97" s="6" t="s">
        <v>3833</v>
      </c>
      <c r="D97" s="7">
        <v>22</v>
      </c>
    </row>
    <row r="98" spans="2:9" x14ac:dyDescent="0.2">
      <c r="C98" s="6" t="s">
        <v>3834</v>
      </c>
      <c r="D98" s="7">
        <v>15</v>
      </c>
    </row>
    <row r="99" spans="2:9" x14ac:dyDescent="0.2">
      <c r="C99" s="6" t="s">
        <v>3835</v>
      </c>
      <c r="D99" s="7">
        <v>6</v>
      </c>
    </row>
    <row r="102" spans="2:9" ht="13.5" thickBot="1" x14ac:dyDescent="0.25">
      <c r="B102" s="2" t="s">
        <v>3836</v>
      </c>
      <c r="C102" s="2"/>
      <c r="D102" s="2"/>
      <c r="E102" s="2"/>
      <c r="F102" s="2"/>
      <c r="G102" s="2"/>
      <c r="H102" s="2"/>
      <c r="I102" s="2"/>
    </row>
    <row r="103" spans="2:9" x14ac:dyDescent="0.2">
      <c r="B103" t="s">
        <v>3837</v>
      </c>
    </row>
    <row r="104" spans="2:9" x14ac:dyDescent="0.2">
      <c r="B104" t="s">
        <v>3838</v>
      </c>
    </row>
    <row r="105" spans="2:9" x14ac:dyDescent="0.2">
      <c r="B105" t="s">
        <v>3839</v>
      </c>
    </row>
    <row r="106" spans="2:9" x14ac:dyDescent="0.2">
      <c r="B106" t="s">
        <v>3840</v>
      </c>
    </row>
    <row r="107" spans="2:9" x14ac:dyDescent="0.2">
      <c r="B107" t="s">
        <v>3841</v>
      </c>
    </row>
    <row r="108" spans="2:9" x14ac:dyDescent="0.2">
      <c r="B108" t="s">
        <v>3842</v>
      </c>
    </row>
    <row r="110" spans="2:9" x14ac:dyDescent="0.2">
      <c r="C110" s="6" t="s">
        <v>3843</v>
      </c>
      <c r="D110" s="6" t="s">
        <v>1941</v>
      </c>
      <c r="G110" s="79" t="s">
        <v>3844</v>
      </c>
      <c r="H110" s="6" t="s">
        <v>1941</v>
      </c>
    </row>
    <row r="111" spans="2:9" x14ac:dyDescent="0.2">
      <c r="C111" s="7">
        <v>0</v>
      </c>
      <c r="D111" s="7" t="s">
        <v>2039</v>
      </c>
      <c r="F111" s="6" t="s">
        <v>3361</v>
      </c>
      <c r="G111" s="7">
        <v>60</v>
      </c>
      <c r="H111" s="8" t="str">
        <f>INDEX(D111:D114,MATCH(G111,C111:C114,1),0)</f>
        <v>Pass</v>
      </c>
    </row>
    <row r="112" spans="2:9" x14ac:dyDescent="0.2">
      <c r="C112" s="7">
        <v>50</v>
      </c>
      <c r="D112" s="7" t="s">
        <v>3845</v>
      </c>
      <c r="F112" s="6" t="s">
        <v>3362</v>
      </c>
      <c r="G112" s="7">
        <v>6</v>
      </c>
      <c r="H112" s="8" t="str">
        <f>INDEX(D111:D114,MATCH(G112,C111:C114,1),0)</f>
        <v>Fail</v>
      </c>
    </row>
    <row r="113" spans="3:8" x14ac:dyDescent="0.2">
      <c r="C113" s="7">
        <v>90</v>
      </c>
      <c r="D113" s="7" t="s">
        <v>3846</v>
      </c>
      <c r="F113" s="6" t="s">
        <v>3363</v>
      </c>
      <c r="G113" s="7">
        <v>97</v>
      </c>
      <c r="H113" s="8" t="str">
        <f>INDEX(D111:D114,MATCH(G113,C111:C114,1),0)</f>
        <v>Distinction</v>
      </c>
    </row>
    <row r="114" spans="3:8" x14ac:dyDescent="0.2">
      <c r="C114" s="7">
        <v>95</v>
      </c>
      <c r="D114" s="7" t="s">
        <v>3847</v>
      </c>
      <c r="F114" s="6" t="s">
        <v>1952</v>
      </c>
      <c r="G114" s="7">
        <v>89</v>
      </c>
      <c r="H114" s="8" t="str">
        <f>INDEX(D111:D114,MATCH(G114,C111:C114,1),0)</f>
        <v>Pass</v>
      </c>
    </row>
    <row r="115" spans="3:8" x14ac:dyDescent="0.2">
      <c r="H115" s="66" t="s">
        <v>3848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rowBreaks count="2" manualBreakCount="2">
    <brk id="48" max="65535" man="1"/>
    <brk id="82" max="65535" man="1"/>
  </rowBreaks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I17"/>
  <sheetViews>
    <sheetView showGridLines="0" workbookViewId="0">
      <pane ySplit="1" topLeftCell="A2" activePane="bottomLeft" state="frozen"/>
      <selection activeCell="A3" sqref="A3"/>
      <selection pane="bottomLeft" activeCell="H4" sqref="H4"/>
    </sheetView>
  </sheetViews>
  <sheetFormatPr defaultRowHeight="12.75" x14ac:dyDescent="0.2"/>
  <cols>
    <col min="1" max="1" width="2.7109375" customWidth="1"/>
    <col min="3" max="3" width="16.7109375" customWidth="1"/>
    <col min="4" max="4" width="13.85546875" customWidth="1"/>
    <col min="8" max="8" width="14.42578125" customWidth="1"/>
  </cols>
  <sheetData>
    <row r="1" spans="1:9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322</v>
      </c>
      <c r="D3" s="6" t="s">
        <v>323</v>
      </c>
    </row>
    <row r="4" spans="1:9" x14ac:dyDescent="0.2">
      <c r="C4" s="7" t="s">
        <v>324</v>
      </c>
      <c r="D4" s="8" t="str">
        <f>LOWER(C4)</f>
        <v>alan jones</v>
      </c>
      <c r="E4" s="13" t="s">
        <v>325</v>
      </c>
    </row>
    <row r="5" spans="1:9" x14ac:dyDescent="0.2">
      <c r="C5" s="7" t="s">
        <v>1856</v>
      </c>
      <c r="D5" s="8" t="str">
        <f>LOWER(C5)</f>
        <v>bob smith</v>
      </c>
      <c r="E5" s="13" t="s">
        <v>1857</v>
      </c>
    </row>
    <row r="6" spans="1:9" x14ac:dyDescent="0.2">
      <c r="C6" s="7" t="s">
        <v>1858</v>
      </c>
      <c r="D6" s="8" t="str">
        <f>LOWER(C6)</f>
        <v>carol williams</v>
      </c>
      <c r="E6" s="13" t="s">
        <v>1859</v>
      </c>
    </row>
    <row r="7" spans="1:9" x14ac:dyDescent="0.2">
      <c r="C7" s="7" t="s">
        <v>1860</v>
      </c>
      <c r="D7" s="8" t="str">
        <f>LOWER(C7)</f>
        <v>cardiff</v>
      </c>
      <c r="E7" s="13" t="s">
        <v>1861</v>
      </c>
    </row>
    <row r="8" spans="1:9" x14ac:dyDescent="0.2">
      <c r="C8" s="7" t="s">
        <v>3416</v>
      </c>
      <c r="D8" s="8" t="str">
        <f>LOWER(C8)</f>
        <v>abc123</v>
      </c>
      <c r="E8" s="13" t="s">
        <v>1862</v>
      </c>
    </row>
    <row r="10" spans="1:9" ht="13.5" thickBot="1" x14ac:dyDescent="0.25">
      <c r="B10" s="2" t="s">
        <v>2865</v>
      </c>
      <c r="C10" s="2"/>
      <c r="D10" s="2"/>
      <c r="E10" s="2"/>
      <c r="F10" s="2"/>
      <c r="G10" s="2"/>
      <c r="H10" s="2"/>
    </row>
    <row r="11" spans="1:9" x14ac:dyDescent="0.2">
      <c r="B11" t="s">
        <v>1863</v>
      </c>
    </row>
    <row r="13" spans="1:9" ht="13.5" thickBot="1" x14ac:dyDescent="0.25">
      <c r="B13" s="2" t="s">
        <v>998</v>
      </c>
      <c r="C13" s="2"/>
      <c r="D13" s="2"/>
      <c r="E13" s="2"/>
      <c r="F13" s="2"/>
      <c r="G13" s="2"/>
      <c r="H13" s="2"/>
    </row>
    <row r="14" spans="1:9" x14ac:dyDescent="0.2">
      <c r="B14" s="61" t="s">
        <v>1864</v>
      </c>
    </row>
    <row r="16" spans="1:9" ht="13.5" thickBot="1" x14ac:dyDescent="0.25">
      <c r="B16" s="2" t="s">
        <v>3355</v>
      </c>
      <c r="C16" s="2"/>
      <c r="D16" s="2"/>
      <c r="E16" s="2"/>
      <c r="F16" s="2"/>
      <c r="G16" s="2"/>
      <c r="H16" s="2"/>
    </row>
    <row r="17" spans="2:2" x14ac:dyDescent="0.2">
      <c r="B17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K48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2" max="2" width="9" customWidth="1"/>
    <col min="3" max="3" width="13.28515625" customWidth="1"/>
    <col min="4" max="10" width="9" customWidth="1"/>
  </cols>
  <sheetData>
    <row r="1" spans="1:11" ht="37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13.5" thickBot="1" x14ac:dyDescent="0.25">
      <c r="D3" s="6" t="s">
        <v>1946</v>
      </c>
      <c r="E3" s="6" t="s">
        <v>3555</v>
      </c>
      <c r="F3" s="6" t="s">
        <v>3556</v>
      </c>
      <c r="G3" s="6" t="s">
        <v>3557</v>
      </c>
    </row>
    <row r="4" spans="1:11" ht="13.5" thickTop="1" x14ac:dyDescent="0.2">
      <c r="D4" s="304" t="s">
        <v>3361</v>
      </c>
      <c r="E4" s="305">
        <v>10</v>
      </c>
      <c r="F4" s="321">
        <v>80</v>
      </c>
      <c r="G4" s="322">
        <v>97</v>
      </c>
    </row>
    <row r="5" spans="1:11" x14ac:dyDescent="0.2">
      <c r="D5" s="307" t="s">
        <v>3362</v>
      </c>
      <c r="E5" s="7">
        <v>20</v>
      </c>
      <c r="F5" s="303">
        <v>90</v>
      </c>
      <c r="G5" s="323">
        <v>69</v>
      </c>
    </row>
    <row r="6" spans="1:11" x14ac:dyDescent="0.2">
      <c r="D6" s="307" t="s">
        <v>3363</v>
      </c>
      <c r="E6" s="7">
        <v>30</v>
      </c>
      <c r="F6" s="303">
        <v>100</v>
      </c>
      <c r="G6" s="323">
        <v>45</v>
      </c>
    </row>
    <row r="7" spans="1:11" x14ac:dyDescent="0.2">
      <c r="D7" s="307" t="s">
        <v>1952</v>
      </c>
      <c r="E7" s="7">
        <v>40</v>
      </c>
      <c r="F7" s="303">
        <v>110</v>
      </c>
      <c r="G7" s="323">
        <v>51</v>
      </c>
    </row>
    <row r="8" spans="1:11" x14ac:dyDescent="0.2">
      <c r="D8" s="307" t="s">
        <v>3134</v>
      </c>
      <c r="E8" s="7">
        <v>50</v>
      </c>
      <c r="F8" s="303">
        <v>120</v>
      </c>
      <c r="G8" s="323">
        <v>77</v>
      </c>
    </row>
    <row r="9" spans="1:11" x14ac:dyDescent="0.2">
      <c r="D9" s="307" t="s">
        <v>1774</v>
      </c>
      <c r="E9" s="7">
        <v>60</v>
      </c>
      <c r="F9" s="303">
        <v>130</v>
      </c>
      <c r="G9" s="323">
        <v>28</v>
      </c>
    </row>
    <row r="10" spans="1:11" ht="13.5" thickBot="1" x14ac:dyDescent="0.25">
      <c r="D10" s="309" t="s">
        <v>3137</v>
      </c>
      <c r="E10" s="310">
        <v>70</v>
      </c>
      <c r="F10" s="324">
        <v>140</v>
      </c>
      <c r="G10" s="325">
        <v>73</v>
      </c>
    </row>
    <row r="11" spans="1:11" ht="13.5" thickTop="1" x14ac:dyDescent="0.2"/>
    <row r="12" spans="1:11" x14ac:dyDescent="0.2">
      <c r="B12" s="20"/>
      <c r="C12" s="162"/>
      <c r="D12" s="162"/>
      <c r="E12" s="21" t="s">
        <v>1775</v>
      </c>
      <c r="F12" s="7" t="s">
        <v>3134</v>
      </c>
    </row>
    <row r="14" spans="1:11" x14ac:dyDescent="0.2">
      <c r="B14" s="20"/>
      <c r="C14" s="162"/>
      <c r="D14" s="162"/>
      <c r="E14" s="21" t="s">
        <v>321</v>
      </c>
      <c r="F14" s="8">
        <f>LOOKUP(F12,D4:G10,F4:F10)</f>
        <v>120</v>
      </c>
      <c r="G14" s="13" t="s">
        <v>305</v>
      </c>
    </row>
    <row r="16" spans="1:11" ht="13.5" thickBot="1" x14ac:dyDescent="0.25">
      <c r="B16" s="2" t="s">
        <v>2865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t="s">
        <v>306</v>
      </c>
    </row>
    <row r="18" spans="2:10" x14ac:dyDescent="0.2">
      <c r="B18" t="s">
        <v>307</v>
      </c>
    </row>
    <row r="20" spans="2:10" ht="13.5" thickBot="1" x14ac:dyDescent="0.25">
      <c r="B20" s="2" t="s">
        <v>998</v>
      </c>
      <c r="C20" s="2"/>
      <c r="D20" s="2"/>
      <c r="E20" s="2"/>
      <c r="F20" s="2"/>
      <c r="G20" s="2"/>
      <c r="H20" s="2"/>
      <c r="I20" s="2"/>
      <c r="J20" s="2"/>
    </row>
    <row r="21" spans="2:10" x14ac:dyDescent="0.2">
      <c r="B21" s="61" t="s">
        <v>308</v>
      </c>
    </row>
    <row r="22" spans="2:10" x14ac:dyDescent="0.2">
      <c r="B22" t="s">
        <v>1796</v>
      </c>
    </row>
    <row r="23" spans="2:10" x14ac:dyDescent="0.2">
      <c r="B23" t="s">
        <v>1797</v>
      </c>
    </row>
    <row r="24" spans="2:10" x14ac:dyDescent="0.2">
      <c r="B24" t="s">
        <v>309</v>
      </c>
    </row>
    <row r="25" spans="2:10" x14ac:dyDescent="0.2">
      <c r="B25" t="s">
        <v>310</v>
      </c>
    </row>
    <row r="26" spans="2:10" x14ac:dyDescent="0.2">
      <c r="B26" s="61"/>
    </row>
    <row r="27" spans="2:10" ht="13.5" thickBot="1" x14ac:dyDescent="0.25">
      <c r="B27" s="2" t="s">
        <v>3355</v>
      </c>
      <c r="C27" s="2"/>
      <c r="D27" s="2"/>
      <c r="E27" s="2"/>
      <c r="F27" s="2"/>
      <c r="G27" s="2"/>
      <c r="H27" s="2"/>
      <c r="I27" s="2"/>
      <c r="J27" s="2"/>
    </row>
    <row r="28" spans="2:10" x14ac:dyDescent="0.2">
      <c r="B28" t="s">
        <v>2424</v>
      </c>
    </row>
    <row r="29" spans="2:10" x14ac:dyDescent="0.2">
      <c r="B29" s="61"/>
    </row>
    <row r="30" spans="2:10" ht="13.5" thickBot="1" x14ac:dyDescent="0.25">
      <c r="B30" s="2" t="s">
        <v>1001</v>
      </c>
      <c r="C30" s="2"/>
      <c r="D30" s="2"/>
      <c r="E30" s="2"/>
      <c r="F30" s="2"/>
      <c r="G30" s="2"/>
      <c r="H30" s="2"/>
      <c r="I30" s="2"/>
      <c r="J30" s="2"/>
    </row>
    <row r="31" spans="2:10" x14ac:dyDescent="0.2">
      <c r="B31" t="s">
        <v>311</v>
      </c>
    </row>
    <row r="32" spans="2:10" x14ac:dyDescent="0.2">
      <c r="B32" t="s">
        <v>312</v>
      </c>
    </row>
    <row r="33" spans="2:10" x14ac:dyDescent="0.2">
      <c r="B33" t="s">
        <v>313</v>
      </c>
    </row>
    <row r="34" spans="2:10" x14ac:dyDescent="0.2">
      <c r="B34" t="s">
        <v>314</v>
      </c>
    </row>
    <row r="35" spans="2:10" x14ac:dyDescent="0.2">
      <c r="B35" t="s">
        <v>315</v>
      </c>
    </row>
    <row r="37" spans="2:10" ht="13.5" thickBot="1" x14ac:dyDescent="0.25">
      <c r="C37" s="315" t="s">
        <v>316</v>
      </c>
      <c r="E37" s="267" t="s">
        <v>317</v>
      </c>
      <c r="F37" s="267"/>
      <c r="G37" s="267"/>
      <c r="H37" s="267"/>
      <c r="I37" s="267"/>
      <c r="J37" s="267"/>
    </row>
    <row r="38" spans="2:10" ht="14.25" thickTop="1" thickBot="1" x14ac:dyDescent="0.25">
      <c r="C38" s="326" t="s">
        <v>3361</v>
      </c>
      <c r="E38" s="327">
        <v>5</v>
      </c>
      <c r="F38" s="328">
        <v>10</v>
      </c>
      <c r="G38" s="328">
        <v>15</v>
      </c>
      <c r="H38" s="328">
        <v>20</v>
      </c>
      <c r="I38" s="328">
        <v>25</v>
      </c>
      <c r="J38" s="329">
        <v>30</v>
      </c>
    </row>
    <row r="39" spans="2:10" ht="13.5" thickTop="1" x14ac:dyDescent="0.2">
      <c r="C39" s="330" t="s">
        <v>3362</v>
      </c>
    </row>
    <row r="40" spans="2:10" x14ac:dyDescent="0.2">
      <c r="C40" s="330" t="s">
        <v>3363</v>
      </c>
    </row>
    <row r="41" spans="2:10" x14ac:dyDescent="0.2">
      <c r="B41" s="49"/>
      <c r="C41" s="330" t="s">
        <v>1952</v>
      </c>
      <c r="E41" s="20"/>
      <c r="F41" s="59" t="s">
        <v>318</v>
      </c>
      <c r="G41" s="7" t="s">
        <v>3363</v>
      </c>
    </row>
    <row r="42" spans="2:10" x14ac:dyDescent="0.2">
      <c r="C42" s="330" t="s">
        <v>3134</v>
      </c>
      <c r="E42" s="20"/>
      <c r="F42" s="59" t="s">
        <v>319</v>
      </c>
      <c r="G42" s="8">
        <f>LOOKUP(G41,C38:C43,E38:J38)</f>
        <v>15</v>
      </c>
    </row>
    <row r="43" spans="2:10" ht="13.5" thickBot="1" x14ac:dyDescent="0.25">
      <c r="C43" s="331" t="s">
        <v>3136</v>
      </c>
      <c r="G43" s="13" t="s">
        <v>320</v>
      </c>
    </row>
    <row r="44" spans="2:10" ht="13.5" thickTop="1" x14ac:dyDescent="0.2"/>
    <row r="46" spans="2:10" ht="13.5" thickBot="1" x14ac:dyDescent="0.25">
      <c r="B46" s="2" t="s">
        <v>287</v>
      </c>
      <c r="C46" s="2"/>
      <c r="D46" s="2"/>
      <c r="E46" s="2"/>
      <c r="F46" s="2"/>
      <c r="G46" s="2"/>
      <c r="H46" s="2"/>
      <c r="I46" s="2"/>
      <c r="J46" s="2"/>
    </row>
    <row r="47" spans="2:10" x14ac:dyDescent="0.2">
      <c r="B47" t="s">
        <v>288</v>
      </c>
    </row>
    <row r="48" spans="2:10" x14ac:dyDescent="0.2">
      <c r="B48" t="s">
        <v>289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6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K91"/>
  <sheetViews>
    <sheetView showGridLines="0" workbookViewId="0">
      <pane ySplit="1" topLeftCell="A59" activePane="bottomLeft" state="frozen"/>
      <selection activeCell="A3" sqref="A3"/>
      <selection pane="bottomLeft" activeCell="B1" sqref="B1"/>
    </sheetView>
  </sheetViews>
  <sheetFormatPr defaultRowHeight="12.75" x14ac:dyDescent="0.2"/>
  <cols>
    <col min="1" max="1" width="2.7109375" customWidth="1"/>
    <col min="2" max="10" width="9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13.5" thickBot="1" x14ac:dyDescent="0.25">
      <c r="D3" s="6" t="s">
        <v>1946</v>
      </c>
      <c r="E3" s="6" t="s">
        <v>3555</v>
      </c>
      <c r="F3" s="6" t="s">
        <v>3556</v>
      </c>
      <c r="G3" s="6" t="s">
        <v>3557</v>
      </c>
    </row>
    <row r="4" spans="1:11" ht="13.5" thickTop="1" x14ac:dyDescent="0.2">
      <c r="D4" s="304" t="s">
        <v>3361</v>
      </c>
      <c r="E4" s="305">
        <v>10</v>
      </c>
      <c r="F4" s="305">
        <v>80</v>
      </c>
      <c r="G4" s="306">
        <v>97</v>
      </c>
    </row>
    <row r="5" spans="1:11" x14ac:dyDescent="0.2">
      <c r="D5" s="307" t="s">
        <v>3362</v>
      </c>
      <c r="E5" s="7">
        <v>20</v>
      </c>
      <c r="F5" s="7">
        <v>90</v>
      </c>
      <c r="G5" s="308">
        <v>69</v>
      </c>
    </row>
    <row r="6" spans="1:11" x14ac:dyDescent="0.2">
      <c r="D6" s="307" t="s">
        <v>3363</v>
      </c>
      <c r="E6" s="7">
        <v>30</v>
      </c>
      <c r="F6" s="7">
        <v>100</v>
      </c>
      <c r="G6" s="308">
        <v>45</v>
      </c>
    </row>
    <row r="7" spans="1:11" x14ac:dyDescent="0.2">
      <c r="D7" s="307" t="s">
        <v>1952</v>
      </c>
      <c r="E7" s="7">
        <v>40</v>
      </c>
      <c r="F7" s="7">
        <v>110</v>
      </c>
      <c r="G7" s="308">
        <v>51</v>
      </c>
    </row>
    <row r="8" spans="1:11" x14ac:dyDescent="0.2">
      <c r="D8" s="307" t="s">
        <v>3134</v>
      </c>
      <c r="E8" s="7">
        <v>50</v>
      </c>
      <c r="F8" s="7">
        <v>120</v>
      </c>
      <c r="G8" s="308">
        <v>77</v>
      </c>
    </row>
    <row r="9" spans="1:11" x14ac:dyDescent="0.2">
      <c r="D9" s="307" t="s">
        <v>1774</v>
      </c>
      <c r="E9" s="7">
        <v>60</v>
      </c>
      <c r="F9" s="7">
        <v>130</v>
      </c>
      <c r="G9" s="308">
        <v>28</v>
      </c>
    </row>
    <row r="10" spans="1:11" ht="13.5" thickBot="1" x14ac:dyDescent="0.25">
      <c r="D10" s="309" t="s">
        <v>3137</v>
      </c>
      <c r="E10" s="310">
        <v>70</v>
      </c>
      <c r="F10" s="310">
        <v>140</v>
      </c>
      <c r="G10" s="311">
        <v>73</v>
      </c>
    </row>
    <row r="11" spans="1:11" ht="13.5" thickTop="1" x14ac:dyDescent="0.2"/>
    <row r="12" spans="1:11" x14ac:dyDescent="0.2">
      <c r="B12" s="20"/>
      <c r="C12" s="162"/>
      <c r="D12" s="162"/>
      <c r="E12" s="21" t="s">
        <v>1775</v>
      </c>
      <c r="F12" s="7" t="s">
        <v>3134</v>
      </c>
    </row>
    <row r="14" spans="1:11" x14ac:dyDescent="0.2">
      <c r="B14" s="20"/>
      <c r="C14" s="162"/>
      <c r="D14" s="162"/>
      <c r="E14" s="21" t="s">
        <v>298</v>
      </c>
      <c r="F14" s="8">
        <f>LOOKUP(F12,D4:G10)</f>
        <v>77</v>
      </c>
      <c r="G14" s="13" t="s">
        <v>1776</v>
      </c>
    </row>
    <row r="16" spans="1:11" ht="13.5" thickBot="1" x14ac:dyDescent="0.25">
      <c r="B16" s="2" t="s">
        <v>2865</v>
      </c>
      <c r="C16" s="2"/>
      <c r="D16" s="2"/>
      <c r="E16" s="2"/>
      <c r="F16" s="2"/>
      <c r="G16" s="2"/>
      <c r="H16" s="2"/>
      <c r="I16" s="2"/>
      <c r="J16" s="2"/>
    </row>
    <row r="17" spans="2:6" x14ac:dyDescent="0.2">
      <c r="B17" t="s">
        <v>1777</v>
      </c>
    </row>
    <row r="18" spans="2:6" x14ac:dyDescent="0.2">
      <c r="B18" t="s">
        <v>1778</v>
      </c>
    </row>
    <row r="20" spans="2:6" x14ac:dyDescent="0.2">
      <c r="B20" t="s">
        <v>1779</v>
      </c>
    </row>
    <row r="21" spans="2:6" x14ac:dyDescent="0.2">
      <c r="B21" t="s">
        <v>1780</v>
      </c>
    </row>
    <row r="23" spans="2:6" x14ac:dyDescent="0.2">
      <c r="B23" t="s">
        <v>1781</v>
      </c>
    </row>
    <row r="24" spans="2:6" x14ac:dyDescent="0.2">
      <c r="B24" t="s">
        <v>1782</v>
      </c>
    </row>
    <row r="26" spans="2:6" x14ac:dyDescent="0.2">
      <c r="B26" t="s">
        <v>299</v>
      </c>
      <c r="F26" t="s">
        <v>300</v>
      </c>
    </row>
    <row r="27" spans="2:6" x14ac:dyDescent="0.2">
      <c r="F27" t="s">
        <v>1783</v>
      </c>
    </row>
    <row r="28" spans="2:6" x14ac:dyDescent="0.2">
      <c r="F28" t="s">
        <v>1784</v>
      </c>
    </row>
    <row r="29" spans="2:6" x14ac:dyDescent="0.2">
      <c r="F29" t="s">
        <v>1785</v>
      </c>
    </row>
    <row r="30" spans="2:6" x14ac:dyDescent="0.2">
      <c r="F30" t="s">
        <v>1786</v>
      </c>
    </row>
    <row r="31" spans="2:6" x14ac:dyDescent="0.2">
      <c r="F31" t="s">
        <v>1787</v>
      </c>
    </row>
    <row r="33" spans="2:10" x14ac:dyDescent="0.2">
      <c r="B33" t="s">
        <v>301</v>
      </c>
    </row>
    <row r="34" spans="2:10" x14ac:dyDescent="0.2">
      <c r="F34" t="s">
        <v>302</v>
      </c>
    </row>
    <row r="35" spans="2:10" x14ac:dyDescent="0.2">
      <c r="F35" t="s">
        <v>1788</v>
      </c>
    </row>
    <row r="36" spans="2:10" x14ac:dyDescent="0.2">
      <c r="F36" t="s">
        <v>1789</v>
      </c>
    </row>
    <row r="38" spans="2:10" x14ac:dyDescent="0.2">
      <c r="B38" t="s">
        <v>303</v>
      </c>
      <c r="F38" t="s">
        <v>304</v>
      </c>
    </row>
    <row r="39" spans="2:10" x14ac:dyDescent="0.2">
      <c r="F39" t="s">
        <v>1790</v>
      </c>
    </row>
    <row r="40" spans="2:10" x14ac:dyDescent="0.2">
      <c r="F40" t="s">
        <v>1791</v>
      </c>
    </row>
    <row r="41" spans="2:10" x14ac:dyDescent="0.2">
      <c r="F41" t="s">
        <v>1792</v>
      </c>
    </row>
    <row r="42" spans="2:10" x14ac:dyDescent="0.2">
      <c r="F42" t="s">
        <v>1793</v>
      </c>
    </row>
    <row r="43" spans="2:10" x14ac:dyDescent="0.2">
      <c r="F43" t="s">
        <v>1794</v>
      </c>
    </row>
    <row r="45" spans="2:10" ht="13.5" thickBot="1" x14ac:dyDescent="0.25">
      <c r="B45" s="2" t="s">
        <v>998</v>
      </c>
      <c r="C45" s="2"/>
      <c r="D45" s="2"/>
      <c r="E45" s="2"/>
      <c r="F45" s="2"/>
      <c r="G45" s="2"/>
      <c r="H45" s="2"/>
      <c r="I45" s="2"/>
      <c r="J45" s="2"/>
    </row>
    <row r="46" spans="2:10" x14ac:dyDescent="0.2">
      <c r="B46" s="61" t="s">
        <v>1795</v>
      </c>
    </row>
    <row r="47" spans="2:10" x14ac:dyDescent="0.2">
      <c r="B47" t="s">
        <v>1796</v>
      </c>
    </row>
    <row r="48" spans="2:10" x14ac:dyDescent="0.2">
      <c r="B48" t="s">
        <v>1797</v>
      </c>
    </row>
    <row r="49" spans="2:10" x14ac:dyDescent="0.2">
      <c r="B49" t="s">
        <v>1798</v>
      </c>
    </row>
    <row r="50" spans="2:10" x14ac:dyDescent="0.2">
      <c r="B50" s="61"/>
    </row>
    <row r="51" spans="2:10" ht="13.5" thickBot="1" x14ac:dyDescent="0.25">
      <c r="B51" s="2" t="s">
        <v>1937</v>
      </c>
      <c r="C51" s="2"/>
      <c r="D51" s="2"/>
      <c r="F51" s="2" t="s">
        <v>1962</v>
      </c>
      <c r="G51" s="2"/>
      <c r="H51" s="2"/>
      <c r="I51" s="2"/>
      <c r="J51" s="2"/>
    </row>
    <row r="52" spans="2:10" x14ac:dyDescent="0.2">
      <c r="B52" t="s">
        <v>1799</v>
      </c>
      <c r="F52" t="s">
        <v>1800</v>
      </c>
    </row>
    <row r="53" spans="2:10" x14ac:dyDescent="0.2">
      <c r="B53" t="s">
        <v>1801</v>
      </c>
      <c r="F53" t="s">
        <v>282</v>
      </c>
    </row>
    <row r="54" spans="2:10" x14ac:dyDescent="0.2">
      <c r="B54" t="s">
        <v>283</v>
      </c>
      <c r="F54" t="s">
        <v>284</v>
      </c>
    </row>
    <row r="55" spans="2:10" ht="13.5" thickBot="1" x14ac:dyDescent="0.25">
      <c r="B55" t="s">
        <v>285</v>
      </c>
    </row>
    <row r="56" spans="2:10" ht="13.5" thickTop="1" x14ac:dyDescent="0.2">
      <c r="B56" t="s">
        <v>286</v>
      </c>
      <c r="F56" s="49"/>
      <c r="G56" s="312" t="s">
        <v>3361</v>
      </c>
      <c r="H56" s="313" t="s">
        <v>3362</v>
      </c>
      <c r="I56" s="313" t="s">
        <v>3363</v>
      </c>
      <c r="J56" s="314" t="s">
        <v>1952</v>
      </c>
    </row>
    <row r="57" spans="2:10" ht="13.5" thickBot="1" x14ac:dyDescent="0.25">
      <c r="B57" s="49"/>
      <c r="C57" s="315" t="s">
        <v>3555</v>
      </c>
      <c r="F57" s="315" t="s">
        <v>3555</v>
      </c>
      <c r="G57" s="316">
        <v>100</v>
      </c>
      <c r="H57" s="317">
        <v>100</v>
      </c>
      <c r="I57" s="317">
        <v>100</v>
      </c>
      <c r="J57" s="318">
        <v>100</v>
      </c>
    </row>
    <row r="58" spans="2:10" ht="13.5" thickTop="1" x14ac:dyDescent="0.2">
      <c r="B58" s="312" t="s">
        <v>3361</v>
      </c>
      <c r="C58" s="314">
        <v>100</v>
      </c>
    </row>
    <row r="59" spans="2:10" x14ac:dyDescent="0.2">
      <c r="B59" s="319" t="s">
        <v>3362</v>
      </c>
      <c r="C59" s="320">
        <v>100</v>
      </c>
    </row>
    <row r="60" spans="2:10" x14ac:dyDescent="0.2">
      <c r="B60" s="319" t="s">
        <v>3363</v>
      </c>
      <c r="C60" s="320">
        <v>100</v>
      </c>
    </row>
    <row r="61" spans="2:10" x14ac:dyDescent="0.2">
      <c r="B61" s="319" t="s">
        <v>1952</v>
      </c>
      <c r="C61" s="320">
        <v>100</v>
      </c>
    </row>
    <row r="62" spans="2:10" x14ac:dyDescent="0.2">
      <c r="B62" s="319" t="s">
        <v>3134</v>
      </c>
      <c r="C62" s="320">
        <v>100</v>
      </c>
    </row>
    <row r="63" spans="2:10" ht="13.5" thickBot="1" x14ac:dyDescent="0.25">
      <c r="B63" s="316" t="s">
        <v>3136</v>
      </c>
      <c r="C63" s="318">
        <v>100</v>
      </c>
    </row>
    <row r="64" spans="2:10" ht="13.5" thickTop="1" x14ac:dyDescent="0.2"/>
    <row r="65" spans="2:10" ht="13.5" thickBot="1" x14ac:dyDescent="0.25">
      <c r="B65" s="2" t="s">
        <v>3355</v>
      </c>
      <c r="C65" s="2"/>
      <c r="D65" s="2"/>
      <c r="E65" s="2"/>
      <c r="F65" s="2"/>
      <c r="G65" s="2"/>
      <c r="H65" s="2"/>
      <c r="I65" s="2"/>
      <c r="J65" s="2"/>
    </row>
    <row r="66" spans="2:10" x14ac:dyDescent="0.2">
      <c r="B66" t="s">
        <v>2424</v>
      </c>
    </row>
    <row r="68" spans="2:10" ht="13.5" thickBot="1" x14ac:dyDescent="0.25">
      <c r="B68" s="2" t="s">
        <v>287</v>
      </c>
      <c r="C68" s="2"/>
      <c r="D68" s="2"/>
      <c r="E68" s="2"/>
      <c r="F68" s="2"/>
      <c r="G68" s="2"/>
      <c r="H68" s="2"/>
      <c r="I68" s="2"/>
      <c r="J68" s="2"/>
    </row>
    <row r="69" spans="2:10" x14ac:dyDescent="0.2">
      <c r="B69" t="s">
        <v>288</v>
      </c>
    </row>
    <row r="70" spans="2:10" x14ac:dyDescent="0.2">
      <c r="B70" t="s">
        <v>289</v>
      </c>
    </row>
    <row r="72" spans="2:10" x14ac:dyDescent="0.2">
      <c r="B72" t="s">
        <v>290</v>
      </c>
    </row>
    <row r="73" spans="2:10" x14ac:dyDescent="0.2">
      <c r="B73" t="s">
        <v>291</v>
      </c>
    </row>
    <row r="75" spans="2:10" x14ac:dyDescent="0.2">
      <c r="B75" t="s">
        <v>292</v>
      </c>
    </row>
    <row r="76" spans="2:10" x14ac:dyDescent="0.2">
      <c r="B76" t="s">
        <v>293</v>
      </c>
    </row>
    <row r="78" spans="2:10" x14ac:dyDescent="0.2">
      <c r="B78" s="188" t="s">
        <v>1013</v>
      </c>
      <c r="G78" s="188" t="s">
        <v>1024</v>
      </c>
    </row>
    <row r="79" spans="2:10" ht="13.5" thickBot="1" x14ac:dyDescent="0.25">
      <c r="B79" s="6" t="s">
        <v>1946</v>
      </c>
      <c r="C79" s="6" t="s">
        <v>3555</v>
      </c>
      <c r="D79" s="6" t="s">
        <v>3556</v>
      </c>
      <c r="E79" s="6" t="s">
        <v>3557</v>
      </c>
      <c r="G79" s="6" t="s">
        <v>1946</v>
      </c>
      <c r="H79" s="6" t="s">
        <v>3555</v>
      </c>
      <c r="I79" s="6" t="s">
        <v>3556</v>
      </c>
      <c r="J79" s="6" t="s">
        <v>3557</v>
      </c>
    </row>
    <row r="80" spans="2:10" ht="13.5" thickTop="1" x14ac:dyDescent="0.2">
      <c r="B80" s="304" t="s">
        <v>3361</v>
      </c>
      <c r="C80" s="305">
        <v>10</v>
      </c>
      <c r="D80" s="305">
        <v>80</v>
      </c>
      <c r="E80" s="306">
        <v>97</v>
      </c>
      <c r="G80" s="304" t="s">
        <v>1952</v>
      </c>
      <c r="H80" s="305">
        <v>40</v>
      </c>
      <c r="I80" s="305">
        <v>110</v>
      </c>
      <c r="J80" s="306">
        <v>51</v>
      </c>
    </row>
    <row r="81" spans="2:10" x14ac:dyDescent="0.2">
      <c r="B81" s="307" t="s">
        <v>3362</v>
      </c>
      <c r="C81" s="7">
        <v>20</v>
      </c>
      <c r="D81" s="7">
        <v>90</v>
      </c>
      <c r="E81" s="308">
        <v>69</v>
      </c>
      <c r="G81" s="307" t="s">
        <v>3134</v>
      </c>
      <c r="H81" s="7">
        <v>50</v>
      </c>
      <c r="I81" s="7">
        <v>120</v>
      </c>
      <c r="J81" s="308">
        <v>77</v>
      </c>
    </row>
    <row r="82" spans="2:10" x14ac:dyDescent="0.2">
      <c r="B82" s="307" t="s">
        <v>3363</v>
      </c>
      <c r="C82" s="7">
        <v>30</v>
      </c>
      <c r="D82" s="7">
        <v>100</v>
      </c>
      <c r="E82" s="308">
        <v>45</v>
      </c>
      <c r="G82" s="307" t="s">
        <v>3361</v>
      </c>
      <c r="H82" s="7">
        <v>10</v>
      </c>
      <c r="I82" s="7">
        <v>80</v>
      </c>
      <c r="J82" s="308">
        <v>97</v>
      </c>
    </row>
    <row r="83" spans="2:10" x14ac:dyDescent="0.2">
      <c r="B83" s="307" t="s">
        <v>1952</v>
      </c>
      <c r="C83" s="7">
        <v>40</v>
      </c>
      <c r="D83" s="7">
        <v>110</v>
      </c>
      <c r="E83" s="308">
        <v>51</v>
      </c>
      <c r="G83" s="307" t="s">
        <v>3362</v>
      </c>
      <c r="H83" s="7">
        <v>20</v>
      </c>
      <c r="I83" s="7">
        <v>90</v>
      </c>
      <c r="J83" s="308">
        <v>69</v>
      </c>
    </row>
    <row r="84" spans="2:10" x14ac:dyDescent="0.2">
      <c r="B84" s="307" t="s">
        <v>3134</v>
      </c>
      <c r="C84" s="7">
        <v>50</v>
      </c>
      <c r="D84" s="7">
        <v>120</v>
      </c>
      <c r="E84" s="308">
        <v>77</v>
      </c>
      <c r="G84" s="307" t="s">
        <v>3363</v>
      </c>
      <c r="H84" s="7">
        <v>30</v>
      </c>
      <c r="I84" s="7">
        <v>100</v>
      </c>
      <c r="J84" s="308">
        <v>45</v>
      </c>
    </row>
    <row r="85" spans="2:10" x14ac:dyDescent="0.2">
      <c r="B85" s="307" t="s">
        <v>1774</v>
      </c>
      <c r="C85" s="7">
        <v>60</v>
      </c>
      <c r="D85" s="7">
        <v>130</v>
      </c>
      <c r="E85" s="308">
        <v>28</v>
      </c>
      <c r="G85" s="307" t="s">
        <v>1774</v>
      </c>
      <c r="H85" s="7">
        <v>60</v>
      </c>
      <c r="I85" s="7">
        <v>130</v>
      </c>
      <c r="J85" s="308">
        <v>28</v>
      </c>
    </row>
    <row r="86" spans="2:10" ht="13.5" thickBot="1" x14ac:dyDescent="0.25">
      <c r="B86" s="309" t="s">
        <v>3137</v>
      </c>
      <c r="C86" s="310">
        <v>70</v>
      </c>
      <c r="D86" s="310">
        <v>140</v>
      </c>
      <c r="E86" s="311">
        <v>73</v>
      </c>
      <c r="G86" s="309" t="s">
        <v>3137</v>
      </c>
      <c r="H86" s="310">
        <v>70</v>
      </c>
      <c r="I86" s="310">
        <v>140</v>
      </c>
      <c r="J86" s="311">
        <v>73</v>
      </c>
    </row>
    <row r="87" spans="2:10" ht="13.5" thickTop="1" x14ac:dyDescent="0.2"/>
    <row r="88" spans="2:10" x14ac:dyDescent="0.2">
      <c r="B88" s="79" t="s">
        <v>294</v>
      </c>
      <c r="C88" s="7" t="s">
        <v>3134</v>
      </c>
      <c r="G88" s="79" t="s">
        <v>294</v>
      </c>
      <c r="H88" s="7" t="s">
        <v>3134</v>
      </c>
    </row>
    <row r="90" spans="2:10" x14ac:dyDescent="0.2">
      <c r="B90" s="79" t="s">
        <v>295</v>
      </c>
      <c r="C90" s="8">
        <f>LOOKUP(C88,B80:E86)</f>
        <v>77</v>
      </c>
      <c r="G90" s="79" t="s">
        <v>295</v>
      </c>
      <c r="H90" s="8">
        <f>LOOKUP(H88,G80:J86)</f>
        <v>45</v>
      </c>
    </row>
    <row r="91" spans="2:10" x14ac:dyDescent="0.2">
      <c r="C91" s="13" t="s">
        <v>296</v>
      </c>
      <c r="H91" s="13" t="s">
        <v>297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J36"/>
  <sheetViews>
    <sheetView showGridLines="0" workbookViewId="0">
      <pane ySplit="1" topLeftCell="A2" activePane="bottomLeft" state="frozen"/>
      <selection activeCell="A3" sqref="A3"/>
      <selection pane="bottomLeft" activeCell="H4" sqref="H4"/>
    </sheetView>
  </sheetViews>
  <sheetFormatPr defaultRowHeight="12.75" x14ac:dyDescent="0.2"/>
  <cols>
    <col min="1" max="1" width="2.7109375" customWidth="1"/>
    <col min="3" max="3" width="13.7109375" customWidth="1"/>
    <col min="4" max="4" width="9.42578125" customWidth="1"/>
    <col min="9" max="9" width="12.7109375" customWidth="1"/>
  </cols>
  <sheetData>
    <row r="1" spans="1:10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1462</v>
      </c>
      <c r="D3" s="6" t="s">
        <v>1595</v>
      </c>
    </row>
    <row r="4" spans="1:10" x14ac:dyDescent="0.2">
      <c r="C4" s="7" t="s">
        <v>1908</v>
      </c>
      <c r="D4" s="8">
        <f>LEN(C4)</f>
        <v>10</v>
      </c>
      <c r="E4" s="13" t="s">
        <v>3428</v>
      </c>
    </row>
    <row r="5" spans="1:10" x14ac:dyDescent="0.2">
      <c r="C5" s="7" t="s">
        <v>1910</v>
      </c>
      <c r="D5" s="8">
        <f>LEN(C5)</f>
        <v>9</v>
      </c>
      <c r="E5" s="13" t="s">
        <v>3429</v>
      </c>
    </row>
    <row r="6" spans="1:10" x14ac:dyDescent="0.2">
      <c r="C6" s="7" t="s">
        <v>1912</v>
      </c>
      <c r="D6" s="8">
        <f>LEN(C6)</f>
        <v>14</v>
      </c>
      <c r="E6" s="13" t="s">
        <v>3430</v>
      </c>
    </row>
    <row r="7" spans="1:10" x14ac:dyDescent="0.2">
      <c r="C7" s="7" t="s">
        <v>3414</v>
      </c>
      <c r="D7" s="8">
        <f>LEN(C7)</f>
        <v>7</v>
      </c>
      <c r="E7" s="13" t="s">
        <v>3431</v>
      </c>
    </row>
    <row r="8" spans="1:10" x14ac:dyDescent="0.2">
      <c r="C8" s="7" t="s">
        <v>3416</v>
      </c>
      <c r="D8" s="8">
        <f>LEN(C8)</f>
        <v>6</v>
      </c>
      <c r="E8" s="13" t="s">
        <v>3432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621</v>
      </c>
    </row>
    <row r="13" spans="1:10" ht="13.5" thickBot="1" x14ac:dyDescent="0.25">
      <c r="B13" s="2" t="s">
        <v>998</v>
      </c>
      <c r="C13" s="2"/>
      <c r="D13" s="2"/>
      <c r="E13" s="2"/>
      <c r="F13" s="2"/>
      <c r="G13" s="2"/>
      <c r="H13" s="2"/>
      <c r="I13" s="2"/>
    </row>
    <row r="14" spans="1:10" x14ac:dyDescent="0.2">
      <c r="B14" s="61" t="s">
        <v>622</v>
      </c>
    </row>
    <row r="16" spans="1:10" ht="13.5" thickBot="1" x14ac:dyDescent="0.25">
      <c r="B16" s="2" t="s">
        <v>3355</v>
      </c>
      <c r="C16" s="2"/>
      <c r="D16" s="2"/>
      <c r="E16" s="2"/>
      <c r="F16" s="2"/>
      <c r="G16" s="2"/>
      <c r="H16" s="2"/>
      <c r="I16" s="2"/>
    </row>
    <row r="17" spans="2:9" x14ac:dyDescent="0.2">
      <c r="B17" t="s">
        <v>623</v>
      </c>
    </row>
    <row r="19" spans="2:9" ht="13.5" thickBot="1" x14ac:dyDescent="0.25">
      <c r="B19" s="2" t="s">
        <v>1001</v>
      </c>
      <c r="C19" s="2"/>
      <c r="D19" s="2"/>
      <c r="E19" s="2"/>
      <c r="F19" s="2"/>
      <c r="G19" s="2"/>
      <c r="H19" s="2"/>
      <c r="I19" s="2"/>
    </row>
    <row r="20" spans="2:9" x14ac:dyDescent="0.2">
      <c r="B20" t="s">
        <v>624</v>
      </c>
    </row>
    <row r="21" spans="2:9" x14ac:dyDescent="0.2">
      <c r="B21" t="s">
        <v>1762</v>
      </c>
    </row>
    <row r="23" spans="2:9" x14ac:dyDescent="0.2">
      <c r="C23" s="6" t="s">
        <v>1763</v>
      </c>
    </row>
    <row r="24" spans="2:9" x14ac:dyDescent="0.2">
      <c r="C24" s="7" t="s">
        <v>1912</v>
      </c>
      <c r="D24" s="8">
        <f>FIND(" ",C24)</f>
        <v>6</v>
      </c>
      <c r="E24" s="13" t="s">
        <v>1764</v>
      </c>
    </row>
    <row r="25" spans="2:9" x14ac:dyDescent="0.2">
      <c r="E25" t="s">
        <v>1765</v>
      </c>
    </row>
    <row r="27" spans="2:9" x14ac:dyDescent="0.2">
      <c r="C27" s="7" t="s">
        <v>1912</v>
      </c>
      <c r="D27" s="8">
        <f>LEN(C24)-FIND(" ",C24)</f>
        <v>8</v>
      </c>
      <c r="E27" s="13" t="s">
        <v>1766</v>
      </c>
    </row>
    <row r="28" spans="2:9" x14ac:dyDescent="0.2">
      <c r="E28" t="s">
        <v>1767</v>
      </c>
    </row>
    <row r="29" spans="2:9" x14ac:dyDescent="0.2">
      <c r="E29" t="s">
        <v>1768</v>
      </c>
    </row>
    <row r="30" spans="2:9" x14ac:dyDescent="0.2">
      <c r="E30" t="s">
        <v>1769</v>
      </c>
    </row>
    <row r="32" spans="2:9" x14ac:dyDescent="0.2">
      <c r="E32" s="13" t="s">
        <v>1918</v>
      </c>
    </row>
    <row r="33" spans="5:5" x14ac:dyDescent="0.2">
      <c r="E33" t="s">
        <v>1770</v>
      </c>
    </row>
    <row r="34" spans="5:5" x14ac:dyDescent="0.2">
      <c r="E34" t="s">
        <v>1771</v>
      </c>
    </row>
    <row r="35" spans="5:5" x14ac:dyDescent="0.2">
      <c r="E35" t="s">
        <v>1772</v>
      </c>
    </row>
    <row r="36" spans="5:5" x14ac:dyDescent="0.2">
      <c r="E36" t="s">
        <v>1773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J29"/>
  <sheetViews>
    <sheetView showGridLines="0" workbookViewId="0">
      <pane ySplit="1" topLeftCell="A2" activePane="bottomLeft" state="frozen"/>
      <selection activeCell="A3" sqref="A3"/>
      <selection pane="bottomLeft" activeCell="H5" sqref="H5"/>
    </sheetView>
  </sheetViews>
  <sheetFormatPr defaultRowHeight="12.75" x14ac:dyDescent="0.2"/>
  <cols>
    <col min="1" max="1" width="2.5703125" customWidth="1"/>
    <col min="3" max="3" width="13" customWidth="1"/>
    <col min="4" max="4" width="11" customWidth="1"/>
    <col min="9" max="9" width="12" customWidth="1"/>
  </cols>
  <sheetData>
    <row r="1" spans="1:10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38.25" x14ac:dyDescent="0.2">
      <c r="C3" s="6" t="s">
        <v>1462</v>
      </c>
      <c r="D3" s="57" t="s">
        <v>3409</v>
      </c>
      <c r="E3" s="6" t="s">
        <v>3410</v>
      </c>
    </row>
    <row r="4" spans="1:10" x14ac:dyDescent="0.2">
      <c r="C4" s="7" t="s">
        <v>1908</v>
      </c>
      <c r="D4" s="7">
        <v>1</v>
      </c>
      <c r="E4" s="8" t="str">
        <f>LEFT(C4,D4)</f>
        <v>A</v>
      </c>
      <c r="F4" s="13" t="s">
        <v>3411</v>
      </c>
    </row>
    <row r="5" spans="1:10" x14ac:dyDescent="0.2">
      <c r="C5" s="7" t="s">
        <v>1908</v>
      </c>
      <c r="D5" s="7">
        <v>2</v>
      </c>
      <c r="E5" s="8" t="str">
        <f>LEFT(C5,D5)</f>
        <v>Al</v>
      </c>
      <c r="F5" s="13" t="s">
        <v>3412</v>
      </c>
    </row>
    <row r="6" spans="1:10" x14ac:dyDescent="0.2">
      <c r="C6" s="7" t="s">
        <v>1908</v>
      </c>
      <c r="D6" s="7">
        <v>3</v>
      </c>
      <c r="E6" s="8" t="str">
        <f>LEFT(C6,D6)</f>
        <v>Ala</v>
      </c>
      <c r="F6" s="13" t="s">
        <v>3413</v>
      </c>
    </row>
    <row r="7" spans="1:10" x14ac:dyDescent="0.2">
      <c r="C7" s="7" t="s">
        <v>3414</v>
      </c>
      <c r="D7" s="7">
        <v>6</v>
      </c>
      <c r="E7" s="8" t="str">
        <f>LEFT(C7,D7)</f>
        <v>Cardif</v>
      </c>
      <c r="F7" s="13" t="s">
        <v>3415</v>
      </c>
    </row>
    <row r="8" spans="1:10" x14ac:dyDescent="0.2">
      <c r="C8" s="7" t="s">
        <v>3416</v>
      </c>
      <c r="D8" s="7">
        <v>4</v>
      </c>
      <c r="E8" s="8" t="str">
        <f>LEFT(C8,D8)</f>
        <v>ABC1</v>
      </c>
      <c r="F8" s="13" t="s">
        <v>3417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3418</v>
      </c>
    </row>
    <row r="12" spans="1:10" x14ac:dyDescent="0.2">
      <c r="B12" t="s">
        <v>3419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3420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  <row r="20" spans="2:9" ht="13.5" thickBot="1" x14ac:dyDescent="0.25">
      <c r="B20" s="2" t="s">
        <v>1001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3421</v>
      </c>
    </row>
    <row r="22" spans="2:9" x14ac:dyDescent="0.2">
      <c r="B22" t="s">
        <v>3422</v>
      </c>
    </row>
    <row r="23" spans="2:9" x14ac:dyDescent="0.2">
      <c r="B23" t="s">
        <v>3423</v>
      </c>
    </row>
    <row r="24" spans="2:9" x14ac:dyDescent="0.2">
      <c r="B24" t="s">
        <v>3424</v>
      </c>
    </row>
    <row r="26" spans="2:9" x14ac:dyDescent="0.2">
      <c r="C26" s="6" t="s">
        <v>1906</v>
      </c>
      <c r="D26" s="6" t="s">
        <v>1907</v>
      </c>
    </row>
    <row r="27" spans="2:9" x14ac:dyDescent="0.2">
      <c r="C27" s="7" t="s">
        <v>1908</v>
      </c>
      <c r="D27" s="8" t="str">
        <f>LEFT(C27,FIND(" ",C27)-1)</f>
        <v>Alan</v>
      </c>
      <c r="E27" s="13" t="s">
        <v>3425</v>
      </c>
    </row>
    <row r="28" spans="2:9" x14ac:dyDescent="0.2">
      <c r="C28" s="7" t="s">
        <v>1910</v>
      </c>
      <c r="D28" s="8" t="str">
        <f>LEFT(C28,FIND(" ",C28)-1)</f>
        <v>Bob</v>
      </c>
      <c r="E28" s="13" t="s">
        <v>3426</v>
      </c>
    </row>
    <row r="29" spans="2:9" x14ac:dyDescent="0.2">
      <c r="C29" s="7" t="s">
        <v>1912</v>
      </c>
      <c r="D29" s="8" t="str">
        <f>LEFT(C29,FIND(" ",C29)-1)</f>
        <v>Carol</v>
      </c>
      <c r="E29" s="13" t="s">
        <v>3427</v>
      </c>
    </row>
  </sheetData>
  <sheetProtection password="F7A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J16"/>
  <sheetViews>
    <sheetView showGridLines="0" workbookViewId="0">
      <pane ySplit="1" topLeftCell="A2" activePane="bottomLeft" state="frozen"/>
      <selection activeCell="A3" sqref="A3"/>
      <selection pane="bottomLeft" activeCell="H3" sqref="H3"/>
    </sheetView>
  </sheetViews>
  <sheetFormatPr defaultRowHeight="12.75" x14ac:dyDescent="0.2"/>
  <cols>
    <col min="1" max="1" width="2.7109375" customWidth="1"/>
    <col min="5" max="5" width="10.5703125" customWidth="1"/>
    <col min="6" max="6" width="12.85546875" customWidth="1"/>
  </cols>
  <sheetData>
    <row r="1" spans="1:10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38.25" x14ac:dyDescent="0.2">
      <c r="C3" s="158" t="s">
        <v>2517</v>
      </c>
      <c r="D3" s="160"/>
      <c r="E3" s="57" t="s">
        <v>3402</v>
      </c>
    </row>
    <row r="4" spans="1:10" x14ac:dyDescent="0.2">
      <c r="C4" s="7">
        <v>6</v>
      </c>
      <c r="D4" s="7">
        <v>20</v>
      </c>
      <c r="E4" s="8">
        <f>LCM(C4,D4)</f>
        <v>60</v>
      </c>
      <c r="F4" s="13" t="s">
        <v>3403</v>
      </c>
    </row>
    <row r="5" spans="1:10" x14ac:dyDescent="0.2">
      <c r="C5" s="7">
        <v>12</v>
      </c>
      <c r="D5" s="7">
        <v>18</v>
      </c>
      <c r="E5" s="8">
        <f>LCM(C5,D5)</f>
        <v>36</v>
      </c>
      <c r="F5" s="13" t="s">
        <v>3404</v>
      </c>
    </row>
    <row r="6" spans="1:10" x14ac:dyDescent="0.2">
      <c r="C6" s="7">
        <v>34</v>
      </c>
      <c r="D6" s="7">
        <v>96</v>
      </c>
      <c r="E6" s="8">
        <f>LCM(C6,D6)</f>
        <v>1632</v>
      </c>
      <c r="F6" s="13" t="s">
        <v>3405</v>
      </c>
    </row>
    <row r="8" spans="1:10" ht="13.5" thickBot="1" x14ac:dyDescent="0.25">
      <c r="B8" s="2" t="s">
        <v>2865</v>
      </c>
      <c r="C8" s="2"/>
      <c r="D8" s="2"/>
      <c r="E8" s="2"/>
      <c r="F8" s="2"/>
      <c r="G8" s="2"/>
      <c r="H8" s="2"/>
      <c r="I8" s="2"/>
    </row>
    <row r="9" spans="1:10" x14ac:dyDescent="0.2">
      <c r="B9" t="s">
        <v>3406</v>
      </c>
    </row>
    <row r="10" spans="1:10" x14ac:dyDescent="0.2">
      <c r="B10" t="s">
        <v>3407</v>
      </c>
    </row>
    <row r="12" spans="1:10" ht="13.5" thickBot="1" x14ac:dyDescent="0.25">
      <c r="B12" s="2" t="s">
        <v>998</v>
      </c>
      <c r="C12" s="2"/>
      <c r="D12" s="2"/>
      <c r="E12" s="2"/>
      <c r="F12" s="2"/>
      <c r="G12" s="2"/>
      <c r="H12" s="2"/>
      <c r="I12" s="2"/>
    </row>
    <row r="13" spans="1:10" x14ac:dyDescent="0.2">
      <c r="B13" s="61" t="s">
        <v>3408</v>
      </c>
    </row>
    <row r="15" spans="1:10" ht="13.5" thickBot="1" x14ac:dyDescent="0.25">
      <c r="B15" s="2" t="s">
        <v>3355</v>
      </c>
      <c r="C15" s="2"/>
      <c r="D15" s="2"/>
      <c r="E15" s="2"/>
      <c r="F15" s="2"/>
      <c r="G15" s="2"/>
      <c r="H15" s="2"/>
      <c r="I15" s="2"/>
    </row>
    <row r="16" spans="1:10" x14ac:dyDescent="0.2">
      <c r="B16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J38"/>
  <sheetViews>
    <sheetView showGridLines="0" workbookViewId="0">
      <pane ySplit="1" topLeftCell="A2" activePane="bottomLeft" state="frozen"/>
      <selection activeCell="A3" sqref="A3"/>
      <selection pane="bottomLeft" activeCell="I5" sqref="I5"/>
    </sheetView>
  </sheetViews>
  <sheetFormatPr defaultRowHeight="12.75" x14ac:dyDescent="0.2"/>
  <cols>
    <col min="1" max="1" width="2.7109375" customWidth="1"/>
    <col min="5" max="5" width="16.140625" customWidth="1"/>
  </cols>
  <sheetData>
    <row r="1" spans="1:10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3378</v>
      </c>
      <c r="E3" s="79" t="s">
        <v>3379</v>
      </c>
      <c r="F3" s="8">
        <f>LARGE(C4:C8,1)</f>
        <v>800</v>
      </c>
      <c r="G3" s="13" t="s">
        <v>3380</v>
      </c>
    </row>
    <row r="4" spans="1:10" x14ac:dyDescent="0.2">
      <c r="C4" s="7">
        <v>120</v>
      </c>
      <c r="E4" s="79" t="s">
        <v>3381</v>
      </c>
      <c r="F4" s="8">
        <f>LARGE(C4:C8,2)</f>
        <v>250</v>
      </c>
      <c r="G4" s="13" t="s">
        <v>3382</v>
      </c>
    </row>
    <row r="5" spans="1:10" x14ac:dyDescent="0.2">
      <c r="C5" s="7">
        <v>800</v>
      </c>
      <c r="E5" s="79" t="s">
        <v>3383</v>
      </c>
      <c r="F5" s="8">
        <f>LARGE(C4:C8,3)</f>
        <v>120</v>
      </c>
      <c r="G5" s="13" t="s">
        <v>3384</v>
      </c>
    </row>
    <row r="6" spans="1:10" x14ac:dyDescent="0.2">
      <c r="C6" s="7">
        <v>100</v>
      </c>
      <c r="E6" s="79" t="s">
        <v>3385</v>
      </c>
      <c r="F6" s="8">
        <f>LARGE(C4:C8,4)</f>
        <v>120</v>
      </c>
      <c r="G6" s="13" t="s">
        <v>3386</v>
      </c>
    </row>
    <row r="7" spans="1:10" x14ac:dyDescent="0.2">
      <c r="C7" s="7">
        <v>120</v>
      </c>
      <c r="E7" s="79" t="s">
        <v>3387</v>
      </c>
      <c r="F7" s="8">
        <f>LARGE(C4:C8,5)</f>
        <v>100</v>
      </c>
      <c r="G7" s="13" t="s">
        <v>3388</v>
      </c>
    </row>
    <row r="8" spans="1:10" x14ac:dyDescent="0.2">
      <c r="C8" s="7">
        <v>250</v>
      </c>
    </row>
    <row r="10" spans="1:10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3389</v>
      </c>
    </row>
    <row r="12" spans="1:10" x14ac:dyDescent="0.2">
      <c r="B12" t="s">
        <v>3390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3391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  <row r="20" spans="2:9" ht="13.5" thickBot="1" x14ac:dyDescent="0.25">
      <c r="B20" s="2" t="s">
        <v>1001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3392</v>
      </c>
    </row>
    <row r="23" spans="2:9" x14ac:dyDescent="0.2">
      <c r="C23" s="6" t="s">
        <v>1726</v>
      </c>
      <c r="D23" s="6" t="s">
        <v>3555</v>
      </c>
      <c r="E23" s="6" t="s">
        <v>3556</v>
      </c>
      <c r="F23" s="6" t="s">
        <v>3557</v>
      </c>
    </row>
    <row r="24" spans="2:9" x14ac:dyDescent="0.2">
      <c r="C24" s="6" t="s">
        <v>3356</v>
      </c>
      <c r="D24" s="83">
        <v>5000</v>
      </c>
      <c r="E24" s="83">
        <v>6000</v>
      </c>
      <c r="F24" s="83">
        <v>4500</v>
      </c>
    </row>
    <row r="25" spans="2:9" x14ac:dyDescent="0.2">
      <c r="C25" s="6" t="s">
        <v>3357</v>
      </c>
      <c r="D25" s="83">
        <v>5800</v>
      </c>
      <c r="E25" s="83">
        <v>7000</v>
      </c>
      <c r="F25" s="83">
        <v>3000</v>
      </c>
    </row>
    <row r="26" spans="2:9" x14ac:dyDescent="0.2">
      <c r="C26" s="6" t="s">
        <v>3358</v>
      </c>
      <c r="D26" s="83">
        <v>3500</v>
      </c>
      <c r="E26" s="83">
        <v>2000</v>
      </c>
      <c r="F26" s="83">
        <v>10000</v>
      </c>
    </row>
    <row r="27" spans="2:9" x14ac:dyDescent="0.2">
      <c r="C27" s="6" t="s">
        <v>3359</v>
      </c>
      <c r="D27" s="83">
        <v>12000</v>
      </c>
      <c r="E27" s="83">
        <v>4000</v>
      </c>
      <c r="F27" s="83">
        <v>6000</v>
      </c>
    </row>
    <row r="29" spans="2:9" x14ac:dyDescent="0.2">
      <c r="C29" s="20"/>
      <c r="D29" s="21" t="s">
        <v>3379</v>
      </c>
      <c r="E29" s="252">
        <f>LARGE(D24:F27,1)</f>
        <v>12000</v>
      </c>
      <c r="F29" s="13" t="s">
        <v>3393</v>
      </c>
    </row>
    <row r="30" spans="2:9" x14ac:dyDescent="0.2">
      <c r="C30" s="20"/>
      <c r="D30" s="21" t="s">
        <v>3381</v>
      </c>
      <c r="E30" s="252">
        <f>LARGE(D24:F27,2)</f>
        <v>10000</v>
      </c>
      <c r="F30" s="13" t="s">
        <v>3394</v>
      </c>
    </row>
    <row r="31" spans="2:9" x14ac:dyDescent="0.2">
      <c r="C31" s="20"/>
      <c r="D31" s="21" t="s">
        <v>3383</v>
      </c>
      <c r="E31" s="252">
        <f>LARGE(D24:F27,3)</f>
        <v>7000</v>
      </c>
      <c r="F31" s="13" t="s">
        <v>3395</v>
      </c>
    </row>
    <row r="33" spans="2:9" ht="13.5" thickBot="1" x14ac:dyDescent="0.25">
      <c r="B33" s="2" t="s">
        <v>2659</v>
      </c>
      <c r="C33" s="2"/>
      <c r="D33" s="2"/>
      <c r="E33" s="2"/>
      <c r="F33" s="2"/>
      <c r="G33" s="2"/>
      <c r="H33" s="2"/>
      <c r="I33" s="2"/>
    </row>
    <row r="34" spans="2:9" x14ac:dyDescent="0.2">
      <c r="B34" t="s">
        <v>3396</v>
      </c>
    </row>
    <row r="35" spans="2:9" x14ac:dyDescent="0.2">
      <c r="B35" t="s">
        <v>3397</v>
      </c>
    </row>
    <row r="37" spans="2:9" x14ac:dyDescent="0.2">
      <c r="D37" s="6" t="s">
        <v>3398</v>
      </c>
      <c r="E37" s="252">
        <f>MAX(D24:F27)</f>
        <v>12000</v>
      </c>
      <c r="F37" s="13" t="s">
        <v>3399</v>
      </c>
    </row>
    <row r="38" spans="2:9" x14ac:dyDescent="0.2">
      <c r="D38" s="6" t="s">
        <v>3400</v>
      </c>
      <c r="E38" s="252">
        <f>MIN(D24:F27)</f>
        <v>2000</v>
      </c>
      <c r="F38" s="13" t="s">
        <v>3401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J35"/>
  <sheetViews>
    <sheetView showGridLines="0" workbookViewId="0">
      <pane ySplit="1" topLeftCell="A2" activePane="bottomLeft" state="frozen"/>
      <selection activeCell="A3" sqref="A3"/>
      <selection pane="bottomLeft" activeCell="G7" sqref="G7"/>
    </sheetView>
  </sheetViews>
  <sheetFormatPr defaultRowHeight="12.75" x14ac:dyDescent="0.2"/>
  <cols>
    <col min="1" max="1" width="4.5703125" customWidth="1"/>
    <col min="4" max="4" width="10.85546875" customWidth="1"/>
    <col min="9" max="9" width="14" customWidth="1"/>
  </cols>
  <sheetData>
    <row r="1" spans="1:10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D3" s="6" t="s">
        <v>3690</v>
      </c>
      <c r="E3" s="6" t="s">
        <v>3113</v>
      </c>
    </row>
    <row r="4" spans="1:10" x14ac:dyDescent="0.2">
      <c r="D4" s="7" t="s">
        <v>1029</v>
      </c>
      <c r="E4" s="8" t="b">
        <f>ISTEXT(D4)</f>
        <v>1</v>
      </c>
      <c r="F4" s="13" t="s">
        <v>1413</v>
      </c>
    </row>
    <row r="5" spans="1:10" x14ac:dyDescent="0.2">
      <c r="D5" s="7">
        <v>1</v>
      </c>
      <c r="E5" s="8" t="b">
        <f>ISTEXT(D5)</f>
        <v>0</v>
      </c>
      <c r="F5" s="13" t="s">
        <v>1414</v>
      </c>
    </row>
    <row r="6" spans="1:10" x14ac:dyDescent="0.2">
      <c r="D6" s="161">
        <v>36154</v>
      </c>
      <c r="E6" s="8" t="b">
        <f>ISTEXT(D6)</f>
        <v>0</v>
      </c>
      <c r="F6" s="13" t="s">
        <v>1415</v>
      </c>
    </row>
    <row r="7" spans="1:10" x14ac:dyDescent="0.2">
      <c r="D7" s="7"/>
      <c r="E7" s="8" t="b">
        <f>ISTEXT(D7)</f>
        <v>0</v>
      </c>
      <c r="F7" s="13" t="s">
        <v>1416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1417</v>
      </c>
    </row>
    <row r="11" spans="1:10" x14ac:dyDescent="0.2">
      <c r="B11" t="s">
        <v>1418</v>
      </c>
    </row>
    <row r="12" spans="1:10" x14ac:dyDescent="0.2">
      <c r="B12" t="s">
        <v>1419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s="61" t="s">
        <v>1420</v>
      </c>
    </row>
    <row r="17" spans="2:9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</row>
    <row r="18" spans="2:9" x14ac:dyDescent="0.2">
      <c r="B18" t="s">
        <v>2424</v>
      </c>
    </row>
    <row r="20" spans="2:9" ht="13.5" thickBot="1" x14ac:dyDescent="0.25">
      <c r="B20" s="2" t="s">
        <v>1001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1377</v>
      </c>
    </row>
    <row r="22" spans="2:9" x14ac:dyDescent="0.2">
      <c r="B22" t="s">
        <v>1378</v>
      </c>
    </row>
    <row r="23" spans="2:9" x14ac:dyDescent="0.2">
      <c r="B23" t="s">
        <v>1421</v>
      </c>
    </row>
    <row r="24" spans="2:9" x14ac:dyDescent="0.2">
      <c r="B24" t="s">
        <v>1380</v>
      </c>
    </row>
    <row r="26" spans="2:9" x14ac:dyDescent="0.2">
      <c r="C26" s="6" t="s">
        <v>1381</v>
      </c>
      <c r="D26" s="6" t="s">
        <v>1946</v>
      </c>
      <c r="E26" s="6" t="s">
        <v>1382</v>
      </c>
    </row>
    <row r="27" spans="2:9" x14ac:dyDescent="0.2">
      <c r="C27" s="7">
        <v>1</v>
      </c>
      <c r="D27" s="7" t="s">
        <v>3361</v>
      </c>
      <c r="E27" s="302">
        <v>10000</v>
      </c>
    </row>
    <row r="28" spans="2:9" x14ac:dyDescent="0.2">
      <c r="C28" s="7">
        <v>2</v>
      </c>
      <c r="D28" s="7" t="s">
        <v>3134</v>
      </c>
      <c r="E28" s="302">
        <v>12000</v>
      </c>
    </row>
    <row r="29" spans="2:9" x14ac:dyDescent="0.2">
      <c r="C29" s="7">
        <v>3</v>
      </c>
      <c r="D29" s="7" t="s">
        <v>3363</v>
      </c>
      <c r="E29" s="302">
        <v>8000</v>
      </c>
    </row>
    <row r="30" spans="2:9" x14ac:dyDescent="0.2">
      <c r="C30" s="7">
        <v>4</v>
      </c>
      <c r="D30" s="7" t="s">
        <v>3362</v>
      </c>
      <c r="E30" s="302">
        <v>15000</v>
      </c>
    </row>
    <row r="31" spans="2:9" x14ac:dyDescent="0.2">
      <c r="C31" s="7">
        <v>5</v>
      </c>
      <c r="D31" s="7" t="s">
        <v>1952</v>
      </c>
      <c r="E31" s="302">
        <v>12000</v>
      </c>
    </row>
    <row r="33" spans="2:5" x14ac:dyDescent="0.2">
      <c r="B33" s="20"/>
      <c r="C33" s="162"/>
      <c r="D33" s="21" t="s">
        <v>1383</v>
      </c>
      <c r="E33" s="303">
        <v>3</v>
      </c>
    </row>
    <row r="34" spans="2:5" x14ac:dyDescent="0.2">
      <c r="B34" s="20"/>
      <c r="C34" s="162"/>
      <c r="D34" s="21" t="s">
        <v>1385</v>
      </c>
      <c r="E34" s="271">
        <f>IF(ISTEXT(E33),VLOOKUP(E33,D27:E31,2,FALSE),VLOOKUP(E33,C27:E31,3,FALSE))</f>
        <v>8000</v>
      </c>
    </row>
    <row r="35" spans="2:5" x14ac:dyDescent="0.2">
      <c r="B35" s="13" t="s">
        <v>3377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J21"/>
  <sheetViews>
    <sheetView showGridLines="0" workbookViewId="0">
      <pane ySplit="1" topLeftCell="A2" activePane="bottomLeft" state="frozen"/>
      <selection activeCell="A3" sqref="A3"/>
      <selection pane="bottomLeft" activeCell="G4" sqref="G4"/>
    </sheetView>
  </sheetViews>
  <sheetFormatPr defaultRowHeight="12.75" x14ac:dyDescent="0.2"/>
  <cols>
    <col min="1" max="1" width="3.140625" customWidth="1"/>
    <col min="4" max="4" width="13.28515625" customWidth="1"/>
    <col min="5" max="5" width="15" customWidth="1"/>
    <col min="9" max="9" width="7.5703125" customWidth="1"/>
  </cols>
  <sheetData>
    <row r="1" spans="1:10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D3" s="25" t="b">
        <f>ISREF(A1)</f>
        <v>1</v>
      </c>
      <c r="E3" s="13" t="s">
        <v>1401</v>
      </c>
    </row>
    <row r="4" spans="1:10" x14ac:dyDescent="0.2">
      <c r="D4" s="25" t="b">
        <f>ISREF(#REF!)</f>
        <v>0</v>
      </c>
      <c r="E4" s="13" t="s">
        <v>1402</v>
      </c>
    </row>
    <row r="5" spans="1:10" x14ac:dyDescent="0.2">
      <c r="D5" s="25" t="b">
        <f>ISREF(Hello)</f>
        <v>0</v>
      </c>
      <c r="E5" s="13" t="s">
        <v>1403</v>
      </c>
    </row>
    <row r="6" spans="1:10" x14ac:dyDescent="0.2">
      <c r="D6" s="25" t="b">
        <f>ISREF(10)</f>
        <v>0</v>
      </c>
      <c r="E6" s="13" t="s">
        <v>1404</v>
      </c>
    </row>
    <row r="7" spans="1:10" x14ac:dyDescent="0.2">
      <c r="D7" s="25" t="b">
        <f ca="1">ISREF(NOW())</f>
        <v>0</v>
      </c>
      <c r="E7" s="13" t="s">
        <v>1405</v>
      </c>
    </row>
    <row r="8" spans="1:10" x14ac:dyDescent="0.2">
      <c r="D8" s="25" t="b">
        <f>ISREF("A1")</f>
        <v>0</v>
      </c>
      <c r="E8" s="13" t="s">
        <v>1406</v>
      </c>
    </row>
    <row r="9" spans="1:10" x14ac:dyDescent="0.2">
      <c r="D9" s="25" t="b">
        <f>ISREF(_XX99)</f>
        <v>0</v>
      </c>
      <c r="E9" s="13" t="s">
        <v>1407</v>
      </c>
    </row>
    <row r="11" spans="1:10" ht="13.5" thickBot="1" x14ac:dyDescent="0.25">
      <c r="B11" s="2" t="s">
        <v>2865</v>
      </c>
      <c r="C11" s="2"/>
      <c r="D11" s="2"/>
      <c r="E11" s="2"/>
      <c r="F11" s="2"/>
      <c r="G11" s="2"/>
      <c r="H11" s="2"/>
      <c r="I11" s="2"/>
    </row>
    <row r="12" spans="1:10" x14ac:dyDescent="0.2">
      <c r="B12" t="s">
        <v>1408</v>
      </c>
    </row>
    <row r="13" spans="1:10" x14ac:dyDescent="0.2">
      <c r="B13" t="s">
        <v>1409</v>
      </c>
    </row>
    <row r="15" spans="1:10" ht="13.5" thickBot="1" x14ac:dyDescent="0.25">
      <c r="B15" s="2" t="s">
        <v>998</v>
      </c>
      <c r="C15" s="2"/>
      <c r="D15" s="2"/>
      <c r="E15" s="2"/>
      <c r="F15" s="2"/>
      <c r="G15" s="2"/>
      <c r="H15" s="2"/>
      <c r="I15" s="2"/>
    </row>
    <row r="16" spans="1:10" x14ac:dyDescent="0.2">
      <c r="B16" s="61" t="s">
        <v>1410</v>
      </c>
    </row>
    <row r="17" spans="2:9" x14ac:dyDescent="0.2">
      <c r="B17" t="s">
        <v>1411</v>
      </c>
    </row>
    <row r="18" spans="2:9" x14ac:dyDescent="0.2">
      <c r="B18" t="s">
        <v>1412</v>
      </c>
    </row>
    <row r="20" spans="2:9" ht="13.5" thickBot="1" x14ac:dyDescent="0.25">
      <c r="B20" s="2" t="s">
        <v>3355</v>
      </c>
      <c r="C20" s="2"/>
      <c r="D20" s="2"/>
      <c r="E20" s="2"/>
      <c r="F20" s="2"/>
      <c r="G20" s="2"/>
      <c r="H20" s="2"/>
      <c r="I20" s="2"/>
    </row>
    <row r="21" spans="2:9" x14ac:dyDescent="0.2">
      <c r="B21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J26"/>
  <sheetViews>
    <sheetView showGridLines="0" workbookViewId="0">
      <pane ySplit="1" topLeftCell="A2" activePane="bottomLeft" state="frozen"/>
      <selection activeCell="A3" sqref="A3"/>
      <selection pane="bottomLeft" activeCell="F6" sqref="F6"/>
    </sheetView>
  </sheetViews>
  <sheetFormatPr defaultRowHeight="12.75" x14ac:dyDescent="0.2"/>
  <cols>
    <col min="1" max="1" width="2.7109375" customWidth="1"/>
    <col min="3" max="3" width="11" customWidth="1"/>
    <col min="4" max="4" width="10.85546875" customWidth="1"/>
    <col min="5" max="5" width="12.85546875" customWidth="1"/>
    <col min="9" max="9" width="8" customWidth="1"/>
  </cols>
  <sheetData>
    <row r="1" spans="1:10" ht="39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990</v>
      </c>
      <c r="D3" s="6" t="s">
        <v>1387</v>
      </c>
    </row>
    <row r="4" spans="1:10" x14ac:dyDescent="0.2">
      <c r="C4" s="7">
        <v>1</v>
      </c>
      <c r="D4" s="8" t="b">
        <f t="shared" ref="D4:D12" si="0">ISODD(C4)</f>
        <v>1</v>
      </c>
      <c r="E4" s="63" t="s">
        <v>1388</v>
      </c>
    </row>
    <row r="5" spans="1:10" x14ac:dyDescent="0.2">
      <c r="C5" s="7">
        <v>2</v>
      </c>
      <c r="D5" s="8" t="b">
        <f t="shared" si="0"/>
        <v>0</v>
      </c>
      <c r="E5" s="63" t="s">
        <v>1389</v>
      </c>
    </row>
    <row r="6" spans="1:10" x14ac:dyDescent="0.2">
      <c r="C6" s="7">
        <v>2.5</v>
      </c>
      <c r="D6" s="8" t="b">
        <f t="shared" si="0"/>
        <v>0</v>
      </c>
      <c r="E6" s="63" t="s">
        <v>1390</v>
      </c>
    </row>
    <row r="7" spans="1:10" x14ac:dyDescent="0.2">
      <c r="C7" s="7">
        <v>2.6</v>
      </c>
      <c r="D7" s="8" t="b">
        <f t="shared" si="0"/>
        <v>0</v>
      </c>
      <c r="E7" s="63" t="s">
        <v>1391</v>
      </c>
    </row>
    <row r="8" spans="1:10" x14ac:dyDescent="0.2">
      <c r="C8" s="7">
        <v>3.5</v>
      </c>
      <c r="D8" s="8" t="b">
        <f t="shared" si="0"/>
        <v>1</v>
      </c>
      <c r="E8" s="63" t="s">
        <v>1392</v>
      </c>
    </row>
    <row r="9" spans="1:10" x14ac:dyDescent="0.2">
      <c r="C9" s="7">
        <v>3.6</v>
      </c>
      <c r="D9" s="8" t="b">
        <f t="shared" si="0"/>
        <v>1</v>
      </c>
      <c r="E9" s="63" t="s">
        <v>1393</v>
      </c>
    </row>
    <row r="10" spans="1:10" x14ac:dyDescent="0.2">
      <c r="C10" s="7" t="s">
        <v>1029</v>
      </c>
      <c r="D10" s="8" t="e">
        <f t="shared" si="0"/>
        <v>#VALUE!</v>
      </c>
      <c r="E10" s="63" t="s">
        <v>1394</v>
      </c>
    </row>
    <row r="11" spans="1:10" x14ac:dyDescent="0.2">
      <c r="C11" s="161">
        <v>35827</v>
      </c>
      <c r="D11" s="8" t="b">
        <f t="shared" si="0"/>
        <v>1</v>
      </c>
      <c r="E11" s="63" t="s">
        <v>1395</v>
      </c>
    </row>
    <row r="12" spans="1:10" x14ac:dyDescent="0.2">
      <c r="C12" s="161">
        <v>35096</v>
      </c>
      <c r="D12" s="8" t="b">
        <f t="shared" si="0"/>
        <v>0</v>
      </c>
      <c r="E12" s="63" t="s">
        <v>1396</v>
      </c>
    </row>
    <row r="15" spans="1:10" ht="13.5" thickBot="1" x14ac:dyDescent="0.25">
      <c r="B15" s="2" t="s">
        <v>2865</v>
      </c>
      <c r="C15" s="2"/>
      <c r="D15" s="2"/>
      <c r="E15" s="2"/>
      <c r="F15" s="2"/>
      <c r="G15" s="2"/>
      <c r="H15" s="2"/>
      <c r="I15" s="2"/>
    </row>
    <row r="16" spans="1:10" x14ac:dyDescent="0.2">
      <c r="B16" t="s">
        <v>1397</v>
      </c>
    </row>
    <row r="17" spans="2:9" x14ac:dyDescent="0.2">
      <c r="B17" t="s">
        <v>1398</v>
      </c>
    </row>
    <row r="18" spans="2:9" x14ac:dyDescent="0.2">
      <c r="B18" t="s">
        <v>3686</v>
      </c>
    </row>
    <row r="19" spans="2:9" x14ac:dyDescent="0.2">
      <c r="B19" t="s">
        <v>1399</v>
      </c>
    </row>
    <row r="20" spans="2:9" x14ac:dyDescent="0.2">
      <c r="B20" t="s">
        <v>3688</v>
      </c>
    </row>
    <row r="22" spans="2:9" ht="13.5" thickBot="1" x14ac:dyDescent="0.25">
      <c r="B22" s="2" t="s">
        <v>998</v>
      </c>
      <c r="C22" s="2"/>
      <c r="D22" s="2"/>
      <c r="E22" s="2"/>
      <c r="F22" s="2"/>
      <c r="G22" s="2"/>
      <c r="H22" s="2"/>
      <c r="I22" s="2"/>
    </row>
    <row r="23" spans="2:9" x14ac:dyDescent="0.2">
      <c r="B23" t="s">
        <v>1400</v>
      </c>
    </row>
    <row r="25" spans="2:9" ht="13.5" thickBot="1" x14ac:dyDescent="0.25">
      <c r="B25" s="2" t="s">
        <v>3355</v>
      </c>
      <c r="C25" s="2"/>
      <c r="D25" s="2"/>
      <c r="E25" s="2"/>
      <c r="F25" s="2"/>
      <c r="G25" s="2"/>
      <c r="H25" s="2"/>
      <c r="I25" s="2"/>
    </row>
    <row r="26" spans="2:9" x14ac:dyDescent="0.2">
      <c r="B26" t="s">
        <v>3762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K37"/>
  <sheetViews>
    <sheetView showGridLines="0" workbookViewId="0">
      <pane ySplit="1" topLeftCell="A2" activePane="bottomLeft" state="frozen"/>
      <selection activeCell="A3" sqref="A3"/>
      <selection pane="bottomLeft" activeCell="J6" sqref="J6"/>
    </sheetView>
  </sheetViews>
  <sheetFormatPr defaultRowHeight="12.75" x14ac:dyDescent="0.2"/>
  <cols>
    <col min="1" max="1" width="3.5703125" customWidth="1"/>
    <col min="10" max="10" width="7.7109375" customWidth="1"/>
  </cols>
  <sheetData>
    <row r="1" spans="1:11" ht="45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D3" s="6" t="s">
        <v>3102</v>
      </c>
      <c r="E3" s="6" t="s">
        <v>3113</v>
      </c>
    </row>
    <row r="4" spans="1:11" x14ac:dyDescent="0.2">
      <c r="D4" s="7">
        <v>1</v>
      </c>
      <c r="E4" s="8" t="b">
        <f>ISNUMBER(D4)</f>
        <v>1</v>
      </c>
      <c r="F4" s="13" t="s">
        <v>3103</v>
      </c>
    </row>
    <row r="5" spans="1:11" x14ac:dyDescent="0.2">
      <c r="D5" s="161">
        <v>35796</v>
      </c>
      <c r="E5" s="8" t="b">
        <f>ISNUMBER(D5)</f>
        <v>1</v>
      </c>
      <c r="F5" s="13" t="s">
        <v>3104</v>
      </c>
    </row>
    <row r="6" spans="1:11" x14ac:dyDescent="0.2">
      <c r="D6" s="161"/>
      <c r="E6" s="8" t="b">
        <f>ISNUMBER(D6)</f>
        <v>0</v>
      </c>
      <c r="F6" s="13" t="s">
        <v>3105</v>
      </c>
    </row>
    <row r="7" spans="1:11" x14ac:dyDescent="0.2">
      <c r="D7" s="7" t="e">
        <f>1/0</f>
        <v>#DIV/0!</v>
      </c>
      <c r="E7" s="8" t="b">
        <f>ISNUMBER(D7)</f>
        <v>0</v>
      </c>
      <c r="F7" s="13" t="s">
        <v>3106</v>
      </c>
    </row>
    <row r="8" spans="1:11" x14ac:dyDescent="0.2">
      <c r="D8" s="7" t="s">
        <v>1029</v>
      </c>
      <c r="E8" s="8" t="b">
        <f>ISNUMBER(D8)</f>
        <v>0</v>
      </c>
      <c r="F8" s="13" t="s">
        <v>3107</v>
      </c>
    </row>
    <row r="10" spans="1:11" ht="13.5" thickBot="1" x14ac:dyDescent="0.25">
      <c r="B10" s="2" t="s">
        <v>2865</v>
      </c>
      <c r="C10" s="2"/>
      <c r="D10" s="2"/>
      <c r="E10" s="2"/>
      <c r="F10" s="2"/>
      <c r="G10" s="2"/>
      <c r="H10" s="2"/>
      <c r="I10" s="2"/>
      <c r="J10" s="2"/>
    </row>
    <row r="11" spans="1:11" x14ac:dyDescent="0.2">
      <c r="B11" t="s">
        <v>1372</v>
      </c>
    </row>
    <row r="12" spans="1:11" x14ac:dyDescent="0.2">
      <c r="B12" t="s">
        <v>1373</v>
      </c>
    </row>
    <row r="13" spans="1:11" x14ac:dyDescent="0.2">
      <c r="B13" t="s">
        <v>1374</v>
      </c>
    </row>
    <row r="15" spans="1:11" ht="13.5" thickBot="1" x14ac:dyDescent="0.25">
      <c r="B15" s="2" t="s">
        <v>998</v>
      </c>
      <c r="C15" s="2"/>
      <c r="D15" s="2"/>
      <c r="E15" s="2"/>
      <c r="F15" s="2"/>
      <c r="G15" s="2"/>
      <c r="H15" s="2"/>
      <c r="I15" s="2"/>
      <c r="J15" s="2"/>
    </row>
    <row r="16" spans="1:11" x14ac:dyDescent="0.2">
      <c r="B16" s="61" t="s">
        <v>1375</v>
      </c>
    </row>
    <row r="17" spans="2:10" x14ac:dyDescent="0.2">
      <c r="B17" t="s">
        <v>1376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  <row r="22" spans="2:10" ht="13.5" thickBot="1" x14ac:dyDescent="0.25">
      <c r="B22" s="2" t="s">
        <v>1001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t="s">
        <v>1377</v>
      </c>
    </row>
    <row r="24" spans="2:10" x14ac:dyDescent="0.2">
      <c r="B24" t="s">
        <v>1378</v>
      </c>
    </row>
    <row r="25" spans="2:10" x14ac:dyDescent="0.2">
      <c r="B25" t="s">
        <v>1379</v>
      </c>
    </row>
    <row r="26" spans="2:10" x14ac:dyDescent="0.2">
      <c r="B26" t="s">
        <v>1380</v>
      </c>
    </row>
    <row r="28" spans="2:10" x14ac:dyDescent="0.2">
      <c r="C28" s="6" t="s">
        <v>1381</v>
      </c>
      <c r="D28" s="6" t="s">
        <v>1946</v>
      </c>
      <c r="E28" s="6" t="s">
        <v>1382</v>
      </c>
    </row>
    <row r="29" spans="2:10" x14ac:dyDescent="0.2">
      <c r="C29" s="7">
        <v>1</v>
      </c>
      <c r="D29" s="7" t="s">
        <v>3361</v>
      </c>
      <c r="E29" s="302">
        <v>10000</v>
      </c>
    </row>
    <row r="30" spans="2:10" x14ac:dyDescent="0.2">
      <c r="C30" s="7">
        <v>2</v>
      </c>
      <c r="D30" s="7" t="s">
        <v>3134</v>
      </c>
      <c r="E30" s="302">
        <v>12000</v>
      </c>
    </row>
    <row r="31" spans="2:10" x14ac:dyDescent="0.2">
      <c r="C31" s="7">
        <v>3</v>
      </c>
      <c r="D31" s="7" t="s">
        <v>3363</v>
      </c>
      <c r="E31" s="302">
        <v>8000</v>
      </c>
    </row>
    <row r="32" spans="2:10" x14ac:dyDescent="0.2">
      <c r="C32" s="7">
        <v>4</v>
      </c>
      <c r="D32" s="7" t="s">
        <v>3362</v>
      </c>
      <c r="E32" s="302">
        <v>15000</v>
      </c>
    </row>
    <row r="33" spans="2:5" x14ac:dyDescent="0.2">
      <c r="C33" s="7">
        <v>5</v>
      </c>
      <c r="D33" s="7" t="s">
        <v>1952</v>
      </c>
      <c r="E33" s="302">
        <v>12000</v>
      </c>
    </row>
    <row r="35" spans="2:5" x14ac:dyDescent="0.2">
      <c r="B35" s="20"/>
      <c r="C35" s="162"/>
      <c r="D35" s="21" t="s">
        <v>1383</v>
      </c>
      <c r="E35" s="7" t="s">
        <v>1384</v>
      </c>
    </row>
    <row r="36" spans="2:5" x14ac:dyDescent="0.2">
      <c r="B36" s="20"/>
      <c r="C36" s="162"/>
      <c r="D36" s="21" t="s">
        <v>1385</v>
      </c>
      <c r="E36" s="271">
        <f>IF(ISNUMBER(E35),VLOOKUP(E35,C29:E33,3,FALSE),VLOOKUP(E35,D29:E33,2,FALSE))</f>
        <v>12000</v>
      </c>
    </row>
    <row r="37" spans="2:5" x14ac:dyDescent="0.2">
      <c r="B37" s="13" t="s">
        <v>1386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H41"/>
  <sheetViews>
    <sheetView showGridLines="0" workbookViewId="0">
      <pane ySplit="1" topLeftCell="A2" activePane="bottomLeft" state="frozen"/>
      <selection activeCell="A3" sqref="A3"/>
      <selection pane="bottomLeft" activeCell="F6" sqref="F6"/>
    </sheetView>
  </sheetViews>
  <sheetFormatPr defaultRowHeight="12.75" x14ac:dyDescent="0.2"/>
  <cols>
    <col min="1" max="1" width="2.85546875" customWidth="1"/>
    <col min="3" max="3" width="12.28515625" customWidth="1"/>
    <col min="4" max="4" width="14.7109375" customWidth="1"/>
    <col min="5" max="5" width="18" customWidth="1"/>
    <col min="6" max="6" width="15.7109375" customWidth="1"/>
  </cols>
  <sheetData>
    <row r="1" spans="1:8" ht="42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3714</v>
      </c>
      <c r="D3" s="6" t="s">
        <v>3715</v>
      </c>
    </row>
    <row r="4" spans="1:8" x14ac:dyDescent="0.2">
      <c r="C4" s="7">
        <v>10</v>
      </c>
      <c r="D4" s="8" t="b">
        <f>ISNONTEXT(C4)</f>
        <v>1</v>
      </c>
      <c r="E4" s="63" t="s">
        <v>3716</v>
      </c>
    </row>
    <row r="5" spans="1:8" x14ac:dyDescent="0.2">
      <c r="C5" s="7" t="s">
        <v>1029</v>
      </c>
      <c r="D5" s="8" t="b">
        <f>ISNONTEXT(C5)</f>
        <v>0</v>
      </c>
      <c r="E5" s="63" t="s">
        <v>3717</v>
      </c>
    </row>
    <row r="6" spans="1:8" x14ac:dyDescent="0.2">
      <c r="C6" s="7"/>
      <c r="D6" s="8" t="b">
        <f>ISNONTEXT(C6)</f>
        <v>1</v>
      </c>
      <c r="E6" s="63" t="s">
        <v>3718</v>
      </c>
    </row>
    <row r="7" spans="1:8" x14ac:dyDescent="0.2">
      <c r="C7" s="161">
        <v>35796</v>
      </c>
      <c r="D7" s="8" t="b">
        <f>ISNONTEXT(C7)</f>
        <v>1</v>
      </c>
      <c r="E7" s="63" t="s">
        <v>3719</v>
      </c>
    </row>
    <row r="8" spans="1:8" x14ac:dyDescent="0.2">
      <c r="C8" s="7" t="s">
        <v>3720</v>
      </c>
      <c r="D8" s="8" t="b">
        <f>ISNONTEXT(C8)</f>
        <v>0</v>
      </c>
      <c r="E8" s="63" t="s">
        <v>3721</v>
      </c>
    </row>
    <row r="10" spans="1:8" ht="13.5" thickBot="1" x14ac:dyDescent="0.25">
      <c r="B10" s="2" t="s">
        <v>3118</v>
      </c>
      <c r="C10" s="2"/>
      <c r="D10" s="2"/>
      <c r="E10" s="2"/>
      <c r="F10" s="2"/>
      <c r="G10" s="2"/>
    </row>
    <row r="11" spans="1:8" x14ac:dyDescent="0.2">
      <c r="B11" t="s">
        <v>3722</v>
      </c>
    </row>
    <row r="12" spans="1:8" x14ac:dyDescent="0.2">
      <c r="B12" t="s">
        <v>3723</v>
      </c>
    </row>
    <row r="13" spans="1:8" x14ac:dyDescent="0.2">
      <c r="B13" t="s">
        <v>3724</v>
      </c>
    </row>
    <row r="14" spans="1:8" x14ac:dyDescent="0.2">
      <c r="B14" t="s">
        <v>3725</v>
      </c>
    </row>
    <row r="16" spans="1:8" ht="13.5" thickBot="1" x14ac:dyDescent="0.25">
      <c r="B16" s="2" t="s">
        <v>998</v>
      </c>
      <c r="C16" s="2"/>
      <c r="D16" s="2"/>
      <c r="E16" s="2"/>
      <c r="F16" s="2"/>
      <c r="G16" s="2"/>
    </row>
    <row r="17" spans="2:7" x14ac:dyDescent="0.2">
      <c r="B17" t="s">
        <v>3726</v>
      </c>
    </row>
    <row r="19" spans="2:7" ht="13.5" thickBot="1" x14ac:dyDescent="0.25">
      <c r="B19" s="2" t="s">
        <v>3355</v>
      </c>
      <c r="C19" s="2"/>
      <c r="D19" s="2"/>
      <c r="E19" s="2"/>
      <c r="F19" s="2"/>
      <c r="G19" s="2"/>
    </row>
    <row r="20" spans="2:7" x14ac:dyDescent="0.2">
      <c r="B20" t="s">
        <v>3727</v>
      </c>
    </row>
    <row r="22" spans="2:7" ht="13.5" thickBot="1" x14ac:dyDescent="0.25">
      <c r="B22" s="2" t="s">
        <v>2648</v>
      </c>
      <c r="C22" s="2"/>
      <c r="D22" s="2"/>
      <c r="E22" s="2"/>
      <c r="F22" s="2"/>
      <c r="G22" s="2"/>
    </row>
    <row r="23" spans="2:7" x14ac:dyDescent="0.2">
      <c r="B23" t="s">
        <v>3728</v>
      </c>
    </row>
    <row r="24" spans="2:7" x14ac:dyDescent="0.2">
      <c r="B24" t="s">
        <v>3729</v>
      </c>
    </row>
    <row r="26" spans="2:7" x14ac:dyDescent="0.2">
      <c r="C26" t="s">
        <v>3730</v>
      </c>
    </row>
    <row r="27" spans="2:7" x14ac:dyDescent="0.2">
      <c r="C27" t="s">
        <v>3090</v>
      </c>
    </row>
    <row r="28" spans="2:7" ht="25.5" customHeight="1" x14ac:dyDescent="0.2">
      <c r="C28" s="188" t="s">
        <v>1013</v>
      </c>
    </row>
    <row r="29" spans="2:7" x14ac:dyDescent="0.2">
      <c r="C29" s="299" t="s">
        <v>3054</v>
      </c>
      <c r="D29" s="299" t="s">
        <v>3091</v>
      </c>
      <c r="E29" s="299" t="s">
        <v>3092</v>
      </c>
      <c r="F29" s="299" t="s">
        <v>3093</v>
      </c>
    </row>
    <row r="30" spans="2:7" x14ac:dyDescent="0.2">
      <c r="C30" s="250" t="s">
        <v>3094</v>
      </c>
      <c r="D30" s="250">
        <v>400</v>
      </c>
      <c r="E30" s="300">
        <v>1.5</v>
      </c>
      <c r="F30" s="251">
        <f>D30*E30</f>
        <v>600</v>
      </c>
    </row>
    <row r="31" spans="2:7" x14ac:dyDescent="0.2">
      <c r="C31" s="250" t="s">
        <v>3095</v>
      </c>
      <c r="D31" s="250">
        <v>800</v>
      </c>
      <c r="E31" s="300">
        <v>2</v>
      </c>
      <c r="F31" s="251">
        <f>D31*E31</f>
        <v>1600</v>
      </c>
    </row>
    <row r="32" spans="2:7" x14ac:dyDescent="0.2">
      <c r="C32" s="250" t="s">
        <v>3096</v>
      </c>
      <c r="D32" s="301" t="s">
        <v>3097</v>
      </c>
      <c r="E32" s="300">
        <v>1.5</v>
      </c>
      <c r="F32" s="251" t="e">
        <f>D32*E32</f>
        <v>#VALUE!</v>
      </c>
      <c r="G32" t="s">
        <v>3098</v>
      </c>
    </row>
    <row r="33" spans="3:6" ht="26.25" customHeight="1" x14ac:dyDescent="0.2"/>
    <row r="34" spans="3:6" x14ac:dyDescent="0.2">
      <c r="C34" t="s">
        <v>3099</v>
      </c>
    </row>
    <row r="35" spans="3:6" x14ac:dyDescent="0.2">
      <c r="C35" t="s">
        <v>3100</v>
      </c>
    </row>
    <row r="36" spans="3:6" ht="26.25" customHeight="1" x14ac:dyDescent="0.2">
      <c r="C36" s="188" t="s">
        <v>1024</v>
      </c>
    </row>
    <row r="37" spans="3:6" x14ac:dyDescent="0.2">
      <c r="C37" s="299" t="s">
        <v>3054</v>
      </c>
      <c r="D37" s="299" t="s">
        <v>3091</v>
      </c>
      <c r="E37" s="299" t="s">
        <v>3092</v>
      </c>
      <c r="F37" s="299" t="s">
        <v>3093</v>
      </c>
    </row>
    <row r="38" spans="3:6" x14ac:dyDescent="0.2">
      <c r="C38" s="250" t="s">
        <v>3094</v>
      </c>
      <c r="D38" s="250">
        <v>400</v>
      </c>
      <c r="E38" s="300">
        <v>1.5</v>
      </c>
      <c r="F38" s="251">
        <f>IF(ISNONTEXT(D38),D38*E38,"Retype the Price")</f>
        <v>600</v>
      </c>
    </row>
    <row r="39" spans="3:6" x14ac:dyDescent="0.2">
      <c r="C39" s="250" t="s">
        <v>3095</v>
      </c>
      <c r="D39" s="250">
        <v>800</v>
      </c>
      <c r="E39" s="300">
        <v>2</v>
      </c>
      <c r="F39" s="251">
        <f>IF(ISNONTEXT(D39),D39*E39,"Retype the Price")</f>
        <v>1600</v>
      </c>
    </row>
    <row r="40" spans="3:6" x14ac:dyDescent="0.2">
      <c r="C40" s="250" t="s">
        <v>3096</v>
      </c>
      <c r="D40" s="301" t="s">
        <v>3097</v>
      </c>
      <c r="E40" s="300">
        <v>1.5</v>
      </c>
      <c r="F40" s="251" t="str">
        <f>IF(ISNONTEXT(D40),D40*E40,"Retype the Price")</f>
        <v>Retype the Price</v>
      </c>
    </row>
    <row r="41" spans="3:6" x14ac:dyDescent="0.2">
      <c r="F41" s="88" t="s">
        <v>3101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K22"/>
  <sheetViews>
    <sheetView showGridLines="0" workbookViewId="0">
      <pane ySplit="1" topLeftCell="A2" activePane="bottomLeft" state="frozen"/>
      <selection activeCell="A3" sqref="A3"/>
      <selection pane="bottomLeft" activeCell="G6" sqref="G6"/>
    </sheetView>
  </sheetViews>
  <sheetFormatPr defaultRowHeight="12.75" x14ac:dyDescent="0.2"/>
  <cols>
    <col min="1" max="1" width="2.7109375" customWidth="1"/>
    <col min="3" max="4" width="10.140625" customWidth="1"/>
    <col min="5" max="5" width="12.140625" customWidth="1"/>
  </cols>
  <sheetData>
    <row r="1" spans="1:11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  <c r="K1" s="478"/>
    </row>
    <row r="3" spans="1:11" x14ac:dyDescent="0.2">
      <c r="C3" s="6" t="s">
        <v>990</v>
      </c>
      <c r="D3" s="6" t="s">
        <v>3113</v>
      </c>
    </row>
    <row r="4" spans="1:11" x14ac:dyDescent="0.2">
      <c r="C4" s="7">
        <v>1</v>
      </c>
      <c r="D4" s="8" t="b">
        <f>ISNA(C4)</f>
        <v>0</v>
      </c>
      <c r="E4" s="63" t="s">
        <v>3703</v>
      </c>
    </row>
    <row r="5" spans="1:11" x14ac:dyDescent="0.2">
      <c r="C5" s="7" t="s">
        <v>1029</v>
      </c>
      <c r="D5" s="8" t="b">
        <f>ISNA(C5)</f>
        <v>0</v>
      </c>
      <c r="E5" s="63" t="s">
        <v>3704</v>
      </c>
    </row>
    <row r="6" spans="1:11" x14ac:dyDescent="0.2">
      <c r="C6" s="7"/>
      <c r="D6" s="8" t="b">
        <f>ISNA(C6)</f>
        <v>0</v>
      </c>
      <c r="E6" s="63" t="s">
        <v>3705</v>
      </c>
    </row>
    <row r="7" spans="1:11" x14ac:dyDescent="0.2">
      <c r="C7" s="161">
        <v>35796</v>
      </c>
      <c r="D7" s="8" t="b">
        <f>ISNA(C7)</f>
        <v>0</v>
      </c>
      <c r="E7" s="63" t="s">
        <v>3706</v>
      </c>
    </row>
    <row r="8" spans="1:11" x14ac:dyDescent="0.2">
      <c r="C8" s="7" t="e">
        <f>VLOOKUP(A1,A7:A12,1)</f>
        <v>#N/A</v>
      </c>
      <c r="D8" s="8" t="b">
        <f>ISNA(C8)</f>
        <v>1</v>
      </c>
      <c r="E8" s="63" t="s">
        <v>3707</v>
      </c>
    </row>
    <row r="11" spans="1:11" ht="13.5" thickBot="1" x14ac:dyDescent="0.25">
      <c r="B11" s="2" t="s">
        <v>3118</v>
      </c>
      <c r="C11" s="2"/>
      <c r="D11" s="2"/>
      <c r="E11" s="2"/>
      <c r="F11" s="2"/>
      <c r="G11" s="2"/>
      <c r="H11" s="2"/>
      <c r="I11" s="2"/>
    </row>
    <row r="12" spans="1:11" x14ac:dyDescent="0.2">
      <c r="B12" t="s">
        <v>3708</v>
      </c>
    </row>
    <row r="13" spans="1:11" x14ac:dyDescent="0.2">
      <c r="B13" t="s">
        <v>3709</v>
      </c>
    </row>
    <row r="14" spans="1:11" x14ac:dyDescent="0.2">
      <c r="B14" t="s">
        <v>3710</v>
      </c>
    </row>
    <row r="15" spans="1:11" x14ac:dyDescent="0.2">
      <c r="B15" t="s">
        <v>3711</v>
      </c>
    </row>
    <row r="16" spans="1:11" x14ac:dyDescent="0.2">
      <c r="B16" t="s">
        <v>3712</v>
      </c>
    </row>
    <row r="18" spans="2:9" ht="13.5" thickBot="1" x14ac:dyDescent="0.25">
      <c r="B18" s="2" t="s">
        <v>998</v>
      </c>
      <c r="C18" s="2"/>
      <c r="D18" s="2"/>
      <c r="E18" s="2"/>
      <c r="F18" s="2"/>
      <c r="G18" s="2"/>
      <c r="H18" s="2"/>
      <c r="I18" s="2"/>
    </row>
    <row r="19" spans="2:9" x14ac:dyDescent="0.2">
      <c r="B19" t="s">
        <v>3713</v>
      </c>
    </row>
    <row r="21" spans="2:9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J22"/>
  <sheetViews>
    <sheetView showGridLines="0" workbookViewId="0">
      <pane ySplit="1" topLeftCell="A2" activePane="bottomLeft" state="frozen"/>
      <selection activeCell="A3" sqref="A3"/>
      <selection pane="bottomLeft" activeCell="I8" sqref="I8"/>
    </sheetView>
  </sheetViews>
  <sheetFormatPr defaultRowHeight="12.75" x14ac:dyDescent="0.2"/>
  <cols>
    <col min="1" max="1" width="2.7109375" customWidth="1"/>
    <col min="4" max="4" width="10.85546875" customWidth="1"/>
    <col min="10" max="10" width="6.85546875" customWidth="1"/>
  </cols>
  <sheetData>
    <row r="1" spans="1:10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D3" s="6" t="s">
        <v>3690</v>
      </c>
      <c r="E3" s="6" t="s">
        <v>3113</v>
      </c>
    </row>
    <row r="4" spans="1:10" x14ac:dyDescent="0.2">
      <c r="D4" s="7" t="b">
        <f>50&gt;100</f>
        <v>0</v>
      </c>
      <c r="E4" s="8" t="b">
        <f t="shared" ref="E4:E10" si="0">ISLOGICAL(D4)</f>
        <v>1</v>
      </c>
      <c r="F4" s="13" t="s">
        <v>3691</v>
      </c>
    </row>
    <row r="5" spans="1:10" x14ac:dyDescent="0.2">
      <c r="D5" s="7" t="b">
        <f>50&lt;100</f>
        <v>1</v>
      </c>
      <c r="E5" s="8" t="b">
        <f t="shared" si="0"/>
        <v>1</v>
      </c>
      <c r="F5" s="13" t="s">
        <v>3692</v>
      </c>
    </row>
    <row r="6" spans="1:10" x14ac:dyDescent="0.2">
      <c r="D6" s="7"/>
      <c r="E6" s="8" t="b">
        <f t="shared" si="0"/>
        <v>0</v>
      </c>
      <c r="F6" s="13" t="s">
        <v>3693</v>
      </c>
    </row>
    <row r="7" spans="1:10" x14ac:dyDescent="0.2">
      <c r="D7" s="7">
        <v>20</v>
      </c>
      <c r="E7" s="8" t="b">
        <f t="shared" si="0"/>
        <v>0</v>
      </c>
      <c r="F7" s="13" t="s">
        <v>3694</v>
      </c>
    </row>
    <row r="8" spans="1:10" x14ac:dyDescent="0.2">
      <c r="D8" s="161">
        <v>35796</v>
      </c>
      <c r="E8" s="8" t="b">
        <f t="shared" si="0"/>
        <v>0</v>
      </c>
      <c r="F8" s="13" t="s">
        <v>3695</v>
      </c>
    </row>
    <row r="9" spans="1:10" x14ac:dyDescent="0.2">
      <c r="D9" s="7" t="s">
        <v>1029</v>
      </c>
      <c r="E9" s="8" t="b">
        <f t="shared" si="0"/>
        <v>0</v>
      </c>
      <c r="F9" s="13" t="s">
        <v>3696</v>
      </c>
    </row>
    <row r="10" spans="1:10" x14ac:dyDescent="0.2">
      <c r="D10" s="7" t="e">
        <f>B4/0</f>
        <v>#DIV/0!</v>
      </c>
      <c r="E10" s="8" t="b">
        <f t="shared" si="0"/>
        <v>0</v>
      </c>
      <c r="F10" s="13" t="s">
        <v>3697</v>
      </c>
    </row>
    <row r="12" spans="1:10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0" x14ac:dyDescent="0.2">
      <c r="B13" t="s">
        <v>3698</v>
      </c>
    </row>
    <row r="14" spans="1:10" x14ac:dyDescent="0.2">
      <c r="B14" t="s">
        <v>3699</v>
      </c>
    </row>
    <row r="15" spans="1:10" x14ac:dyDescent="0.2">
      <c r="B15" t="s">
        <v>3700</v>
      </c>
    </row>
    <row r="16" spans="1:10" x14ac:dyDescent="0.2">
      <c r="B16" t="s">
        <v>3701</v>
      </c>
    </row>
    <row r="18" spans="2:10" ht="13.5" thickBot="1" x14ac:dyDescent="0.25">
      <c r="B18" s="2" t="s">
        <v>998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s="61" t="s">
        <v>3702</v>
      </c>
    </row>
    <row r="21" spans="2:10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I26"/>
  <sheetViews>
    <sheetView showGridLines="0" workbookViewId="0">
      <pane ySplit="1" topLeftCell="A2" activePane="bottomLeft" state="frozen"/>
      <selection activeCell="A3" sqref="A3"/>
      <selection pane="bottomLeft" activeCell="D10" sqref="D10"/>
    </sheetView>
  </sheetViews>
  <sheetFormatPr defaultRowHeight="12.75" x14ac:dyDescent="0.2"/>
  <cols>
    <col min="1" max="1" width="2.7109375" customWidth="1"/>
    <col min="3" max="3" width="11.28515625" customWidth="1"/>
    <col min="4" max="4" width="11.7109375" customWidth="1"/>
    <col min="5" max="5" width="14" customWidth="1"/>
  </cols>
  <sheetData>
    <row r="1" spans="1:9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990</v>
      </c>
      <c r="D3" s="6" t="s">
        <v>1850</v>
      </c>
    </row>
    <row r="4" spans="1:9" x14ac:dyDescent="0.2">
      <c r="C4" s="7">
        <v>1</v>
      </c>
      <c r="D4" s="8" t="b">
        <f t="shared" ref="D4:D12" si="0">ISEVEN(C4)</f>
        <v>0</v>
      </c>
      <c r="E4" s="63" t="s">
        <v>1851</v>
      </c>
    </row>
    <row r="5" spans="1:9" x14ac:dyDescent="0.2">
      <c r="C5" s="7">
        <v>2</v>
      </c>
      <c r="D5" s="8" t="b">
        <f t="shared" si="0"/>
        <v>1</v>
      </c>
      <c r="E5" s="63" t="s">
        <v>1852</v>
      </c>
    </row>
    <row r="6" spans="1:9" x14ac:dyDescent="0.2">
      <c r="C6" s="7">
        <v>2.5</v>
      </c>
      <c r="D6" s="8" t="b">
        <f t="shared" si="0"/>
        <v>1</v>
      </c>
      <c r="E6" s="63" t="s">
        <v>1853</v>
      </c>
    </row>
    <row r="7" spans="1:9" x14ac:dyDescent="0.2">
      <c r="C7" s="7">
        <v>2.6</v>
      </c>
      <c r="D7" s="8" t="b">
        <f t="shared" si="0"/>
        <v>1</v>
      </c>
      <c r="E7" s="63" t="s">
        <v>1854</v>
      </c>
    </row>
    <row r="8" spans="1:9" x14ac:dyDescent="0.2">
      <c r="C8" s="7">
        <v>3.5</v>
      </c>
      <c r="D8" s="8" t="b">
        <f t="shared" si="0"/>
        <v>0</v>
      </c>
      <c r="E8" s="63" t="s">
        <v>1855</v>
      </c>
    </row>
    <row r="9" spans="1:9" x14ac:dyDescent="0.2">
      <c r="C9" s="7">
        <v>3.6</v>
      </c>
      <c r="D9" s="8" t="b">
        <f t="shared" si="0"/>
        <v>0</v>
      </c>
      <c r="E9" s="63" t="s">
        <v>3680</v>
      </c>
    </row>
    <row r="10" spans="1:9" x14ac:dyDescent="0.2">
      <c r="C10" s="7" t="s">
        <v>1029</v>
      </c>
      <c r="D10" s="8" t="e">
        <f t="shared" si="0"/>
        <v>#VALUE!</v>
      </c>
      <c r="E10" s="63" t="s">
        <v>3681</v>
      </c>
    </row>
    <row r="11" spans="1:9" x14ac:dyDescent="0.2">
      <c r="C11" s="161">
        <v>35827</v>
      </c>
      <c r="D11" s="8" t="b">
        <f t="shared" si="0"/>
        <v>0</v>
      </c>
      <c r="E11" s="63" t="s">
        <v>3682</v>
      </c>
    </row>
    <row r="12" spans="1:9" x14ac:dyDescent="0.2">
      <c r="C12" s="161">
        <v>35096</v>
      </c>
      <c r="D12" s="8" t="b">
        <f t="shared" si="0"/>
        <v>1</v>
      </c>
      <c r="E12" s="63" t="s">
        <v>3683</v>
      </c>
    </row>
    <row r="15" spans="1:9" ht="13.5" thickBot="1" x14ac:dyDescent="0.25">
      <c r="B15" s="2" t="s">
        <v>2865</v>
      </c>
      <c r="C15" s="2"/>
      <c r="D15" s="2"/>
      <c r="E15" s="2"/>
      <c r="F15" s="2"/>
      <c r="G15" s="2"/>
      <c r="H15" s="2"/>
    </row>
    <row r="16" spans="1:9" x14ac:dyDescent="0.2">
      <c r="B16" t="s">
        <v>3684</v>
      </c>
    </row>
    <row r="17" spans="2:8" x14ac:dyDescent="0.2">
      <c r="B17" t="s">
        <v>3685</v>
      </c>
    </row>
    <row r="18" spans="2:8" x14ac:dyDescent="0.2">
      <c r="B18" t="s">
        <v>3686</v>
      </c>
    </row>
    <row r="19" spans="2:8" x14ac:dyDescent="0.2">
      <c r="B19" t="s">
        <v>3687</v>
      </c>
    </row>
    <row r="20" spans="2:8" x14ac:dyDescent="0.2">
      <c r="B20" t="s">
        <v>3688</v>
      </c>
    </row>
    <row r="22" spans="2:8" ht="13.5" thickBot="1" x14ac:dyDescent="0.25">
      <c r="B22" s="2" t="s">
        <v>998</v>
      </c>
      <c r="C22" s="2"/>
      <c r="D22" s="2"/>
      <c r="E22" s="2"/>
      <c r="F22" s="2"/>
      <c r="G22" s="2"/>
      <c r="H22" s="2"/>
    </row>
    <row r="23" spans="2:8" x14ac:dyDescent="0.2">
      <c r="B23" t="s">
        <v>3689</v>
      </c>
    </row>
    <row r="25" spans="2:8" ht="13.5" thickBot="1" x14ac:dyDescent="0.25">
      <c r="B25" s="2" t="s">
        <v>3355</v>
      </c>
      <c r="C25" s="2"/>
      <c r="D25" s="2"/>
      <c r="E25" s="2"/>
      <c r="F25" s="2"/>
      <c r="G25" s="2"/>
      <c r="H25" s="2"/>
    </row>
    <row r="26" spans="2:8" x14ac:dyDescent="0.2">
      <c r="B26" t="s">
        <v>3762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I42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2" max="2" width="10.7109375" customWidth="1"/>
    <col min="3" max="3" width="13.28515625" customWidth="1"/>
    <col min="4" max="4" width="15.85546875" customWidth="1"/>
    <col min="8" max="8" width="14" customWidth="1"/>
  </cols>
  <sheetData>
    <row r="1" spans="1:9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D3" s="6" t="s">
        <v>1805</v>
      </c>
      <c r="E3" s="6" t="s">
        <v>3113</v>
      </c>
    </row>
    <row r="4" spans="1:9" x14ac:dyDescent="0.2">
      <c r="D4" s="8">
        <f>1+2</f>
        <v>3</v>
      </c>
      <c r="E4" s="25" t="b">
        <f t="shared" ref="E4:E10" si="0">ISERROR(D4)</f>
        <v>0</v>
      </c>
      <c r="F4" s="13" t="s">
        <v>1828</v>
      </c>
    </row>
    <row r="5" spans="1:9" x14ac:dyDescent="0.2">
      <c r="D5" s="25" t="e">
        <f>10/0</f>
        <v>#DIV/0!</v>
      </c>
      <c r="E5" s="25" t="b">
        <f t="shared" si="0"/>
        <v>1</v>
      </c>
      <c r="F5" s="13" t="s">
        <v>1829</v>
      </c>
    </row>
    <row r="6" spans="1:9" x14ac:dyDescent="0.2">
      <c r="D6" s="25" t="e">
        <f>SUM(ALAN)</f>
        <v>#NAME?</v>
      </c>
      <c r="E6" s="25" t="b">
        <f t="shared" si="0"/>
        <v>1</v>
      </c>
      <c r="F6" s="13" t="s">
        <v>1830</v>
      </c>
    </row>
    <row r="7" spans="1:9" x14ac:dyDescent="0.2">
      <c r="D7" s="25" t="e">
        <f>#REF!+10</f>
        <v>#REF!</v>
      </c>
      <c r="E7" s="25" t="b">
        <f t="shared" si="0"/>
        <v>1</v>
      </c>
      <c r="F7" s="13" t="s">
        <v>1831</v>
      </c>
    </row>
    <row r="8" spans="1:9" x14ac:dyDescent="0.2">
      <c r="D8" s="25" t="e">
        <f>SUM("ALAN")</f>
        <v>#VALUE!</v>
      </c>
      <c r="E8" s="25" t="b">
        <f t="shared" si="0"/>
        <v>1</v>
      </c>
      <c r="F8" s="13" t="s">
        <v>1832</v>
      </c>
    </row>
    <row r="9" spans="1:9" x14ac:dyDescent="0.2">
      <c r="D9" s="25" t="e">
        <f>VLOOKUP(A1,A10:A10,A1)</f>
        <v>#N/A</v>
      </c>
      <c r="E9" s="25" t="b">
        <f t="shared" si="0"/>
        <v>1</v>
      </c>
      <c r="F9" s="13" t="s">
        <v>1833</v>
      </c>
    </row>
    <row r="10" spans="1:9" x14ac:dyDescent="0.2">
      <c r="D10" s="25" t="e">
        <v>#N/A</v>
      </c>
      <c r="E10" s="25" t="b">
        <f t="shared" si="0"/>
        <v>1</v>
      </c>
      <c r="F10" s="13" t="s">
        <v>1834</v>
      </c>
    </row>
    <row r="12" spans="1:9" ht="13.5" thickBot="1" x14ac:dyDescent="0.25">
      <c r="B12" s="2" t="s">
        <v>2865</v>
      </c>
      <c r="C12" s="2"/>
      <c r="D12" s="2"/>
      <c r="E12" s="2"/>
      <c r="F12" s="2"/>
      <c r="G12" s="2"/>
      <c r="H12" s="2"/>
    </row>
    <row r="13" spans="1:9" x14ac:dyDescent="0.2">
      <c r="B13" t="s">
        <v>1835</v>
      </c>
    </row>
    <row r="14" spans="1:9" x14ac:dyDescent="0.2">
      <c r="B14" t="s">
        <v>1836</v>
      </c>
    </row>
    <row r="16" spans="1:9" ht="13.5" thickBot="1" x14ac:dyDescent="0.25">
      <c r="B16" s="2" t="s">
        <v>998</v>
      </c>
      <c r="C16" s="2"/>
      <c r="D16" s="2"/>
      <c r="E16" s="2"/>
      <c r="F16" s="2"/>
      <c r="G16" s="2"/>
      <c r="H16" s="2"/>
    </row>
    <row r="17" spans="2:8" x14ac:dyDescent="0.2">
      <c r="B17" s="61" t="s">
        <v>1837</v>
      </c>
    </row>
    <row r="18" spans="2:8" x14ac:dyDescent="0.2">
      <c r="B18" t="s">
        <v>1838</v>
      </c>
    </row>
    <row r="20" spans="2:8" ht="13.5" thickBot="1" x14ac:dyDescent="0.25">
      <c r="B20" s="2" t="s">
        <v>3355</v>
      </c>
      <c r="C20" s="2"/>
      <c r="D20" s="2"/>
      <c r="E20" s="2"/>
      <c r="F20" s="2"/>
      <c r="G20" s="2"/>
      <c r="H20" s="2"/>
    </row>
    <row r="21" spans="2:8" x14ac:dyDescent="0.2">
      <c r="B21" t="s">
        <v>2424</v>
      </c>
    </row>
    <row r="23" spans="2:8" ht="13.5" thickBot="1" x14ac:dyDescent="0.25">
      <c r="B23" s="2" t="s">
        <v>1001</v>
      </c>
      <c r="C23" s="2"/>
      <c r="D23" s="2"/>
      <c r="E23" s="2"/>
      <c r="F23" s="2"/>
      <c r="G23" s="2"/>
      <c r="H23" s="2"/>
    </row>
    <row r="24" spans="2:8" x14ac:dyDescent="0.2">
      <c r="B24" t="s">
        <v>1839</v>
      </c>
    </row>
    <row r="26" spans="2:8" x14ac:dyDescent="0.2">
      <c r="B26" t="s">
        <v>1840</v>
      </c>
    </row>
    <row r="27" spans="2:8" x14ac:dyDescent="0.2">
      <c r="B27" t="s">
        <v>1841</v>
      </c>
    </row>
    <row r="29" spans="2:8" x14ac:dyDescent="0.2">
      <c r="C29" t="s">
        <v>1013</v>
      </c>
    </row>
    <row r="30" spans="2:8" x14ac:dyDescent="0.2">
      <c r="C30" s="79" t="s">
        <v>1842</v>
      </c>
      <c r="D30" s="24" t="s">
        <v>1843</v>
      </c>
    </row>
    <row r="31" spans="2:8" x14ac:dyDescent="0.2">
      <c r="C31" s="79" t="s">
        <v>1844</v>
      </c>
      <c r="D31" s="54">
        <v>35800</v>
      </c>
    </row>
    <row r="32" spans="2:8" x14ac:dyDescent="0.2">
      <c r="C32" s="79" t="s">
        <v>1845</v>
      </c>
      <c r="D32" s="165" t="e">
        <f>D31-D30</f>
        <v>#VALUE!</v>
      </c>
      <c r="E32" s="13" t="s">
        <v>1846</v>
      </c>
    </row>
    <row r="35" spans="2:4" x14ac:dyDescent="0.2">
      <c r="B35" t="s">
        <v>1847</v>
      </c>
    </row>
    <row r="36" spans="2:4" x14ac:dyDescent="0.2">
      <c r="B36" t="s">
        <v>1848</v>
      </c>
    </row>
    <row r="38" spans="2:4" x14ac:dyDescent="0.2">
      <c r="C38" t="s">
        <v>1024</v>
      </c>
    </row>
    <row r="39" spans="2:4" x14ac:dyDescent="0.2">
      <c r="C39" s="79" t="s">
        <v>1842</v>
      </c>
      <c r="D39" s="24" t="s">
        <v>1843</v>
      </c>
    </row>
    <row r="40" spans="2:4" x14ac:dyDescent="0.2">
      <c r="C40" s="79" t="s">
        <v>1844</v>
      </c>
      <c r="D40" s="54">
        <v>35800</v>
      </c>
    </row>
    <row r="41" spans="2:4" x14ac:dyDescent="0.2">
      <c r="C41" s="79" t="s">
        <v>1845</v>
      </c>
      <c r="D41" s="165" t="str">
        <f>IF(ISERROR(D40-D39),"Error in data entry",D40-D39)</f>
        <v>Error in data entry</v>
      </c>
    </row>
    <row r="42" spans="2:4" x14ac:dyDescent="0.2">
      <c r="D42" s="13" t="s">
        <v>1849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J42"/>
  <sheetViews>
    <sheetView showGridLines="0" workbookViewId="0">
      <pane ySplit="1" topLeftCell="A2" activePane="bottomLeft" state="frozen"/>
      <selection activeCell="A3" sqref="A3"/>
      <selection pane="bottomLeft" activeCell="H6" sqref="H6"/>
    </sheetView>
  </sheetViews>
  <sheetFormatPr defaultRowHeight="12.75" x14ac:dyDescent="0.2"/>
  <cols>
    <col min="1" max="1" width="4.5703125" customWidth="1"/>
    <col min="3" max="3" width="9.5703125" customWidth="1"/>
    <col min="4" max="5" width="10" customWidth="1"/>
    <col min="9" max="9" width="14.42578125" customWidth="1"/>
  </cols>
  <sheetData>
    <row r="1" spans="1:10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D3" s="6" t="s">
        <v>1805</v>
      </c>
      <c r="E3" s="6" t="s">
        <v>3113</v>
      </c>
    </row>
    <row r="4" spans="1:10" x14ac:dyDescent="0.2">
      <c r="D4" s="7">
        <f>1+2</f>
        <v>3</v>
      </c>
      <c r="E4" s="25" t="b">
        <f t="shared" ref="E4:E10" si="0">ISERR(D4)</f>
        <v>0</v>
      </c>
      <c r="F4" s="13" t="s">
        <v>1806</v>
      </c>
    </row>
    <row r="5" spans="1:10" x14ac:dyDescent="0.2">
      <c r="D5" s="24" t="e">
        <f>10/0</f>
        <v>#DIV/0!</v>
      </c>
      <c r="E5" s="25" t="b">
        <f t="shared" si="0"/>
        <v>1</v>
      </c>
      <c r="F5" s="13" t="s">
        <v>1807</v>
      </c>
    </row>
    <row r="6" spans="1:10" x14ac:dyDescent="0.2">
      <c r="D6" s="24" t="e">
        <f>SUM(ALAN)</f>
        <v>#NAME?</v>
      </c>
      <c r="E6" s="25" t="b">
        <f t="shared" si="0"/>
        <v>1</v>
      </c>
      <c r="F6" s="13" t="s">
        <v>1808</v>
      </c>
    </row>
    <row r="7" spans="1:10" x14ac:dyDescent="0.2">
      <c r="D7" s="24" t="e">
        <f>#REF!+10</f>
        <v>#REF!</v>
      </c>
      <c r="E7" s="25" t="b">
        <f t="shared" si="0"/>
        <v>1</v>
      </c>
      <c r="F7" s="13" t="s">
        <v>1809</v>
      </c>
    </row>
    <row r="8" spans="1:10" x14ac:dyDescent="0.2">
      <c r="D8" s="24" t="e">
        <f>SUM("ALAN")</f>
        <v>#VALUE!</v>
      </c>
      <c r="E8" s="25" t="b">
        <f t="shared" si="0"/>
        <v>1</v>
      </c>
      <c r="F8" s="13" t="s">
        <v>1810</v>
      </c>
    </row>
    <row r="9" spans="1:10" x14ac:dyDescent="0.2">
      <c r="D9" s="24" t="e">
        <f>VLOOKUP(A1,A10:A15,A1)</f>
        <v>#N/A</v>
      </c>
      <c r="E9" s="25" t="b">
        <f t="shared" si="0"/>
        <v>0</v>
      </c>
      <c r="F9" s="13" t="s">
        <v>1811</v>
      </c>
    </row>
    <row r="10" spans="1:10" x14ac:dyDescent="0.2">
      <c r="D10" s="24" t="e">
        <v>#N/A</v>
      </c>
      <c r="E10" s="25" t="b">
        <f t="shared" si="0"/>
        <v>0</v>
      </c>
      <c r="F10" s="13" t="s">
        <v>1812</v>
      </c>
    </row>
    <row r="12" spans="1:10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</row>
    <row r="13" spans="1:10" x14ac:dyDescent="0.2">
      <c r="B13" t="s">
        <v>1813</v>
      </c>
    </row>
    <row r="14" spans="1:10" x14ac:dyDescent="0.2">
      <c r="B14" t="s">
        <v>1814</v>
      </c>
    </row>
    <row r="15" spans="1:10" x14ac:dyDescent="0.2">
      <c r="B15" t="s">
        <v>1815</v>
      </c>
    </row>
    <row r="17" spans="2:9" ht="13.5" thickBot="1" x14ac:dyDescent="0.25">
      <c r="B17" s="2" t="s">
        <v>998</v>
      </c>
      <c r="C17" s="2"/>
      <c r="D17" s="2"/>
      <c r="E17" s="2"/>
      <c r="F17" s="2"/>
      <c r="G17" s="2"/>
      <c r="H17" s="2"/>
      <c r="I17" s="2"/>
    </row>
    <row r="18" spans="2:9" x14ac:dyDescent="0.2">
      <c r="B18" s="61" t="s">
        <v>1816</v>
      </c>
    </row>
    <row r="19" spans="2:9" x14ac:dyDescent="0.2">
      <c r="B19" t="s">
        <v>1817</v>
      </c>
    </row>
    <row r="21" spans="2:9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2424</v>
      </c>
    </row>
    <row r="24" spans="2:9" ht="13.5" thickBot="1" x14ac:dyDescent="0.25">
      <c r="B24" s="2" t="s">
        <v>1001</v>
      </c>
      <c r="C24" s="2"/>
      <c r="D24" s="2"/>
      <c r="E24" s="2"/>
      <c r="F24" s="2"/>
      <c r="G24" s="2"/>
      <c r="H24" s="2"/>
      <c r="I24" s="2"/>
    </row>
    <row r="25" spans="2:9" x14ac:dyDescent="0.2">
      <c r="B25" t="s">
        <v>1818</v>
      </c>
    </row>
    <row r="26" spans="2:9" x14ac:dyDescent="0.2">
      <c r="B26" t="s">
        <v>1819</v>
      </c>
    </row>
    <row r="28" spans="2:9" x14ac:dyDescent="0.2">
      <c r="B28" t="s">
        <v>1820</v>
      </c>
    </row>
    <row r="29" spans="2:9" x14ac:dyDescent="0.2">
      <c r="B29" t="s">
        <v>1821</v>
      </c>
    </row>
    <row r="31" spans="2:9" x14ac:dyDescent="0.2">
      <c r="C31" t="s">
        <v>1013</v>
      </c>
    </row>
    <row r="32" spans="2:9" x14ac:dyDescent="0.2">
      <c r="C32" s="20"/>
      <c r="D32" s="21" t="s">
        <v>1822</v>
      </c>
      <c r="E32" s="83">
        <v>24</v>
      </c>
    </row>
    <row r="33" spans="2:6" x14ac:dyDescent="0.2">
      <c r="C33" s="20"/>
      <c r="D33" s="21" t="s">
        <v>1823</v>
      </c>
      <c r="E33" s="7">
        <v>0</v>
      </c>
    </row>
    <row r="34" spans="2:6" x14ac:dyDescent="0.2">
      <c r="C34" s="20"/>
      <c r="D34" s="21" t="s">
        <v>1824</v>
      </c>
      <c r="E34" s="8" t="e">
        <f>E32/E33</f>
        <v>#DIV/0!</v>
      </c>
      <c r="F34" s="13" t="s">
        <v>1825</v>
      </c>
    </row>
    <row r="37" spans="2:6" x14ac:dyDescent="0.2">
      <c r="B37" t="s">
        <v>1826</v>
      </c>
    </row>
    <row r="39" spans="2:6" x14ac:dyDescent="0.2">
      <c r="C39" t="s">
        <v>1024</v>
      </c>
    </row>
    <row r="40" spans="2:6" x14ac:dyDescent="0.2">
      <c r="C40" s="20"/>
      <c r="D40" s="21" t="s">
        <v>1822</v>
      </c>
      <c r="E40" s="83">
        <v>24</v>
      </c>
    </row>
    <row r="41" spans="2:6" x14ac:dyDescent="0.2">
      <c r="C41" s="20"/>
      <c r="D41" s="21" t="s">
        <v>1823</v>
      </c>
      <c r="E41" s="7">
        <v>0</v>
      </c>
    </row>
    <row r="42" spans="2:6" x14ac:dyDescent="0.2">
      <c r="C42" s="20"/>
      <c r="D42" s="21" t="s">
        <v>1824</v>
      </c>
      <c r="E42" s="8" t="str">
        <f>IF(ISERR(E40/E41),"Try again!",E40/E41)</f>
        <v>Try again!</v>
      </c>
      <c r="F42" s="13" t="s">
        <v>1827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I40"/>
  <sheetViews>
    <sheetView showGridLines="0" workbookViewId="0">
      <pane ySplit="1" topLeftCell="A2" activePane="bottomLeft" state="frozen"/>
      <selection activeCell="A3" sqref="A3"/>
      <selection pane="bottomLeft" activeCell="F4" sqref="F4"/>
    </sheetView>
  </sheetViews>
  <sheetFormatPr defaultRowHeight="12.75" x14ac:dyDescent="0.2"/>
  <cols>
    <col min="1" max="1" width="2.7109375" customWidth="1"/>
    <col min="4" max="4" width="16.5703125" customWidth="1"/>
    <col min="5" max="5" width="14" customWidth="1"/>
    <col min="6" max="6" width="9.7109375" customWidth="1"/>
    <col min="8" max="8" width="11.140625" customWidth="1"/>
  </cols>
  <sheetData>
    <row r="1" spans="1:9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2956</v>
      </c>
      <c r="D3" s="6" t="s">
        <v>3590</v>
      </c>
    </row>
    <row r="4" spans="1:9" x14ac:dyDescent="0.2">
      <c r="C4" s="7">
        <v>1</v>
      </c>
      <c r="D4" s="291" t="b">
        <f>ISBLANK(C4)</f>
        <v>0</v>
      </c>
      <c r="E4" s="13" t="s">
        <v>3591</v>
      </c>
    </row>
    <row r="5" spans="1:9" x14ac:dyDescent="0.2">
      <c r="C5" s="7" t="s">
        <v>1029</v>
      </c>
      <c r="D5" s="291" t="b">
        <f>ISBLANK(C5)</f>
        <v>0</v>
      </c>
      <c r="E5" s="13" t="s">
        <v>3592</v>
      </c>
    </row>
    <row r="6" spans="1:9" x14ac:dyDescent="0.2">
      <c r="C6" s="161"/>
      <c r="D6" s="291" t="b">
        <f>ISBLANK(C6)</f>
        <v>1</v>
      </c>
      <c r="E6" s="13" t="s">
        <v>3593</v>
      </c>
    </row>
    <row r="7" spans="1:9" x14ac:dyDescent="0.2">
      <c r="C7" s="161">
        <v>36154</v>
      </c>
      <c r="D7" s="291" t="b">
        <f>ISBLANK(C7)</f>
        <v>0</v>
      </c>
      <c r="E7" s="13" t="s">
        <v>3594</v>
      </c>
    </row>
    <row r="9" spans="1:9" ht="13.5" thickBot="1" x14ac:dyDescent="0.25">
      <c r="B9" s="2" t="s">
        <v>3118</v>
      </c>
      <c r="C9" s="2"/>
      <c r="D9" s="2"/>
      <c r="E9" s="2"/>
      <c r="F9" s="2"/>
      <c r="G9" s="2"/>
      <c r="H9" s="2"/>
    </row>
    <row r="10" spans="1:9" x14ac:dyDescent="0.2">
      <c r="B10" t="s">
        <v>3595</v>
      </c>
    </row>
    <row r="11" spans="1:9" x14ac:dyDescent="0.2">
      <c r="B11" t="s">
        <v>3596</v>
      </c>
    </row>
    <row r="12" spans="1:9" x14ac:dyDescent="0.2">
      <c r="B12" t="s">
        <v>3597</v>
      </c>
    </row>
    <row r="13" spans="1:9" x14ac:dyDescent="0.2">
      <c r="B13" t="s">
        <v>3598</v>
      </c>
    </row>
    <row r="14" spans="1:9" x14ac:dyDescent="0.2">
      <c r="B14" t="s">
        <v>3599</v>
      </c>
    </row>
    <row r="16" spans="1:9" ht="13.5" thickBot="1" x14ac:dyDescent="0.25">
      <c r="B16" s="2" t="s">
        <v>998</v>
      </c>
      <c r="C16" s="2"/>
      <c r="D16" s="2"/>
      <c r="E16" s="2"/>
      <c r="F16" s="2"/>
      <c r="G16" s="2"/>
      <c r="H16" s="2"/>
    </row>
    <row r="17" spans="2:8" x14ac:dyDescent="0.2">
      <c r="B17" t="s">
        <v>3600</v>
      </c>
    </row>
    <row r="19" spans="2:8" ht="13.5" thickBot="1" x14ac:dyDescent="0.25">
      <c r="B19" s="2" t="s">
        <v>3355</v>
      </c>
      <c r="C19" s="2"/>
      <c r="D19" s="2"/>
      <c r="E19" s="2"/>
      <c r="F19" s="2"/>
      <c r="G19" s="2"/>
      <c r="H19" s="2"/>
    </row>
    <row r="20" spans="2:8" x14ac:dyDescent="0.2">
      <c r="B20" t="s">
        <v>3601</v>
      </c>
    </row>
    <row r="22" spans="2:8" ht="13.5" thickBot="1" x14ac:dyDescent="0.25">
      <c r="B22" s="2" t="s">
        <v>1001</v>
      </c>
      <c r="C22" s="2"/>
      <c r="D22" s="2"/>
      <c r="E22" s="2"/>
      <c r="F22" s="2"/>
      <c r="G22" s="2"/>
      <c r="H22" s="2"/>
    </row>
    <row r="23" spans="2:8" x14ac:dyDescent="0.2">
      <c r="B23" t="s">
        <v>3602</v>
      </c>
    </row>
    <row r="24" spans="2:8" x14ac:dyDescent="0.2">
      <c r="B24" t="s">
        <v>3603</v>
      </c>
    </row>
    <row r="25" spans="2:8" x14ac:dyDescent="0.2">
      <c r="B25" t="s">
        <v>3604</v>
      </c>
    </row>
    <row r="26" spans="2:8" x14ac:dyDescent="0.2">
      <c r="B26" t="s">
        <v>3605</v>
      </c>
    </row>
    <row r="27" spans="2:8" x14ac:dyDescent="0.2">
      <c r="B27" t="s">
        <v>3606</v>
      </c>
    </row>
    <row r="28" spans="2:8" x14ac:dyDescent="0.2">
      <c r="B28" t="s">
        <v>3607</v>
      </c>
    </row>
    <row r="30" spans="2:8" x14ac:dyDescent="0.2">
      <c r="B30" s="292" t="s">
        <v>3608</v>
      </c>
      <c r="C30" s="293"/>
      <c r="D30" s="294" t="s">
        <v>1463</v>
      </c>
      <c r="E30" s="295"/>
      <c r="F30" s="294" t="s">
        <v>1463</v>
      </c>
      <c r="G30" s="295"/>
      <c r="H30" s="295"/>
    </row>
    <row r="31" spans="2:8" x14ac:dyDescent="0.2">
      <c r="B31" s="296" t="s">
        <v>3609</v>
      </c>
      <c r="C31" s="296" t="s">
        <v>3610</v>
      </c>
      <c r="D31" s="297" t="s">
        <v>3611</v>
      </c>
      <c r="E31" s="297" t="s">
        <v>3612</v>
      </c>
      <c r="F31" s="297" t="s">
        <v>3613</v>
      </c>
      <c r="G31" s="297" t="s">
        <v>3614</v>
      </c>
      <c r="H31" s="297" t="s">
        <v>3615</v>
      </c>
    </row>
    <row r="32" spans="2:8" x14ac:dyDescent="0.2">
      <c r="B32" s="7" t="s">
        <v>3616</v>
      </c>
      <c r="C32" s="7" t="s">
        <v>3617</v>
      </c>
      <c r="D32" s="161">
        <v>35796</v>
      </c>
      <c r="E32" s="298">
        <v>100</v>
      </c>
      <c r="F32" s="161">
        <v>35797</v>
      </c>
      <c r="G32" s="8">
        <f>IF(ISBLANK(F32),0,E32)</f>
        <v>100</v>
      </c>
      <c r="H32" s="8">
        <f>IF(ISBLANK(F32),E32,0)</f>
        <v>0</v>
      </c>
    </row>
    <row r="33" spans="2:8" x14ac:dyDescent="0.2">
      <c r="B33" s="7" t="s">
        <v>3618</v>
      </c>
      <c r="C33" s="7" t="s">
        <v>3619</v>
      </c>
      <c r="D33" s="161">
        <v>35796</v>
      </c>
      <c r="E33" s="298">
        <v>200</v>
      </c>
      <c r="F33" s="161">
        <v>35802</v>
      </c>
      <c r="G33" s="8">
        <f>IF(ISBLANK(F33),0,E33)</f>
        <v>200</v>
      </c>
      <c r="H33" s="8">
        <f>IF(ISBLANK(F33),E33,0)</f>
        <v>0</v>
      </c>
    </row>
    <row r="34" spans="2:8" x14ac:dyDescent="0.2">
      <c r="B34" s="7" t="s">
        <v>3620</v>
      </c>
      <c r="C34" s="7" t="s">
        <v>3621</v>
      </c>
      <c r="D34" s="161">
        <v>35797</v>
      </c>
      <c r="E34" s="298">
        <v>50</v>
      </c>
      <c r="F34" s="161"/>
      <c r="G34" s="8">
        <f>IF(ISBLANK(F34),0,E34)</f>
        <v>0</v>
      </c>
      <c r="H34" s="8">
        <f>IF(ISBLANK(F34),E34,0)</f>
        <v>50</v>
      </c>
    </row>
    <row r="35" spans="2:8" x14ac:dyDescent="0.2">
      <c r="B35" s="7" t="s">
        <v>3622</v>
      </c>
      <c r="C35" s="7" t="s">
        <v>3623</v>
      </c>
      <c r="D35" s="161">
        <v>35798</v>
      </c>
      <c r="E35" s="298">
        <v>1000</v>
      </c>
      <c r="F35" s="161"/>
      <c r="G35" s="8">
        <f>IF(ISBLANK(F35),0,E35)</f>
        <v>0</v>
      </c>
      <c r="H35" s="8">
        <f>IF(ISBLANK(F35),E35,0)</f>
        <v>1000</v>
      </c>
    </row>
    <row r="36" spans="2:8" x14ac:dyDescent="0.2">
      <c r="B36" s="7" t="s">
        <v>3624</v>
      </c>
      <c r="C36" s="7" t="s">
        <v>3621</v>
      </c>
      <c r="D36" s="161">
        <v>35799</v>
      </c>
      <c r="E36" s="298">
        <v>250</v>
      </c>
      <c r="F36" s="161">
        <v>35801</v>
      </c>
      <c r="G36" s="8">
        <f>IF(ISBLANK(F36),0,E36)</f>
        <v>250</v>
      </c>
      <c r="H36" s="8">
        <f>IF(ISBLANK(F36),E36,0)</f>
        <v>0</v>
      </c>
    </row>
    <row r="37" spans="2:8" x14ac:dyDescent="0.2">
      <c r="G37" s="66" t="s">
        <v>1802</v>
      </c>
    </row>
    <row r="38" spans="2:8" x14ac:dyDescent="0.2">
      <c r="H38" s="66" t="s">
        <v>1803</v>
      </c>
    </row>
    <row r="40" spans="2:8" x14ac:dyDescent="0.2">
      <c r="F40" s="296" t="s">
        <v>1804</v>
      </c>
      <c r="G40" s="8">
        <f>SUM(G32:G36)</f>
        <v>550</v>
      </c>
      <c r="H40" s="8">
        <f>SUM(H32:H36)</f>
        <v>1050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J59"/>
  <sheetViews>
    <sheetView showGridLines="0" workbookViewId="0">
      <pane ySplit="1" topLeftCell="A2" activePane="bottomLeft" state="frozen"/>
      <selection activeCell="A3" sqref="A3"/>
      <selection pane="bottomLeft" activeCell="D4" sqref="D4"/>
    </sheetView>
  </sheetViews>
  <sheetFormatPr defaultRowHeight="12.75" x14ac:dyDescent="0.2"/>
  <cols>
    <col min="1" max="1" width="2.5703125" customWidth="1"/>
    <col min="3" max="3" width="10.5703125" customWidth="1"/>
    <col min="4" max="4" width="11" customWidth="1"/>
    <col min="5" max="5" width="12" customWidth="1"/>
  </cols>
  <sheetData>
    <row r="1" spans="1:10" ht="36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990</v>
      </c>
      <c r="D3" s="6" t="s">
        <v>3564</v>
      </c>
    </row>
    <row r="4" spans="1:10" x14ac:dyDescent="0.2">
      <c r="C4" s="7">
        <v>1.5</v>
      </c>
      <c r="D4" s="8">
        <f>INT(C4)</f>
        <v>1</v>
      </c>
      <c r="E4" s="13" t="s">
        <v>3565</v>
      </c>
    </row>
    <row r="5" spans="1:10" x14ac:dyDescent="0.2">
      <c r="C5" s="7">
        <v>2.2999999999999998</v>
      </c>
      <c r="D5" s="8">
        <f>INT(C5)</f>
        <v>2</v>
      </c>
      <c r="E5" s="13" t="s">
        <v>3566</v>
      </c>
    </row>
    <row r="6" spans="1:10" x14ac:dyDescent="0.2">
      <c r="C6" s="7">
        <v>10.75</v>
      </c>
      <c r="D6" s="8">
        <f>INT(C6)</f>
        <v>10</v>
      </c>
      <c r="E6" s="13" t="s">
        <v>3567</v>
      </c>
    </row>
    <row r="7" spans="1:10" x14ac:dyDescent="0.2">
      <c r="C7" s="24">
        <v>-1.4758899999999999</v>
      </c>
      <c r="D7" s="8">
        <f>INT(C7)</f>
        <v>-2</v>
      </c>
      <c r="E7" s="13" t="s">
        <v>3568</v>
      </c>
    </row>
    <row r="9" spans="1:10" ht="13.5" thickBot="1" x14ac:dyDescent="0.25">
      <c r="B9" s="2" t="s">
        <v>2865</v>
      </c>
      <c r="C9" s="2"/>
      <c r="D9" s="2"/>
      <c r="E9" s="2"/>
      <c r="F9" s="2"/>
      <c r="G9" s="2"/>
      <c r="H9" s="2"/>
      <c r="I9" s="2"/>
    </row>
    <row r="10" spans="1:10" x14ac:dyDescent="0.2">
      <c r="B10" t="s">
        <v>3569</v>
      </c>
    </row>
    <row r="12" spans="1:10" ht="13.5" thickBot="1" x14ac:dyDescent="0.25">
      <c r="B12" s="2" t="s">
        <v>998</v>
      </c>
      <c r="C12" s="2"/>
      <c r="D12" s="2"/>
      <c r="E12" s="2"/>
      <c r="F12" s="2"/>
      <c r="G12" s="2"/>
      <c r="H12" s="2"/>
      <c r="I12" s="2"/>
    </row>
    <row r="13" spans="1:10" x14ac:dyDescent="0.2">
      <c r="B13" s="61" t="s">
        <v>3570</v>
      </c>
    </row>
    <row r="15" spans="1:10" ht="13.5" thickBot="1" x14ac:dyDescent="0.25">
      <c r="B15" s="2" t="s">
        <v>3355</v>
      </c>
      <c r="C15" s="2"/>
      <c r="D15" s="2"/>
      <c r="E15" s="2"/>
      <c r="F15" s="2"/>
      <c r="G15" s="2"/>
      <c r="H15" s="2"/>
      <c r="I15" s="2"/>
    </row>
    <row r="16" spans="1:10" x14ac:dyDescent="0.2">
      <c r="B16" t="s">
        <v>2424</v>
      </c>
    </row>
    <row r="18" spans="2:9" ht="13.5" thickBot="1" x14ac:dyDescent="0.25">
      <c r="B18" s="2" t="s">
        <v>1001</v>
      </c>
      <c r="C18" s="2"/>
      <c r="D18" s="2"/>
      <c r="E18" s="2"/>
      <c r="F18" s="2"/>
      <c r="G18" s="2"/>
      <c r="H18" s="2"/>
      <c r="I18" s="2"/>
    </row>
    <row r="19" spans="2:9" x14ac:dyDescent="0.2">
      <c r="B19" t="s">
        <v>3571</v>
      </c>
    </row>
    <row r="20" spans="2:9" x14ac:dyDescent="0.2">
      <c r="B20" t="s">
        <v>3572</v>
      </c>
    </row>
    <row r="21" spans="2:9" x14ac:dyDescent="0.2">
      <c r="B21" t="s">
        <v>3573</v>
      </c>
    </row>
    <row r="22" spans="2:9" x14ac:dyDescent="0.2">
      <c r="B22" t="s">
        <v>3574</v>
      </c>
    </row>
    <row r="23" spans="2:9" x14ac:dyDescent="0.2">
      <c r="B23" t="s">
        <v>3575</v>
      </c>
    </row>
    <row r="25" spans="2:9" x14ac:dyDescent="0.2">
      <c r="C25" t="s">
        <v>1013</v>
      </c>
    </row>
    <row r="26" spans="2:9" x14ac:dyDescent="0.2">
      <c r="C26" s="6" t="s">
        <v>3576</v>
      </c>
      <c r="D26" s="6" t="s">
        <v>3577</v>
      </c>
      <c r="E26" s="6" t="s">
        <v>3144</v>
      </c>
    </row>
    <row r="27" spans="2:9" x14ac:dyDescent="0.2">
      <c r="C27" s="161">
        <v>29221</v>
      </c>
      <c r="D27" s="161">
        <v>32387</v>
      </c>
      <c r="E27" s="221">
        <f>(D27-C27)/365.25</f>
        <v>8.6680355920602334</v>
      </c>
      <c r="F27" s="13" t="s">
        <v>3578</v>
      </c>
    </row>
    <row r="28" spans="2:9" x14ac:dyDescent="0.2">
      <c r="C28" s="161">
        <v>29622</v>
      </c>
      <c r="D28" s="161">
        <v>32387</v>
      </c>
      <c r="E28" s="221">
        <f>(D28-C28)/365.25</f>
        <v>7.57015742642026</v>
      </c>
    </row>
    <row r="29" spans="2:9" x14ac:dyDescent="0.2">
      <c r="C29" s="161">
        <v>29148</v>
      </c>
      <c r="D29" s="161">
        <v>32387</v>
      </c>
      <c r="E29" s="221">
        <f>(D29-C29)/365.25</f>
        <v>8.8678986995208753</v>
      </c>
    </row>
    <row r="30" spans="2:9" x14ac:dyDescent="0.2">
      <c r="C30" s="161">
        <v>29646</v>
      </c>
      <c r="D30" s="161">
        <v>32387</v>
      </c>
      <c r="E30" s="221">
        <f>(D30-C30)/365.25</f>
        <v>7.5044490075290895</v>
      </c>
    </row>
    <row r="31" spans="2:9" x14ac:dyDescent="0.2">
      <c r="C31" s="169"/>
      <c r="D31" s="169"/>
      <c r="E31" s="290"/>
    </row>
    <row r="33" spans="2:6" x14ac:dyDescent="0.2">
      <c r="B33" t="s">
        <v>3579</v>
      </c>
    </row>
    <row r="34" spans="2:6" x14ac:dyDescent="0.2">
      <c r="B34" t="s">
        <v>3580</v>
      </c>
    </row>
    <row r="36" spans="2:6" x14ac:dyDescent="0.2">
      <c r="C36" t="s">
        <v>1024</v>
      </c>
    </row>
    <row r="37" spans="2:6" x14ac:dyDescent="0.2">
      <c r="C37" s="6" t="s">
        <v>3576</v>
      </c>
      <c r="D37" s="6" t="s">
        <v>3577</v>
      </c>
      <c r="E37" s="6" t="s">
        <v>3144</v>
      </c>
    </row>
    <row r="38" spans="2:6" x14ac:dyDescent="0.2">
      <c r="C38" s="161">
        <v>29221</v>
      </c>
      <c r="D38" s="161">
        <v>32387</v>
      </c>
      <c r="E38" s="82">
        <f>(D38-C38)/365.25</f>
        <v>8.6680355920602334</v>
      </c>
      <c r="F38" s="13" t="s">
        <v>3581</v>
      </c>
    </row>
    <row r="39" spans="2:6" x14ac:dyDescent="0.2">
      <c r="C39" s="161">
        <v>29622</v>
      </c>
      <c r="D39" s="161">
        <v>32387</v>
      </c>
      <c r="E39" s="82">
        <f>(D39-C39)/365.25</f>
        <v>7.57015742642026</v>
      </c>
    </row>
    <row r="40" spans="2:6" x14ac:dyDescent="0.2">
      <c r="C40" s="161">
        <v>29148</v>
      </c>
      <c r="D40" s="161">
        <v>32387</v>
      </c>
      <c r="E40" s="82">
        <f>(D40-C40)/365.25</f>
        <v>8.8678986995208753</v>
      </c>
    </row>
    <row r="41" spans="2:6" x14ac:dyDescent="0.2">
      <c r="C41" s="161">
        <v>29646</v>
      </c>
      <c r="D41" s="161">
        <v>32387</v>
      </c>
      <c r="E41" s="82">
        <f>(D41-C41)/365.25</f>
        <v>7.5044490075290895</v>
      </c>
    </row>
    <row r="44" spans="2:6" x14ac:dyDescent="0.2">
      <c r="B44" t="s">
        <v>3582</v>
      </c>
    </row>
    <row r="45" spans="2:6" x14ac:dyDescent="0.2">
      <c r="B45" t="s">
        <v>3583</v>
      </c>
    </row>
    <row r="47" spans="2:6" x14ac:dyDescent="0.2">
      <c r="C47" t="s">
        <v>3584</v>
      </c>
    </row>
    <row r="48" spans="2:6" x14ac:dyDescent="0.2">
      <c r="C48" s="6" t="s">
        <v>3576</v>
      </c>
      <c r="D48" s="6" t="s">
        <v>3577</v>
      </c>
      <c r="E48" s="6" t="s">
        <v>3144</v>
      </c>
    </row>
    <row r="49" spans="2:9" x14ac:dyDescent="0.2">
      <c r="C49" s="161">
        <v>29221</v>
      </c>
      <c r="D49" s="161">
        <v>32387</v>
      </c>
      <c r="E49" s="221">
        <f>INT((D49-C49)/365.25)</f>
        <v>8</v>
      </c>
      <c r="F49" s="13" t="s">
        <v>3585</v>
      </c>
    </row>
    <row r="50" spans="2:9" x14ac:dyDescent="0.2">
      <c r="C50" s="161">
        <v>29622</v>
      </c>
      <c r="D50" s="161">
        <v>32387</v>
      </c>
      <c r="E50" s="221">
        <f>INT((D50-C50)/365.25)</f>
        <v>7</v>
      </c>
    </row>
    <row r="51" spans="2:9" x14ac:dyDescent="0.2">
      <c r="C51" s="161">
        <v>29148</v>
      </c>
      <c r="D51" s="161">
        <v>32387</v>
      </c>
      <c r="E51" s="221">
        <f>INT((D51-C51)/365.25)</f>
        <v>8</v>
      </c>
    </row>
    <row r="52" spans="2:9" x14ac:dyDescent="0.2">
      <c r="C52" s="161">
        <v>29646</v>
      </c>
      <c r="D52" s="161">
        <v>32387</v>
      </c>
      <c r="E52" s="221">
        <f>INT((D52-C52)/365.25)</f>
        <v>7</v>
      </c>
    </row>
    <row r="55" spans="2:9" ht="13.5" thickBot="1" x14ac:dyDescent="0.25">
      <c r="B55" s="2" t="s">
        <v>2659</v>
      </c>
      <c r="C55" s="2"/>
      <c r="D55" s="2"/>
      <c r="E55" s="2"/>
      <c r="F55" s="2"/>
      <c r="G55" s="2"/>
      <c r="H55" s="2"/>
      <c r="I55" s="2"/>
    </row>
    <row r="56" spans="2:9" x14ac:dyDescent="0.2">
      <c r="B56" t="s">
        <v>3586</v>
      </c>
    </row>
    <row r="57" spans="2:9" x14ac:dyDescent="0.2">
      <c r="B57" t="s">
        <v>3587</v>
      </c>
    </row>
    <row r="58" spans="2:9" x14ac:dyDescent="0.2">
      <c r="B58" t="s">
        <v>3588</v>
      </c>
    </row>
    <row r="59" spans="2:9" x14ac:dyDescent="0.2">
      <c r="B59" t="s">
        <v>3589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F23"/>
  <sheetViews>
    <sheetView showGridLines="0" workbookViewId="0">
      <pane ySplit="1" topLeftCell="A2" activePane="bottomLeft" state="frozen"/>
      <selection activeCell="A3" sqref="A3"/>
      <selection pane="bottomLeft" activeCell="G6" sqref="G6"/>
    </sheetView>
  </sheetViews>
  <sheetFormatPr defaultRowHeight="12.75" x14ac:dyDescent="0.2"/>
  <cols>
    <col min="1" max="1" width="3.28515625" customWidth="1"/>
    <col min="2" max="2" width="35.7109375" customWidth="1"/>
    <col min="3" max="3" width="23.5703125" customWidth="1"/>
  </cols>
  <sheetData>
    <row r="1" spans="1:6" ht="44.25" customHeight="1" x14ac:dyDescent="0.25">
      <c r="A1" s="476"/>
      <c r="B1" s="476"/>
      <c r="C1" s="476"/>
      <c r="D1" s="476"/>
      <c r="E1" s="476"/>
      <c r="F1" s="478"/>
    </row>
    <row r="3" spans="1:6" x14ac:dyDescent="0.2">
      <c r="C3" s="6" t="s">
        <v>1074</v>
      </c>
    </row>
    <row r="4" spans="1:6" x14ac:dyDescent="0.2">
      <c r="B4" s="79" t="s">
        <v>1075</v>
      </c>
      <c r="C4" s="136" t="str">
        <f ca="1">INFO("directory")</f>
        <v>C:\Users\omkumar.barot\Documents\</v>
      </c>
      <c r="D4" s="63" t="s">
        <v>1076</v>
      </c>
    </row>
    <row r="5" spans="1:6" x14ac:dyDescent="0.2">
      <c r="B5" s="79" t="s">
        <v>1077</v>
      </c>
      <c r="C5" s="288" t="e">
        <f ca="1">INFO("memavail")</f>
        <v>#N/A</v>
      </c>
      <c r="D5" s="63" t="s">
        <v>1078</v>
      </c>
    </row>
    <row r="6" spans="1:6" x14ac:dyDescent="0.2">
      <c r="B6" s="79" t="s">
        <v>1079</v>
      </c>
      <c r="C6" s="288" t="e">
        <f ca="1">INFO("memused")</f>
        <v>#N/A</v>
      </c>
      <c r="D6" s="63" t="s">
        <v>1080</v>
      </c>
    </row>
    <row r="7" spans="1:6" x14ac:dyDescent="0.2">
      <c r="B7" s="79" t="s">
        <v>1081</v>
      </c>
      <c r="C7" s="288" t="e">
        <f ca="1">INFO("totmem")</f>
        <v>#N/A</v>
      </c>
      <c r="D7" s="63" t="s">
        <v>1082</v>
      </c>
    </row>
    <row r="8" spans="1:6" x14ac:dyDescent="0.2">
      <c r="B8" s="79" t="s">
        <v>1083</v>
      </c>
      <c r="C8" s="289">
        <f ca="1">INFO("numfile")</f>
        <v>157</v>
      </c>
      <c r="D8" s="63" t="s">
        <v>1084</v>
      </c>
    </row>
    <row r="9" spans="1:6" x14ac:dyDescent="0.2">
      <c r="B9" s="79" t="s">
        <v>1085</v>
      </c>
      <c r="C9" s="136" t="str">
        <f ca="1">INFO("origin")</f>
        <v>$A:$A$1</v>
      </c>
      <c r="D9" s="63" t="s">
        <v>1086</v>
      </c>
    </row>
    <row r="10" spans="1:6" x14ac:dyDescent="0.2">
      <c r="B10" s="79" t="s">
        <v>1087</v>
      </c>
      <c r="C10" s="136" t="str">
        <f ca="1">INFO("osversion")</f>
        <v>Windows (64-bit) NT :.00</v>
      </c>
      <c r="D10" s="63" t="s">
        <v>1088</v>
      </c>
    </row>
    <row r="11" spans="1:6" x14ac:dyDescent="0.2">
      <c r="B11" s="79" t="s">
        <v>1089</v>
      </c>
      <c r="C11" s="136" t="str">
        <f ca="1">INFO("recalc")</f>
        <v>Automatic</v>
      </c>
      <c r="D11" s="63" t="s">
        <v>1090</v>
      </c>
    </row>
    <row r="12" spans="1:6" x14ac:dyDescent="0.2">
      <c r="B12" s="79" t="s">
        <v>1091</v>
      </c>
      <c r="C12" s="136" t="str">
        <f ca="1">INFO("release")</f>
        <v>16.0</v>
      </c>
      <c r="D12" s="63" t="s">
        <v>1092</v>
      </c>
    </row>
    <row r="13" spans="1:6" x14ac:dyDescent="0.2">
      <c r="B13" s="79" t="s">
        <v>1093</v>
      </c>
      <c r="C13" s="136" t="str">
        <f ca="1">INFO("system")</f>
        <v>pcdos</v>
      </c>
      <c r="D13" s="63" t="s">
        <v>1094</v>
      </c>
    </row>
    <row r="15" spans="1:6" ht="13.5" thickBot="1" x14ac:dyDescent="0.25">
      <c r="B15" s="2" t="s">
        <v>3118</v>
      </c>
      <c r="C15" s="2"/>
      <c r="D15" s="2"/>
      <c r="E15" s="2"/>
    </row>
    <row r="16" spans="1:6" x14ac:dyDescent="0.2">
      <c r="B16" t="s">
        <v>1095</v>
      </c>
    </row>
    <row r="18" spans="2:5" ht="13.5" thickBot="1" x14ac:dyDescent="0.25">
      <c r="B18" s="2" t="s">
        <v>998</v>
      </c>
      <c r="C18" s="2"/>
      <c r="D18" s="2"/>
      <c r="E18" s="2"/>
    </row>
    <row r="19" spans="2:5" x14ac:dyDescent="0.2">
      <c r="B19" t="s">
        <v>1096</v>
      </c>
    </row>
    <row r="20" spans="2:5" x14ac:dyDescent="0.2">
      <c r="B20" t="s">
        <v>1097</v>
      </c>
    </row>
    <row r="22" spans="2:5" ht="13.5" thickBot="1" x14ac:dyDescent="0.25">
      <c r="B22" s="2" t="s">
        <v>3355</v>
      </c>
      <c r="C22" s="2"/>
      <c r="D22" s="2"/>
      <c r="E22" s="2"/>
    </row>
    <row r="23" spans="2:5" x14ac:dyDescent="0.2">
      <c r="B23" t="s">
        <v>3563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L51"/>
  <sheetViews>
    <sheetView showGridLines="0" workbookViewId="0">
      <pane ySplit="1" topLeftCell="A2" activePane="bottomLeft" state="frozen"/>
      <selection activeCell="A3" sqref="A3"/>
      <selection pane="bottomLeft" activeCell="J4" sqref="J4"/>
    </sheetView>
  </sheetViews>
  <sheetFormatPr defaultRowHeight="12.75" x14ac:dyDescent="0.2"/>
  <cols>
    <col min="1" max="1" width="2.7109375" customWidth="1"/>
    <col min="2" max="2" width="9.42578125" customWidth="1"/>
    <col min="10" max="10" width="8.28515625" customWidth="1"/>
    <col min="11" max="11" width="2.7109375" customWidth="1"/>
  </cols>
  <sheetData>
    <row r="1" spans="1:12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  <c r="L1" s="478"/>
    </row>
    <row r="3" spans="1:12" x14ac:dyDescent="0.2">
      <c r="F3" s="242" t="s">
        <v>3555</v>
      </c>
      <c r="G3" s="242" t="s">
        <v>3556</v>
      </c>
      <c r="H3" s="242" t="s">
        <v>3557</v>
      </c>
    </row>
    <row r="4" spans="1:12" x14ac:dyDescent="0.2">
      <c r="E4" s="242" t="s">
        <v>3356</v>
      </c>
      <c r="F4" s="7">
        <v>10</v>
      </c>
      <c r="G4" s="7">
        <v>20</v>
      </c>
      <c r="H4" s="7">
        <v>30</v>
      </c>
    </row>
    <row r="5" spans="1:12" x14ac:dyDescent="0.2">
      <c r="E5" s="242" t="s">
        <v>3357</v>
      </c>
      <c r="F5" s="7">
        <v>40</v>
      </c>
      <c r="G5" s="7">
        <v>50</v>
      </c>
      <c r="H5" s="7">
        <v>60</v>
      </c>
    </row>
    <row r="6" spans="1:12" x14ac:dyDescent="0.2">
      <c r="E6" s="242" t="s">
        <v>3358</v>
      </c>
      <c r="F6" s="7">
        <v>70</v>
      </c>
      <c r="G6" s="7">
        <v>80</v>
      </c>
      <c r="H6" s="7">
        <v>90</v>
      </c>
    </row>
    <row r="7" spans="1:12" x14ac:dyDescent="0.2">
      <c r="E7" s="242" t="s">
        <v>3359</v>
      </c>
      <c r="F7" s="7">
        <v>100</v>
      </c>
      <c r="G7" s="7">
        <v>110</v>
      </c>
      <c r="H7" s="7">
        <v>120</v>
      </c>
    </row>
    <row r="9" spans="1:12" x14ac:dyDescent="0.2">
      <c r="B9" s="20"/>
      <c r="C9" s="162"/>
      <c r="D9" s="162"/>
      <c r="E9" s="162"/>
      <c r="F9" s="162"/>
      <c r="G9" s="59" t="s">
        <v>1048</v>
      </c>
      <c r="H9" s="7" t="s">
        <v>1049</v>
      </c>
    </row>
    <row r="11" spans="1:12" x14ac:dyDescent="0.2">
      <c r="D11" s="20"/>
      <c r="E11" s="162"/>
      <c r="F11" s="162"/>
      <c r="G11" s="59" t="s">
        <v>1050</v>
      </c>
      <c r="H11" s="8">
        <f ca="1">INDIRECT(H9)</f>
        <v>80</v>
      </c>
      <c r="I11" s="13" t="s">
        <v>1051</v>
      </c>
    </row>
    <row r="13" spans="1:12" ht="13.5" thickBot="1" x14ac:dyDescent="0.25">
      <c r="B13" s="2" t="s">
        <v>2865</v>
      </c>
      <c r="C13" s="2"/>
      <c r="D13" s="2"/>
      <c r="E13" s="2"/>
      <c r="F13" s="2"/>
      <c r="G13" s="2"/>
      <c r="H13" s="2"/>
      <c r="I13" s="2"/>
      <c r="J13" s="2"/>
    </row>
    <row r="14" spans="1:12" x14ac:dyDescent="0.2">
      <c r="B14" t="s">
        <v>1052</v>
      </c>
    </row>
    <row r="15" spans="1:12" x14ac:dyDescent="0.2">
      <c r="B15" t="s">
        <v>1053</v>
      </c>
    </row>
    <row r="16" spans="1:12" x14ac:dyDescent="0.2">
      <c r="B16" t="s">
        <v>1054</v>
      </c>
    </row>
    <row r="18" spans="2:10" ht="13.5" thickBot="1" x14ac:dyDescent="0.25">
      <c r="B18" s="2" t="s">
        <v>998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s="61" t="s">
        <v>1055</v>
      </c>
    </row>
    <row r="21" spans="2:10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t="s">
        <v>2424</v>
      </c>
    </row>
    <row r="24" spans="2:10" ht="13.5" thickBot="1" x14ac:dyDescent="0.25">
      <c r="B24" s="2" t="s">
        <v>1937</v>
      </c>
      <c r="C24" s="2"/>
      <c r="D24" s="2"/>
      <c r="E24" s="2"/>
      <c r="F24" s="2"/>
      <c r="G24" s="2"/>
      <c r="H24" s="2"/>
      <c r="I24" s="2"/>
      <c r="J24" s="2"/>
    </row>
    <row r="25" spans="2:10" x14ac:dyDescent="0.2">
      <c r="B25" t="s">
        <v>1056</v>
      </c>
    </row>
    <row r="26" spans="2:10" x14ac:dyDescent="0.2">
      <c r="B26" t="s">
        <v>1057</v>
      </c>
    </row>
    <row r="27" spans="2:10" x14ac:dyDescent="0.2">
      <c r="B27" t="s">
        <v>1058</v>
      </c>
    </row>
    <row r="28" spans="2:10" x14ac:dyDescent="0.2">
      <c r="B28" t="s">
        <v>1059</v>
      </c>
    </row>
    <row r="30" spans="2:10" x14ac:dyDescent="0.2">
      <c r="B30" t="s">
        <v>1060</v>
      </c>
    </row>
    <row r="31" spans="2:10" x14ac:dyDescent="0.2">
      <c r="B31" t="s">
        <v>1061</v>
      </c>
    </row>
    <row r="33" spans="2:10" x14ac:dyDescent="0.2">
      <c r="B33" s="20"/>
      <c r="C33" s="162"/>
      <c r="D33" s="162"/>
      <c r="E33" s="162"/>
      <c r="F33" s="59" t="s">
        <v>1069</v>
      </c>
      <c r="G33" s="7" t="s">
        <v>3356</v>
      </c>
    </row>
    <row r="34" spans="2:10" x14ac:dyDescent="0.2">
      <c r="B34" s="20"/>
      <c r="C34" s="162"/>
      <c r="D34" s="162"/>
      <c r="E34" s="162"/>
      <c r="F34" s="59" t="s">
        <v>1070</v>
      </c>
      <c r="G34" s="7" t="s">
        <v>1062</v>
      </c>
    </row>
    <row r="35" spans="2:10" x14ac:dyDescent="0.2">
      <c r="B35" s="20"/>
      <c r="C35" s="162"/>
      <c r="D35" s="162"/>
      <c r="E35" s="162"/>
      <c r="F35" s="59" t="str">
        <f>"The contents of the cell "&amp;G34&amp;" on "&amp;G33&amp;" is : "</f>
        <v xml:space="preserve">The contents of the cell C8 on North is : </v>
      </c>
      <c r="G35" s="8" t="e">
        <f ca="1">INDIRECT(G33&amp;"!"&amp;G34)</f>
        <v>#REF!</v>
      </c>
      <c r="H35" s="13" t="s">
        <v>1063</v>
      </c>
    </row>
    <row r="37" spans="2:10" x14ac:dyDescent="0.2">
      <c r="B37" t="str">
        <f>"The =INDIRECT() created a reference to ="&amp;UPPER(G33&amp;"!"&amp;G34)</f>
        <v>The =INDIRECT() created a reference to =NORTH!C8</v>
      </c>
    </row>
    <row r="40" spans="2:10" ht="13.5" thickBot="1" x14ac:dyDescent="0.25">
      <c r="B40" s="2" t="s">
        <v>1962</v>
      </c>
      <c r="C40" s="2"/>
      <c r="D40" s="2"/>
      <c r="E40" s="2"/>
      <c r="F40" s="2"/>
      <c r="G40" s="2"/>
      <c r="H40" s="2"/>
      <c r="I40" s="2"/>
      <c r="J40" s="2"/>
    </row>
    <row r="41" spans="2:10" x14ac:dyDescent="0.2">
      <c r="B41" t="s">
        <v>1064</v>
      </c>
    </row>
    <row r="42" spans="2:10" x14ac:dyDescent="0.2">
      <c r="B42" t="s">
        <v>1065</v>
      </c>
    </row>
    <row r="44" spans="2:10" x14ac:dyDescent="0.2">
      <c r="B44" s="20"/>
      <c r="C44" s="162"/>
      <c r="D44" s="162"/>
      <c r="E44" s="162"/>
      <c r="F44" s="59" t="s">
        <v>1071</v>
      </c>
      <c r="G44" s="7" t="s">
        <v>3357</v>
      </c>
    </row>
    <row r="45" spans="2:10" x14ac:dyDescent="0.2">
      <c r="B45" s="20"/>
      <c r="C45" s="162"/>
      <c r="D45" s="162"/>
      <c r="E45" s="162"/>
      <c r="F45" s="59" t="s">
        <v>1072</v>
      </c>
      <c r="G45" s="7" t="s">
        <v>1066</v>
      </c>
    </row>
    <row r="46" spans="2:10" x14ac:dyDescent="0.2">
      <c r="B46" s="20"/>
      <c r="C46" s="162"/>
      <c r="D46" s="162"/>
      <c r="E46" s="162"/>
      <c r="F46" s="59" t="s">
        <v>1073</v>
      </c>
      <c r="G46" s="7" t="s">
        <v>1067</v>
      </c>
    </row>
    <row r="47" spans="2:10" x14ac:dyDescent="0.2">
      <c r="B47" s="20"/>
      <c r="C47" s="162"/>
      <c r="D47" s="162"/>
      <c r="E47" s="162"/>
      <c r="F47" s="59" t="str">
        <f>"The sum of the range "&amp;G45&amp;":"&amp;G46&amp;" on "&amp;G44&amp;" is : "</f>
        <v xml:space="preserve">The sum of the range C5:C7 on South is : </v>
      </c>
      <c r="G47" s="8" t="e">
        <f ca="1">SUM(INDIRECT(G44&amp;"!"&amp;G45&amp;":"&amp;G46))</f>
        <v>#REF!</v>
      </c>
    </row>
    <row r="48" spans="2:10" x14ac:dyDescent="0.2">
      <c r="G48" s="4" t="s">
        <v>1068</v>
      </c>
    </row>
    <row r="50" spans="1:2" x14ac:dyDescent="0.2">
      <c r="B50" t="str">
        <f>"The =INDIRECT() created a reference to =SUM("&amp;UPPER(G44&amp;"!"&amp;G45&amp;":"&amp;G46)&amp;")"</f>
        <v>The =INDIRECT() created a reference to =SUM(SOUTH!C5:C7)</v>
      </c>
    </row>
    <row r="51" spans="1:2" x14ac:dyDescent="0.2">
      <c r="A51" s="287"/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J106"/>
  <sheetViews>
    <sheetView showGridLines="0" workbookViewId="0">
      <pane ySplit="1" topLeftCell="A2" activePane="bottomLeft" state="frozen"/>
      <selection activeCell="A3" sqref="A3"/>
      <selection pane="bottomLeft" activeCell="H7" sqref="H7"/>
    </sheetView>
  </sheetViews>
  <sheetFormatPr defaultRowHeight="12.75" x14ac:dyDescent="0.2"/>
  <cols>
    <col min="1" max="1" width="2.7109375" customWidth="1"/>
    <col min="2" max="2" width="10.7109375" customWidth="1"/>
    <col min="3" max="3" width="9.85546875" customWidth="1"/>
    <col min="6" max="6" width="9.7109375" customWidth="1"/>
    <col min="9" max="9" width="14.85546875" customWidth="1"/>
  </cols>
  <sheetData>
    <row r="1" spans="1:10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272" t="s">
        <v>329</v>
      </c>
      <c r="D3" s="272"/>
      <c r="E3" s="272"/>
      <c r="F3" s="272"/>
      <c r="G3" s="272"/>
    </row>
    <row r="5" spans="1:10" x14ac:dyDescent="0.2">
      <c r="D5" s="62" t="s">
        <v>330</v>
      </c>
      <c r="E5" s="62"/>
      <c r="F5" s="62"/>
      <c r="G5" s="62"/>
    </row>
    <row r="6" spans="1:10" x14ac:dyDescent="0.2">
      <c r="C6" s="46" t="s">
        <v>331</v>
      </c>
      <c r="D6" s="6">
        <v>1</v>
      </c>
      <c r="E6" s="6">
        <v>2</v>
      </c>
      <c r="F6" s="6">
        <v>3</v>
      </c>
      <c r="G6" s="6">
        <v>4</v>
      </c>
    </row>
    <row r="7" spans="1:10" ht="12" customHeight="1" x14ac:dyDescent="0.2">
      <c r="C7" s="6">
        <v>1</v>
      </c>
      <c r="D7" s="83">
        <v>500</v>
      </c>
      <c r="E7" s="83">
        <v>300</v>
      </c>
      <c r="F7" s="83">
        <v>250</v>
      </c>
      <c r="G7" s="83">
        <v>200</v>
      </c>
    </row>
    <row r="8" spans="1:10" x14ac:dyDescent="0.2">
      <c r="C8" s="6">
        <v>2</v>
      </c>
      <c r="D8" s="83">
        <v>600</v>
      </c>
      <c r="E8" s="83">
        <v>400</v>
      </c>
      <c r="F8" s="83">
        <v>300</v>
      </c>
      <c r="G8" s="83">
        <v>250</v>
      </c>
    </row>
    <row r="9" spans="1:10" x14ac:dyDescent="0.2">
      <c r="C9" s="6">
        <v>3</v>
      </c>
      <c r="D9" s="83">
        <v>700</v>
      </c>
      <c r="E9" s="83">
        <v>500</v>
      </c>
      <c r="F9" s="83">
        <v>350</v>
      </c>
      <c r="G9" s="83">
        <v>300</v>
      </c>
    </row>
    <row r="11" spans="1:10" x14ac:dyDescent="0.2">
      <c r="D11" s="20"/>
      <c r="E11" s="162"/>
      <c r="F11" s="59" t="s">
        <v>332</v>
      </c>
      <c r="G11" s="7">
        <v>2</v>
      </c>
    </row>
    <row r="12" spans="1:10" x14ac:dyDescent="0.2">
      <c r="D12" s="20"/>
      <c r="E12" s="162"/>
      <c r="F12" s="59" t="s">
        <v>333</v>
      </c>
      <c r="G12" s="7">
        <v>4</v>
      </c>
    </row>
    <row r="14" spans="1:10" x14ac:dyDescent="0.2">
      <c r="E14" s="20"/>
      <c r="F14" s="59" t="s">
        <v>334</v>
      </c>
      <c r="G14" s="8">
        <f>INDEX(D7:G9,G11,G12)</f>
        <v>250</v>
      </c>
      <c r="H14" s="13" t="s">
        <v>335</v>
      </c>
    </row>
    <row r="16" spans="1:10" ht="13.5" thickBot="1" x14ac:dyDescent="0.25">
      <c r="B16" s="2" t="s">
        <v>2865</v>
      </c>
      <c r="C16" s="2"/>
      <c r="D16" s="2"/>
      <c r="E16" s="2"/>
      <c r="F16" s="2"/>
      <c r="G16" s="2"/>
      <c r="H16" s="2"/>
      <c r="I16" s="2"/>
    </row>
    <row r="17" spans="2:9" x14ac:dyDescent="0.2">
      <c r="B17" t="s">
        <v>336</v>
      </c>
    </row>
    <row r="18" spans="2:9" x14ac:dyDescent="0.2">
      <c r="B18" t="s">
        <v>337</v>
      </c>
    </row>
    <row r="19" spans="2:9" x14ac:dyDescent="0.2">
      <c r="B19" t="s">
        <v>338</v>
      </c>
    </row>
    <row r="21" spans="2:9" ht="13.5" thickBot="1" x14ac:dyDescent="0.25">
      <c r="B21" s="2" t="s">
        <v>998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339</v>
      </c>
    </row>
    <row r="24" spans="2:9" ht="13.5" thickBot="1" x14ac:dyDescent="0.25">
      <c r="B24" s="2" t="s">
        <v>340</v>
      </c>
      <c r="C24" s="2"/>
      <c r="D24" s="2"/>
      <c r="E24" s="2"/>
      <c r="F24" s="2"/>
      <c r="G24" s="2"/>
      <c r="H24" s="2"/>
      <c r="I24" s="2"/>
    </row>
    <row r="25" spans="2:9" x14ac:dyDescent="0.2">
      <c r="B25" s="61" t="s">
        <v>341</v>
      </c>
    </row>
    <row r="26" spans="2:9" x14ac:dyDescent="0.2">
      <c r="B26" t="s">
        <v>342</v>
      </c>
    </row>
    <row r="27" spans="2:9" x14ac:dyDescent="0.2">
      <c r="B27" t="s">
        <v>343</v>
      </c>
    </row>
    <row r="28" spans="2:9" x14ac:dyDescent="0.2">
      <c r="B28" t="s">
        <v>344</v>
      </c>
    </row>
    <row r="29" spans="2:9" x14ac:dyDescent="0.2">
      <c r="B29" t="s">
        <v>345</v>
      </c>
    </row>
    <row r="31" spans="2:9" x14ac:dyDescent="0.2">
      <c r="D31" s="6" t="s">
        <v>346</v>
      </c>
    </row>
    <row r="32" spans="2:9" x14ac:dyDescent="0.2">
      <c r="D32" s="7" t="s">
        <v>665</v>
      </c>
    </row>
    <row r="33" spans="2:9" x14ac:dyDescent="0.2">
      <c r="D33" s="7" t="s">
        <v>3146</v>
      </c>
    </row>
    <row r="34" spans="2:9" x14ac:dyDescent="0.2">
      <c r="D34" s="7" t="s">
        <v>666</v>
      </c>
      <c r="F34" s="6" t="s">
        <v>347</v>
      </c>
      <c r="G34" s="7" t="s">
        <v>348</v>
      </c>
      <c r="H34" s="7" t="s">
        <v>349</v>
      </c>
      <c r="I34" s="7" t="s">
        <v>350</v>
      </c>
    </row>
    <row r="36" spans="2:9" x14ac:dyDescent="0.2">
      <c r="B36" s="20"/>
      <c r="C36" s="21" t="s">
        <v>351</v>
      </c>
      <c r="D36" s="7">
        <v>2</v>
      </c>
      <c r="F36" s="20"/>
      <c r="G36" s="21" t="s">
        <v>351</v>
      </c>
      <c r="H36" s="7">
        <v>2</v>
      </c>
    </row>
    <row r="37" spans="2:9" x14ac:dyDescent="0.2">
      <c r="B37" s="20"/>
      <c r="C37" s="21" t="s">
        <v>352</v>
      </c>
      <c r="D37" s="8" t="str">
        <f>INDEX(D32:D34,D36)</f>
        <v>Green</v>
      </c>
      <c r="F37" s="20"/>
      <c r="G37" s="21" t="s">
        <v>353</v>
      </c>
      <c r="H37" s="8" t="str">
        <f>INDEX(G34:I34,H36)</f>
        <v>Medium</v>
      </c>
    </row>
    <row r="38" spans="2:9" x14ac:dyDescent="0.2">
      <c r="D38" s="66" t="s">
        <v>354</v>
      </c>
      <c r="H38" s="66" t="s">
        <v>355</v>
      </c>
    </row>
    <row r="40" spans="2:9" ht="13.5" thickBot="1" x14ac:dyDescent="0.25">
      <c r="B40" s="2" t="s">
        <v>356</v>
      </c>
      <c r="C40" s="2"/>
      <c r="D40" s="2"/>
      <c r="E40" s="2"/>
      <c r="F40" s="2"/>
      <c r="G40" s="2"/>
      <c r="H40" s="2"/>
      <c r="I40" s="2"/>
    </row>
    <row r="41" spans="2:9" x14ac:dyDescent="0.2">
      <c r="B41" s="61" t="s">
        <v>357</v>
      </c>
    </row>
    <row r="42" spans="2:9" x14ac:dyDescent="0.2">
      <c r="B42" t="s">
        <v>358</v>
      </c>
    </row>
    <row r="44" spans="2:9" x14ac:dyDescent="0.2">
      <c r="C44" s="6" t="s">
        <v>359</v>
      </c>
      <c r="D44" s="6" t="s">
        <v>360</v>
      </c>
      <c r="E44" s="6" t="s">
        <v>361</v>
      </c>
      <c r="F44" s="6" t="s">
        <v>362</v>
      </c>
    </row>
    <row r="45" spans="2:9" x14ac:dyDescent="0.2">
      <c r="C45" s="6" t="s">
        <v>363</v>
      </c>
      <c r="D45" s="7" t="s">
        <v>364</v>
      </c>
      <c r="E45" s="7" t="s">
        <v>365</v>
      </c>
      <c r="F45" s="7" t="s">
        <v>366</v>
      </c>
    </row>
    <row r="46" spans="2:9" x14ac:dyDescent="0.2">
      <c r="C46" s="6" t="s">
        <v>367</v>
      </c>
      <c r="D46" s="7" t="s">
        <v>368</v>
      </c>
      <c r="E46" s="7" t="s">
        <v>369</v>
      </c>
      <c r="F46" s="7" t="s">
        <v>370</v>
      </c>
    </row>
    <row r="47" spans="2:9" x14ac:dyDescent="0.2">
      <c r="C47" s="6" t="s">
        <v>371</v>
      </c>
      <c r="D47" s="7" t="s">
        <v>372</v>
      </c>
      <c r="E47" s="7" t="s">
        <v>373</v>
      </c>
      <c r="F47" s="7" t="s">
        <v>374</v>
      </c>
    </row>
    <row r="48" spans="2:9" x14ac:dyDescent="0.2">
      <c r="C48" s="6" t="s">
        <v>375</v>
      </c>
      <c r="D48" s="7" t="s">
        <v>376</v>
      </c>
      <c r="E48" s="7" t="s">
        <v>377</v>
      </c>
      <c r="F48" s="7" t="s">
        <v>378</v>
      </c>
    </row>
    <row r="50" spans="2:9" x14ac:dyDescent="0.2">
      <c r="C50" s="20"/>
      <c r="D50" s="162"/>
      <c r="E50" s="59" t="s">
        <v>379</v>
      </c>
      <c r="F50" s="7">
        <v>2</v>
      </c>
    </row>
    <row r="51" spans="2:9" x14ac:dyDescent="0.2">
      <c r="C51" s="20"/>
      <c r="D51" s="162"/>
      <c r="E51" s="59" t="s">
        <v>380</v>
      </c>
      <c r="F51" s="7">
        <v>3</v>
      </c>
    </row>
    <row r="53" spans="2:9" x14ac:dyDescent="0.2">
      <c r="C53" s="20"/>
      <c r="D53" s="162"/>
      <c r="E53" s="59" t="s">
        <v>3490</v>
      </c>
      <c r="F53" s="8" t="str">
        <f>INDEX(D45:F48,F50,F51)</f>
        <v>Paris</v>
      </c>
      <c r="G53" s="13" t="s">
        <v>381</v>
      </c>
    </row>
    <row r="56" spans="2:9" ht="13.5" thickBot="1" x14ac:dyDescent="0.25">
      <c r="B56" s="2" t="s">
        <v>382</v>
      </c>
      <c r="C56" s="2"/>
      <c r="D56" s="2"/>
      <c r="E56" s="2"/>
      <c r="F56" s="2"/>
      <c r="G56" s="2"/>
      <c r="H56" s="2"/>
      <c r="I56" s="2"/>
    </row>
    <row r="57" spans="2:9" x14ac:dyDescent="0.2">
      <c r="B57" s="61" t="s">
        <v>383</v>
      </c>
    </row>
    <row r="58" spans="2:9" x14ac:dyDescent="0.2">
      <c r="B58" t="s">
        <v>384</v>
      </c>
    </row>
    <row r="59" spans="2:9" x14ac:dyDescent="0.2">
      <c r="B59" t="s">
        <v>385</v>
      </c>
    </row>
    <row r="60" spans="2:9" x14ac:dyDescent="0.2">
      <c r="B60" s="61"/>
    </row>
    <row r="61" spans="2:9" x14ac:dyDescent="0.2">
      <c r="B61" t="s">
        <v>386</v>
      </c>
    </row>
    <row r="62" spans="2:9" x14ac:dyDescent="0.2">
      <c r="B62" s="61"/>
    </row>
    <row r="63" spans="2:9" x14ac:dyDescent="0.2">
      <c r="B63" t="s">
        <v>387</v>
      </c>
    </row>
    <row r="64" spans="2:9" x14ac:dyDescent="0.2">
      <c r="B64" t="s">
        <v>388</v>
      </c>
    </row>
    <row r="66" spans="3:7" x14ac:dyDescent="0.2">
      <c r="C66" s="94" t="s">
        <v>389</v>
      </c>
      <c r="D66" s="6" t="s">
        <v>390</v>
      </c>
      <c r="E66" s="6" t="s">
        <v>391</v>
      </c>
      <c r="F66" s="6" t="s">
        <v>392</v>
      </c>
      <c r="G66" s="6" t="s">
        <v>393</v>
      </c>
    </row>
    <row r="67" spans="3:7" x14ac:dyDescent="0.2">
      <c r="C67" s="6" t="s">
        <v>3058</v>
      </c>
      <c r="D67" s="83">
        <v>1000</v>
      </c>
      <c r="E67" s="83">
        <v>2000</v>
      </c>
      <c r="F67" s="83">
        <v>3000</v>
      </c>
      <c r="G67" s="83">
        <v>4000</v>
      </c>
    </row>
    <row r="68" spans="3:7" x14ac:dyDescent="0.2">
      <c r="C68" s="6" t="s">
        <v>3060</v>
      </c>
      <c r="D68" s="83">
        <v>5000</v>
      </c>
      <c r="E68" s="83">
        <v>6000</v>
      </c>
      <c r="F68" s="83">
        <v>7000</v>
      </c>
      <c r="G68" s="83">
        <v>8000</v>
      </c>
    </row>
    <row r="69" spans="3:7" x14ac:dyDescent="0.2">
      <c r="C69" s="6" t="s">
        <v>2015</v>
      </c>
      <c r="D69" s="83">
        <v>9000</v>
      </c>
      <c r="E69" s="83">
        <v>10000</v>
      </c>
      <c r="F69" s="83">
        <v>11000</v>
      </c>
      <c r="G69" s="83">
        <v>12000</v>
      </c>
    </row>
    <row r="71" spans="3:7" x14ac:dyDescent="0.2">
      <c r="C71" s="94" t="s">
        <v>394</v>
      </c>
      <c r="D71" s="6" t="s">
        <v>390</v>
      </c>
      <c r="E71" s="6" t="s">
        <v>391</v>
      </c>
      <c r="F71" s="6" t="s">
        <v>392</v>
      </c>
      <c r="G71" s="6" t="s">
        <v>393</v>
      </c>
    </row>
    <row r="72" spans="3:7" x14ac:dyDescent="0.2">
      <c r="C72" s="6" t="s">
        <v>3058</v>
      </c>
      <c r="D72" s="83">
        <v>1500</v>
      </c>
      <c r="E72" s="83">
        <v>2500</v>
      </c>
      <c r="F72" s="83">
        <v>3500</v>
      </c>
      <c r="G72" s="83">
        <v>4500</v>
      </c>
    </row>
    <row r="73" spans="3:7" x14ac:dyDescent="0.2">
      <c r="C73" s="6" t="s">
        <v>3060</v>
      </c>
      <c r="D73" s="83">
        <v>5500</v>
      </c>
      <c r="E73" s="83">
        <v>6500</v>
      </c>
      <c r="F73" s="83">
        <v>7500</v>
      </c>
      <c r="G73" s="83">
        <v>8500</v>
      </c>
    </row>
    <row r="74" spans="3:7" x14ac:dyDescent="0.2">
      <c r="C74" s="6" t="s">
        <v>2015</v>
      </c>
      <c r="D74" s="83">
        <v>9500</v>
      </c>
      <c r="E74" s="83">
        <v>10500</v>
      </c>
      <c r="F74" s="83">
        <v>11500</v>
      </c>
      <c r="G74" s="83">
        <v>12500</v>
      </c>
    </row>
    <row r="76" spans="3:7" x14ac:dyDescent="0.2">
      <c r="C76" s="20"/>
      <c r="D76" s="162"/>
      <c r="E76" s="59" t="s">
        <v>395</v>
      </c>
      <c r="F76" s="7">
        <v>1</v>
      </c>
    </row>
    <row r="77" spans="3:7" x14ac:dyDescent="0.2">
      <c r="C77" s="20"/>
      <c r="D77" s="162"/>
      <c r="E77" s="59" t="s">
        <v>396</v>
      </c>
      <c r="F77" s="7">
        <v>3</v>
      </c>
    </row>
    <row r="78" spans="3:7" x14ac:dyDescent="0.2">
      <c r="C78" s="20"/>
      <c r="D78" s="162"/>
      <c r="E78" s="59" t="s">
        <v>397</v>
      </c>
      <c r="F78" s="7">
        <v>2</v>
      </c>
    </row>
    <row r="80" spans="3:7" x14ac:dyDescent="0.2">
      <c r="D80" s="20"/>
      <c r="E80" s="59" t="s">
        <v>3490</v>
      </c>
      <c r="F80" s="8">
        <f>INDEX(NorthAndSouth,F76,F77,F78)</f>
        <v>3500</v>
      </c>
      <c r="G80" s="13" t="s">
        <v>398</v>
      </c>
    </row>
    <row r="84" spans="2:9" ht="13.5" thickBot="1" x14ac:dyDescent="0.25">
      <c r="B84" s="2" t="s">
        <v>1001</v>
      </c>
      <c r="C84" s="2"/>
      <c r="D84" s="2"/>
      <c r="E84" s="2"/>
      <c r="F84" s="2"/>
      <c r="G84" s="2"/>
      <c r="H84" s="2"/>
      <c r="I84" s="2"/>
    </row>
    <row r="85" spans="2:9" x14ac:dyDescent="0.2">
      <c r="B85" t="s">
        <v>1038</v>
      </c>
    </row>
    <row r="86" spans="2:9" x14ac:dyDescent="0.2">
      <c r="B86" t="s">
        <v>1039</v>
      </c>
    </row>
    <row r="87" spans="2:9" x14ac:dyDescent="0.2">
      <c r="B87" t="s">
        <v>1040</v>
      </c>
    </row>
    <row r="88" spans="2:9" x14ac:dyDescent="0.2">
      <c r="B88" t="s">
        <v>1041</v>
      </c>
    </row>
    <row r="90" spans="2:9" ht="13.5" thickBot="1" x14ac:dyDescent="0.25">
      <c r="C90" s="273" t="s">
        <v>1042</v>
      </c>
      <c r="D90" s="274" t="s">
        <v>390</v>
      </c>
      <c r="E90" s="274" t="s">
        <v>391</v>
      </c>
      <c r="F90" s="274" t="s">
        <v>392</v>
      </c>
      <c r="G90" s="274" t="s">
        <v>393</v>
      </c>
    </row>
    <row r="91" spans="2:9" x14ac:dyDescent="0.2">
      <c r="C91" s="275" t="s">
        <v>3058</v>
      </c>
      <c r="D91" s="276">
        <v>1000</v>
      </c>
      <c r="E91" s="277">
        <v>2000</v>
      </c>
      <c r="F91" s="277">
        <v>3000</v>
      </c>
      <c r="G91" s="278">
        <v>4000</v>
      </c>
    </row>
    <row r="92" spans="2:9" x14ac:dyDescent="0.2">
      <c r="C92" s="275" t="s">
        <v>3060</v>
      </c>
      <c r="D92" s="279">
        <v>5000</v>
      </c>
      <c r="E92" s="83">
        <v>6000</v>
      </c>
      <c r="F92" s="83">
        <v>7000</v>
      </c>
      <c r="G92" s="280">
        <v>8000</v>
      </c>
    </row>
    <row r="93" spans="2:9" ht="13.5" thickBot="1" x14ac:dyDescent="0.25">
      <c r="C93" s="275" t="s">
        <v>2015</v>
      </c>
      <c r="D93" s="281">
        <v>9000</v>
      </c>
      <c r="E93" s="282">
        <v>10000</v>
      </c>
      <c r="F93" s="282">
        <v>11000</v>
      </c>
      <c r="G93" s="283">
        <v>12000</v>
      </c>
    </row>
    <row r="95" spans="2:9" ht="13.5" thickBot="1" x14ac:dyDescent="0.25">
      <c r="C95" s="273" t="s">
        <v>1043</v>
      </c>
      <c r="D95" s="6" t="s">
        <v>390</v>
      </c>
      <c r="E95" s="6" t="s">
        <v>391</v>
      </c>
      <c r="F95" s="6" t="s">
        <v>392</v>
      </c>
      <c r="G95" s="6" t="s">
        <v>393</v>
      </c>
    </row>
    <row r="96" spans="2:9" x14ac:dyDescent="0.2">
      <c r="C96" s="6" t="s">
        <v>3058</v>
      </c>
      <c r="D96" s="276">
        <v>1500</v>
      </c>
      <c r="E96" s="277">
        <v>2500</v>
      </c>
      <c r="F96" s="277">
        <v>3500</v>
      </c>
      <c r="G96" s="278">
        <v>4500</v>
      </c>
    </row>
    <row r="97" spans="2:7" x14ac:dyDescent="0.2">
      <c r="C97" s="6" t="s">
        <v>3060</v>
      </c>
      <c r="D97" s="279">
        <v>5500</v>
      </c>
      <c r="E97" s="83">
        <v>6500</v>
      </c>
      <c r="F97" s="83">
        <v>7500</v>
      </c>
      <c r="G97" s="280">
        <v>8500</v>
      </c>
    </row>
    <row r="98" spans="2:7" ht="13.5" thickBot="1" x14ac:dyDescent="0.25">
      <c r="C98" s="6" t="s">
        <v>2015</v>
      </c>
      <c r="D98" s="281">
        <v>9500</v>
      </c>
      <c r="E98" s="282">
        <v>10500</v>
      </c>
      <c r="F98" s="282">
        <v>11500</v>
      </c>
      <c r="G98" s="283">
        <v>12500</v>
      </c>
    </row>
    <row r="100" spans="2:7" x14ac:dyDescent="0.2">
      <c r="C100" s="20"/>
      <c r="D100" s="162"/>
      <c r="E100" s="59" t="s">
        <v>395</v>
      </c>
      <c r="F100" s="284" t="s">
        <v>1044</v>
      </c>
    </row>
    <row r="101" spans="2:7" x14ac:dyDescent="0.2">
      <c r="C101" s="20"/>
      <c r="D101" s="162"/>
      <c r="E101" s="59" t="s">
        <v>396</v>
      </c>
      <c r="F101" s="285" t="s">
        <v>1045</v>
      </c>
    </row>
    <row r="102" spans="2:7" x14ac:dyDescent="0.2">
      <c r="C102" s="20"/>
      <c r="D102" s="162"/>
      <c r="E102" s="59" t="s">
        <v>397</v>
      </c>
      <c r="F102" s="286" t="s">
        <v>1046</v>
      </c>
    </row>
    <row r="104" spans="2:7" x14ac:dyDescent="0.2">
      <c r="D104" s="20"/>
      <c r="E104" s="59" t="s">
        <v>3490</v>
      </c>
      <c r="F104" s="8">
        <f>INDEX(EastAndWest,MATCH(F100,C91:C93,0),MATCH(F101,D90:G90,0),IF(F102=C90,1,IF(F102=C95,2)))</f>
        <v>6500</v>
      </c>
    </row>
    <row r="106" spans="2:7" x14ac:dyDescent="0.2">
      <c r="B106" s="102" t="s">
        <v>1047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rowBreaks count="2" manualBreakCount="2">
    <brk id="38" max="65535" man="1"/>
    <brk id="82" max="65535" man="1"/>
  </rowBreaks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J62"/>
  <sheetViews>
    <sheetView showGridLines="0" workbookViewId="0">
      <pane ySplit="1" topLeftCell="A2" activePane="bottomLeft" state="frozen"/>
      <selection activeCell="A3" sqref="A3"/>
      <selection pane="bottomLeft" activeCell="G10" sqref="G10"/>
    </sheetView>
  </sheetViews>
  <sheetFormatPr defaultRowHeight="12.75" x14ac:dyDescent="0.2"/>
  <cols>
    <col min="1" max="1" width="2.7109375" customWidth="1"/>
    <col min="5" max="5" width="11.5703125" customWidth="1"/>
    <col min="6" max="6" width="12.7109375" customWidth="1"/>
  </cols>
  <sheetData>
    <row r="1" spans="1:10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B3" s="6" t="s">
        <v>1946</v>
      </c>
      <c r="C3" s="6" t="s">
        <v>1726</v>
      </c>
      <c r="D3" s="6" t="s">
        <v>3449</v>
      </c>
      <c r="E3" s="6" t="s">
        <v>3113</v>
      </c>
    </row>
    <row r="4" spans="1:10" x14ac:dyDescent="0.2">
      <c r="B4" s="7" t="s">
        <v>3361</v>
      </c>
      <c r="C4" s="7">
        <v>1000</v>
      </c>
      <c r="D4" s="7">
        <v>5000</v>
      </c>
      <c r="E4" s="8" t="str">
        <f>IF(C4&gt;=D4,"Achieved","Not Achieved")</f>
        <v>Not Achieved</v>
      </c>
      <c r="F4" s="13" t="s">
        <v>1425</v>
      </c>
    </row>
    <row r="5" spans="1:10" x14ac:dyDescent="0.2">
      <c r="B5" s="7" t="s">
        <v>3362</v>
      </c>
      <c r="C5" s="7">
        <v>6000</v>
      </c>
      <c r="D5" s="7">
        <v>5000</v>
      </c>
      <c r="E5" s="8" t="str">
        <f>IF(C5&gt;=D5,"Achieved","Not Achieved")</f>
        <v>Achieved</v>
      </c>
      <c r="F5" s="13" t="s">
        <v>1426</v>
      </c>
    </row>
    <row r="6" spans="1:10" x14ac:dyDescent="0.2">
      <c r="B6" s="7" t="s">
        <v>3363</v>
      </c>
      <c r="C6" s="7">
        <v>2000</v>
      </c>
      <c r="D6" s="7">
        <v>4000</v>
      </c>
      <c r="E6" s="8" t="str">
        <f>IF(C6&gt;=D6,"Achieved","Not Achieved")</f>
        <v>Not Achieved</v>
      </c>
      <c r="F6" s="13" t="s">
        <v>1427</v>
      </c>
    </row>
    <row r="8" spans="1:10" ht="13.5" thickBot="1" x14ac:dyDescent="0.25">
      <c r="B8" s="2" t="s">
        <v>3118</v>
      </c>
      <c r="C8" s="2"/>
      <c r="D8" s="2"/>
      <c r="E8" s="2"/>
      <c r="F8" s="2"/>
      <c r="G8" s="2"/>
      <c r="H8" s="2"/>
      <c r="I8" s="2"/>
    </row>
    <row r="9" spans="1:10" x14ac:dyDescent="0.2">
      <c r="B9" t="s">
        <v>1428</v>
      </c>
    </row>
    <row r="10" spans="1:10" x14ac:dyDescent="0.2">
      <c r="B10" t="s">
        <v>1429</v>
      </c>
    </row>
    <row r="11" spans="1:10" x14ac:dyDescent="0.2">
      <c r="B11" t="s">
        <v>1430</v>
      </c>
    </row>
    <row r="12" spans="1:10" x14ac:dyDescent="0.2">
      <c r="B12" t="s">
        <v>1431</v>
      </c>
    </row>
    <row r="14" spans="1:10" ht="13.5" thickBot="1" x14ac:dyDescent="0.25">
      <c r="B14" s="2" t="s">
        <v>998</v>
      </c>
      <c r="C14" s="2"/>
      <c r="D14" s="2"/>
      <c r="E14" s="2"/>
      <c r="F14" s="2"/>
      <c r="G14" s="2"/>
      <c r="H14" s="2"/>
      <c r="I14" s="2"/>
    </row>
    <row r="15" spans="1:10" x14ac:dyDescent="0.2">
      <c r="B15" t="s">
        <v>1432</v>
      </c>
    </row>
    <row r="16" spans="1:10" x14ac:dyDescent="0.2">
      <c r="B16" t="s">
        <v>1433</v>
      </c>
    </row>
    <row r="17" spans="2:9" x14ac:dyDescent="0.2">
      <c r="B17" t="s">
        <v>1434</v>
      </c>
    </row>
    <row r="19" spans="2:9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</row>
    <row r="20" spans="2:9" x14ac:dyDescent="0.2">
      <c r="B20" t="s">
        <v>3762</v>
      </c>
    </row>
    <row r="22" spans="2:9" ht="13.5" thickBot="1" x14ac:dyDescent="0.25">
      <c r="B22" s="2" t="s">
        <v>1937</v>
      </c>
      <c r="C22" s="2"/>
      <c r="D22" s="2"/>
      <c r="E22" s="2"/>
      <c r="F22" s="2"/>
      <c r="G22" s="2"/>
      <c r="H22" s="2"/>
      <c r="I22" s="2"/>
    </row>
    <row r="23" spans="2:9" x14ac:dyDescent="0.2">
      <c r="B23" t="s">
        <v>1435</v>
      </c>
    </row>
    <row r="24" spans="2:9" x14ac:dyDescent="0.2">
      <c r="B24" t="s">
        <v>1436</v>
      </c>
    </row>
    <row r="25" spans="2:9" x14ac:dyDescent="0.2">
      <c r="B25" t="s">
        <v>1437</v>
      </c>
    </row>
    <row r="26" spans="2:9" x14ac:dyDescent="0.2">
      <c r="B26" t="s">
        <v>1438</v>
      </c>
    </row>
    <row r="27" spans="2:9" x14ac:dyDescent="0.2">
      <c r="B27" t="s">
        <v>1439</v>
      </c>
    </row>
    <row r="28" spans="2:9" x14ac:dyDescent="0.2">
      <c r="B28" t="s">
        <v>1440</v>
      </c>
    </row>
    <row r="30" spans="2:9" x14ac:dyDescent="0.2">
      <c r="B30" s="6" t="s">
        <v>1946</v>
      </c>
      <c r="C30" s="6" t="s">
        <v>1726</v>
      </c>
      <c r="D30" s="6" t="s">
        <v>3449</v>
      </c>
      <c r="E30" s="6" t="s">
        <v>3113</v>
      </c>
    </row>
    <row r="31" spans="2:9" x14ac:dyDescent="0.2">
      <c r="B31" s="7" t="s">
        <v>3361</v>
      </c>
      <c r="C31" s="7">
        <v>1000</v>
      </c>
      <c r="D31" s="7">
        <v>5000</v>
      </c>
      <c r="E31" s="8" t="str">
        <f>IF(C31&gt;=D31,"Achieved","Not Achieved")</f>
        <v>Not Achieved</v>
      </c>
      <c r="F31" s="13" t="s">
        <v>1441</v>
      </c>
    </row>
    <row r="32" spans="2:9" x14ac:dyDescent="0.2">
      <c r="B32" s="7" t="s">
        <v>3362</v>
      </c>
      <c r="C32" s="7">
        <v>6000</v>
      </c>
      <c r="D32" s="7">
        <v>5000</v>
      </c>
      <c r="E32" s="8" t="str">
        <f>IF(C32&gt;=D32,"Achieved","Not Achieved")</f>
        <v>Achieved</v>
      </c>
      <c r="F32" s="13" t="s">
        <v>1442</v>
      </c>
    </row>
    <row r="33" spans="2:9" x14ac:dyDescent="0.2">
      <c r="B33" s="7" t="s">
        <v>3363</v>
      </c>
      <c r="C33" s="7">
        <v>2000</v>
      </c>
      <c r="D33" s="7">
        <v>4000</v>
      </c>
      <c r="E33" s="8" t="str">
        <f>IF(C33&gt;=D33,"Achieved","Not Achieved")</f>
        <v>Not Achieved</v>
      </c>
      <c r="F33" s="13" t="s">
        <v>1443</v>
      </c>
    </row>
    <row r="36" spans="2:9" ht="13.5" thickBot="1" x14ac:dyDescent="0.25">
      <c r="B36" s="2" t="s">
        <v>1962</v>
      </c>
      <c r="C36" s="2"/>
      <c r="D36" s="2"/>
      <c r="E36" s="2"/>
      <c r="F36" s="2"/>
      <c r="G36" s="2"/>
      <c r="H36" s="2"/>
      <c r="I36" s="2"/>
    </row>
    <row r="37" spans="2:9" x14ac:dyDescent="0.2">
      <c r="B37" t="s">
        <v>1444</v>
      </c>
    </row>
    <row r="38" spans="2:9" x14ac:dyDescent="0.2">
      <c r="B38" t="s">
        <v>1445</v>
      </c>
    </row>
    <row r="39" spans="2:9" x14ac:dyDescent="0.2">
      <c r="B39" t="s">
        <v>1446</v>
      </c>
    </row>
    <row r="40" spans="2:9" x14ac:dyDescent="0.2">
      <c r="B40" t="s">
        <v>1447</v>
      </c>
    </row>
    <row r="42" spans="2:9" x14ac:dyDescent="0.2">
      <c r="B42" s="6" t="s">
        <v>1946</v>
      </c>
      <c r="C42" s="6" t="s">
        <v>1726</v>
      </c>
      <c r="D42" s="6" t="s">
        <v>3449</v>
      </c>
      <c r="E42" s="6" t="s">
        <v>199</v>
      </c>
    </row>
    <row r="43" spans="2:9" x14ac:dyDescent="0.2">
      <c r="B43" s="7" t="s">
        <v>3361</v>
      </c>
      <c r="C43" s="7">
        <v>1000</v>
      </c>
      <c r="D43" s="7">
        <v>5000</v>
      </c>
      <c r="E43" s="8">
        <f>IF(C43&gt;=D43,C43*10%,C43*5%)</f>
        <v>50</v>
      </c>
      <c r="F43" s="13" t="s">
        <v>1448</v>
      </c>
    </row>
    <row r="44" spans="2:9" x14ac:dyDescent="0.2">
      <c r="B44" s="7" t="s">
        <v>3362</v>
      </c>
      <c r="C44" s="7">
        <v>6000</v>
      </c>
      <c r="D44" s="7">
        <v>5000</v>
      </c>
      <c r="E44" s="8">
        <f>IF(C44&gt;=D44,C44*10%,C44*5%)</f>
        <v>600</v>
      </c>
      <c r="F44" s="13" t="s">
        <v>1449</v>
      </c>
    </row>
    <row r="45" spans="2:9" x14ac:dyDescent="0.2">
      <c r="B45" s="7" t="s">
        <v>3363</v>
      </c>
      <c r="C45" s="7">
        <v>2000</v>
      </c>
      <c r="D45" s="7">
        <v>4000</v>
      </c>
      <c r="E45" s="8">
        <f>IF(C45&gt;=D45,C45*10%,C45*5%)</f>
        <v>100</v>
      </c>
      <c r="F45" s="13" t="s">
        <v>1450</v>
      </c>
    </row>
    <row r="48" spans="2:9" ht="13.5" thickBot="1" x14ac:dyDescent="0.25">
      <c r="B48" s="2" t="s">
        <v>1977</v>
      </c>
      <c r="C48" s="2"/>
      <c r="D48" s="2"/>
      <c r="E48" s="2"/>
      <c r="F48" s="2"/>
      <c r="G48" s="2"/>
      <c r="H48" s="2"/>
      <c r="I48" s="2"/>
    </row>
    <row r="49" spans="2:6" x14ac:dyDescent="0.2">
      <c r="B49" t="s">
        <v>1451</v>
      </c>
    </row>
    <row r="50" spans="2:6" x14ac:dyDescent="0.2">
      <c r="B50" t="s">
        <v>1452</v>
      </c>
    </row>
    <row r="51" spans="2:6" x14ac:dyDescent="0.2">
      <c r="B51" t="s">
        <v>1453</v>
      </c>
    </row>
    <row r="52" spans="2:6" x14ac:dyDescent="0.2">
      <c r="B52" t="s">
        <v>1454</v>
      </c>
    </row>
    <row r="53" spans="2:6" x14ac:dyDescent="0.2">
      <c r="B53" t="s">
        <v>328</v>
      </c>
    </row>
    <row r="54" spans="2:6" x14ac:dyDescent="0.2">
      <c r="B54" t="s">
        <v>1455</v>
      </c>
    </row>
    <row r="56" spans="2:6" x14ac:dyDescent="0.2">
      <c r="B56" s="268"/>
      <c r="C56" s="268" t="s">
        <v>1456</v>
      </c>
      <c r="D56" s="268" t="s">
        <v>1457</v>
      </c>
    </row>
    <row r="57" spans="2:6" x14ac:dyDescent="0.2">
      <c r="B57" s="269" t="s">
        <v>2845</v>
      </c>
      <c r="C57" s="269" t="s">
        <v>1458</v>
      </c>
      <c r="D57" s="269" t="s">
        <v>1459</v>
      </c>
      <c r="E57" s="6" t="s">
        <v>276</v>
      </c>
      <c r="F57" s="6" t="s">
        <v>3360</v>
      </c>
    </row>
    <row r="58" spans="2:6" x14ac:dyDescent="0.2">
      <c r="B58" s="7" t="s">
        <v>3060</v>
      </c>
      <c r="C58" s="7" t="s">
        <v>1460</v>
      </c>
      <c r="D58" s="270">
        <v>2000</v>
      </c>
      <c r="E58" s="271">
        <f>IF(AND(C58="Yes",D58&gt;=1000),D58*10%,0)</f>
        <v>200</v>
      </c>
      <c r="F58" s="271">
        <f>D58-E58</f>
        <v>1800</v>
      </c>
    </row>
    <row r="59" spans="2:6" x14ac:dyDescent="0.2">
      <c r="B59" s="7" t="s">
        <v>2015</v>
      </c>
      <c r="C59" s="7" t="s">
        <v>2416</v>
      </c>
      <c r="D59" s="270">
        <v>2000</v>
      </c>
      <c r="E59" s="271">
        <f>IF(AND(C59="Yes",D59&gt;=1000),D59*10%,0)</f>
        <v>0</v>
      </c>
      <c r="F59" s="271">
        <f>D59-E59</f>
        <v>2000</v>
      </c>
    </row>
    <row r="60" spans="2:6" x14ac:dyDescent="0.2">
      <c r="B60" s="7" t="s">
        <v>3062</v>
      </c>
      <c r="C60" s="7" t="s">
        <v>1460</v>
      </c>
      <c r="D60" s="270">
        <v>500</v>
      </c>
      <c r="E60" s="271">
        <f>IF(AND(C60="Yes",D60&gt;=1000),D60*10%,0)</f>
        <v>0</v>
      </c>
      <c r="F60" s="271">
        <f>D60-E60</f>
        <v>500</v>
      </c>
    </row>
    <row r="61" spans="2:6" x14ac:dyDescent="0.2">
      <c r="B61" s="7" t="s">
        <v>326</v>
      </c>
      <c r="C61" s="7" t="s">
        <v>1460</v>
      </c>
      <c r="D61" s="270">
        <v>3000</v>
      </c>
      <c r="E61" s="271">
        <f>IF(AND(C61="Yes",D61&gt;=1000),D61*10%,0)</f>
        <v>300</v>
      </c>
      <c r="F61" s="271">
        <f>D61-E61</f>
        <v>2700</v>
      </c>
    </row>
    <row r="62" spans="2:6" x14ac:dyDescent="0.2">
      <c r="E62" s="63" t="s">
        <v>327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J14"/>
  <sheetViews>
    <sheetView showGridLines="0" workbookViewId="0">
      <pane ySplit="1" topLeftCell="A2" activePane="bottomLeft" state="frozen"/>
      <selection activeCell="A3" sqref="A3"/>
      <selection pane="bottomLeft" activeCell="D4" sqref="D4"/>
    </sheetView>
  </sheetViews>
  <sheetFormatPr defaultRowHeight="12.75" x14ac:dyDescent="0.2"/>
  <cols>
    <col min="1" max="1" width="3.28515625" customWidth="1"/>
    <col min="3" max="3" width="14.140625" customWidth="1"/>
    <col min="5" max="5" width="12.42578125" customWidth="1"/>
    <col min="9" max="9" width="8.7109375" customWidth="1"/>
  </cols>
  <sheetData>
    <row r="1" spans="1:10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990</v>
      </c>
      <c r="D3" s="6" t="s">
        <v>1628</v>
      </c>
    </row>
    <row r="4" spans="1:10" x14ac:dyDescent="0.2">
      <c r="C4" s="12">
        <v>0.88541666666666663</v>
      </c>
      <c r="D4" s="8">
        <f>HOUR(C4)</f>
        <v>21</v>
      </c>
      <c r="E4" s="63" t="s">
        <v>280</v>
      </c>
    </row>
    <row r="5" spans="1:10" x14ac:dyDescent="0.2">
      <c r="C5" s="7">
        <v>0.25</v>
      </c>
      <c r="D5" s="8">
        <f>HOUR(C5)</f>
        <v>6</v>
      </c>
      <c r="E5" s="63" t="s">
        <v>281</v>
      </c>
    </row>
    <row r="7" spans="1:10" ht="13.5" thickBot="1" x14ac:dyDescent="0.25">
      <c r="B7" s="2" t="s">
        <v>3118</v>
      </c>
      <c r="C7" s="2"/>
      <c r="D7" s="2"/>
      <c r="E7" s="2"/>
      <c r="F7" s="2"/>
      <c r="G7" s="2"/>
      <c r="H7" s="2"/>
      <c r="I7" s="2"/>
    </row>
    <row r="8" spans="1:10" x14ac:dyDescent="0.2">
      <c r="B8" t="s">
        <v>1422</v>
      </c>
    </row>
    <row r="10" spans="1:10" ht="13.5" thickBot="1" x14ac:dyDescent="0.25">
      <c r="B10" s="2" t="s">
        <v>998</v>
      </c>
      <c r="C10" s="2"/>
      <c r="D10" s="2"/>
      <c r="E10" s="2"/>
      <c r="F10" s="2"/>
      <c r="G10" s="2"/>
      <c r="H10" s="2"/>
      <c r="I10" s="2"/>
    </row>
    <row r="11" spans="1:10" x14ac:dyDescent="0.2">
      <c r="B11" t="s">
        <v>1423</v>
      </c>
    </row>
    <row r="13" spans="1:10" ht="13.5" thickBot="1" x14ac:dyDescent="0.25">
      <c r="B13" s="2" t="s">
        <v>3355</v>
      </c>
      <c r="C13" s="2"/>
      <c r="D13" s="2"/>
      <c r="E13" s="2"/>
      <c r="F13" s="2"/>
      <c r="G13" s="2"/>
      <c r="H13" s="2"/>
      <c r="I13" s="2"/>
    </row>
    <row r="14" spans="1:10" x14ac:dyDescent="0.2">
      <c r="B14" t="s">
        <v>1424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K131"/>
  <sheetViews>
    <sheetView showGridLines="0" workbookViewId="0">
      <pane ySplit="1" topLeftCell="A3" activePane="bottomLeft" state="frozen"/>
      <selection activeCell="A3" sqref="A3"/>
      <selection pane="bottomLeft" activeCell="F12" sqref="F12"/>
    </sheetView>
  </sheetViews>
  <sheetFormatPr defaultRowHeight="12.75" x14ac:dyDescent="0.2"/>
  <cols>
    <col min="1" max="1" width="2.7109375" customWidth="1"/>
    <col min="10" max="10" width="8.85546875" customWidth="1"/>
  </cols>
  <sheetData>
    <row r="1" spans="1:11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D3" s="6" t="s">
        <v>3555</v>
      </c>
      <c r="E3" s="6" t="s">
        <v>3556</v>
      </c>
      <c r="F3" s="6" t="s">
        <v>3557</v>
      </c>
      <c r="G3" s="256" t="s">
        <v>3480</v>
      </c>
      <c r="H3" s="257" t="s">
        <v>3481</v>
      </c>
    </row>
    <row r="4" spans="1:11" x14ac:dyDescent="0.2">
      <c r="D4" s="7">
        <v>10</v>
      </c>
      <c r="E4" s="7">
        <v>80</v>
      </c>
      <c r="F4" s="7">
        <v>97</v>
      </c>
      <c r="G4" s="256" t="s">
        <v>3482</v>
      </c>
      <c r="H4" s="257" t="s">
        <v>3483</v>
      </c>
    </row>
    <row r="5" spans="1:11" x14ac:dyDescent="0.2">
      <c r="D5" s="7">
        <v>20</v>
      </c>
      <c r="E5" s="7">
        <v>90</v>
      </c>
      <c r="F5" s="7">
        <v>69</v>
      </c>
      <c r="G5" s="256" t="s">
        <v>3484</v>
      </c>
    </row>
    <row r="6" spans="1:11" x14ac:dyDescent="0.2">
      <c r="D6" s="7">
        <v>30</v>
      </c>
      <c r="E6" s="7">
        <v>100</v>
      </c>
      <c r="F6" s="7">
        <v>45</v>
      </c>
      <c r="G6" s="256" t="s">
        <v>3485</v>
      </c>
    </row>
    <row r="7" spans="1:11" x14ac:dyDescent="0.2">
      <c r="D7" s="7">
        <v>40</v>
      </c>
      <c r="E7" s="7">
        <v>110</v>
      </c>
      <c r="F7" s="7">
        <v>51</v>
      </c>
      <c r="G7" s="256" t="s">
        <v>3486</v>
      </c>
    </row>
    <row r="8" spans="1:11" x14ac:dyDescent="0.2">
      <c r="D8" s="7">
        <v>50</v>
      </c>
      <c r="E8" s="7">
        <v>120</v>
      </c>
      <c r="F8" s="7">
        <v>77</v>
      </c>
      <c r="G8" s="256" t="s">
        <v>3487</v>
      </c>
    </row>
    <row r="10" spans="1:11" x14ac:dyDescent="0.2">
      <c r="B10" s="20"/>
      <c r="C10" s="162"/>
      <c r="D10" s="162"/>
      <c r="E10" s="59" t="s">
        <v>3488</v>
      </c>
      <c r="F10" s="7" t="s">
        <v>3556</v>
      </c>
    </row>
    <row r="11" spans="1:11" x14ac:dyDescent="0.2">
      <c r="B11" s="20"/>
      <c r="C11" s="162"/>
      <c r="D11" s="162"/>
      <c r="E11" s="59" t="s">
        <v>3489</v>
      </c>
      <c r="F11" s="7">
        <v>4</v>
      </c>
    </row>
    <row r="13" spans="1:11" x14ac:dyDescent="0.2">
      <c r="D13" s="20"/>
      <c r="E13" s="59" t="s">
        <v>3490</v>
      </c>
      <c r="F13" s="8">
        <f>HLOOKUP(F10,D3:F10,F11,FALSE)</f>
        <v>100</v>
      </c>
      <c r="G13" s="13" t="s">
        <v>3491</v>
      </c>
    </row>
    <row r="15" spans="1:11" ht="13.5" thickBot="1" x14ac:dyDescent="0.25">
      <c r="B15" s="2" t="s">
        <v>2865</v>
      </c>
      <c r="C15" s="2"/>
      <c r="D15" s="2"/>
      <c r="E15" s="2"/>
      <c r="F15" s="2"/>
      <c r="G15" s="2"/>
      <c r="H15" s="2"/>
      <c r="I15" s="2"/>
      <c r="J15" s="2"/>
    </row>
    <row r="16" spans="1:11" x14ac:dyDescent="0.2">
      <c r="B16" t="s">
        <v>3492</v>
      </c>
    </row>
    <row r="17" spans="2:10" x14ac:dyDescent="0.2">
      <c r="B17" t="s">
        <v>3493</v>
      </c>
    </row>
    <row r="19" spans="2:10" ht="13.5" thickBot="1" x14ac:dyDescent="0.25">
      <c r="B19" s="2" t="s">
        <v>998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s="61" t="s">
        <v>3494</v>
      </c>
    </row>
    <row r="21" spans="2:10" x14ac:dyDescent="0.2">
      <c r="B21" t="s">
        <v>3495</v>
      </c>
    </row>
    <row r="22" spans="2:10" x14ac:dyDescent="0.2">
      <c r="B22" t="s">
        <v>3496</v>
      </c>
    </row>
    <row r="23" spans="2:10" x14ac:dyDescent="0.2">
      <c r="B23" t="s">
        <v>3497</v>
      </c>
    </row>
    <row r="24" spans="2:10" x14ac:dyDescent="0.2">
      <c r="B24" t="s">
        <v>3498</v>
      </c>
    </row>
    <row r="26" spans="2:10" ht="13.5" thickBot="1" x14ac:dyDescent="0.25">
      <c r="B26" s="2" t="s">
        <v>3355</v>
      </c>
      <c r="C26" s="2"/>
      <c r="D26" s="2"/>
      <c r="E26" s="2"/>
      <c r="F26" s="2"/>
      <c r="G26" s="2"/>
      <c r="H26" s="2"/>
      <c r="I26" s="2"/>
      <c r="J26" s="2"/>
    </row>
    <row r="27" spans="2:10" x14ac:dyDescent="0.2">
      <c r="B27" t="s">
        <v>2424</v>
      </c>
    </row>
    <row r="29" spans="2:10" ht="13.5" thickBot="1" x14ac:dyDescent="0.25">
      <c r="B29" s="2" t="s">
        <v>1937</v>
      </c>
      <c r="C29" s="2"/>
      <c r="D29" s="2"/>
      <c r="E29" s="2"/>
      <c r="F29" s="2"/>
      <c r="G29" s="2"/>
      <c r="H29" s="2"/>
      <c r="I29" s="2"/>
      <c r="J29" s="2"/>
    </row>
    <row r="30" spans="2:10" x14ac:dyDescent="0.2">
      <c r="B30" t="s">
        <v>3499</v>
      </c>
    </row>
    <row r="31" spans="2:10" x14ac:dyDescent="0.2">
      <c r="B31" t="s">
        <v>3500</v>
      </c>
    </row>
    <row r="32" spans="2:10" x14ac:dyDescent="0.2">
      <c r="B32" t="s">
        <v>3501</v>
      </c>
    </row>
    <row r="33" spans="2:6" x14ac:dyDescent="0.2">
      <c r="B33" t="s">
        <v>3502</v>
      </c>
    </row>
    <row r="35" spans="2:6" x14ac:dyDescent="0.2">
      <c r="B35" t="s">
        <v>3503</v>
      </c>
    </row>
    <row r="36" spans="2:6" x14ac:dyDescent="0.2">
      <c r="B36" t="s">
        <v>3504</v>
      </c>
    </row>
    <row r="37" spans="2:6" x14ac:dyDescent="0.2">
      <c r="B37" t="s">
        <v>3505</v>
      </c>
    </row>
    <row r="38" spans="2:6" x14ac:dyDescent="0.2">
      <c r="B38" t="s">
        <v>3506</v>
      </c>
    </row>
    <row r="40" spans="2:6" x14ac:dyDescent="0.2">
      <c r="B40" t="s">
        <v>3507</v>
      </c>
    </row>
    <row r="41" spans="2:6" x14ac:dyDescent="0.2">
      <c r="B41" t="s">
        <v>3508</v>
      </c>
    </row>
    <row r="43" spans="2:6" x14ac:dyDescent="0.2">
      <c r="B43" t="s">
        <v>3509</v>
      </c>
    </row>
    <row r="44" spans="2:6" x14ac:dyDescent="0.2">
      <c r="B44" t="s">
        <v>3510</v>
      </c>
    </row>
    <row r="45" spans="2:6" x14ac:dyDescent="0.2">
      <c r="B45" t="s">
        <v>279</v>
      </c>
    </row>
    <row r="47" spans="2:6" x14ac:dyDescent="0.2">
      <c r="D47" s="6" t="s">
        <v>3555</v>
      </c>
      <c r="E47" s="6" t="s">
        <v>3556</v>
      </c>
      <c r="F47" s="6" t="s">
        <v>3557</v>
      </c>
    </row>
    <row r="48" spans="2:6" x14ac:dyDescent="0.2">
      <c r="C48" s="6" t="s">
        <v>3362</v>
      </c>
      <c r="D48" s="7">
        <v>10</v>
      </c>
      <c r="E48" s="7">
        <v>80</v>
      </c>
      <c r="F48" s="7">
        <v>97</v>
      </c>
    </row>
    <row r="49" spans="2:10" x14ac:dyDescent="0.2">
      <c r="C49" s="6" t="s">
        <v>3134</v>
      </c>
      <c r="D49" s="7">
        <v>20</v>
      </c>
      <c r="E49" s="7">
        <v>90</v>
      </c>
      <c r="F49" s="7">
        <v>69</v>
      </c>
    </row>
    <row r="50" spans="2:10" x14ac:dyDescent="0.2">
      <c r="C50" s="6" t="s">
        <v>3361</v>
      </c>
      <c r="D50" s="7">
        <v>30</v>
      </c>
      <c r="E50" s="7">
        <v>100</v>
      </c>
      <c r="F50" s="7">
        <v>45</v>
      </c>
    </row>
    <row r="51" spans="2:10" x14ac:dyDescent="0.2">
      <c r="C51" s="6" t="s">
        <v>3363</v>
      </c>
      <c r="D51" s="7">
        <v>40</v>
      </c>
      <c r="E51" s="7">
        <v>110</v>
      </c>
      <c r="F51" s="7">
        <v>51</v>
      </c>
    </row>
    <row r="52" spans="2:10" x14ac:dyDescent="0.2">
      <c r="C52" s="6" t="s">
        <v>1952</v>
      </c>
      <c r="D52" s="7">
        <v>50</v>
      </c>
      <c r="E52" s="7">
        <v>120</v>
      </c>
      <c r="F52" s="7">
        <v>77</v>
      </c>
    </row>
    <row r="54" spans="2:10" x14ac:dyDescent="0.2">
      <c r="B54" s="20"/>
      <c r="C54" s="162"/>
      <c r="D54" s="162"/>
      <c r="E54" s="59" t="s">
        <v>3488</v>
      </c>
      <c r="F54" s="7" t="s">
        <v>3511</v>
      </c>
    </row>
    <row r="55" spans="2:10" x14ac:dyDescent="0.2">
      <c r="B55" s="20"/>
      <c r="C55" s="162"/>
      <c r="D55" s="162"/>
      <c r="E55" s="59" t="s">
        <v>3512</v>
      </c>
      <c r="F55" s="7" t="s">
        <v>3513</v>
      </c>
    </row>
    <row r="57" spans="2:10" x14ac:dyDescent="0.2">
      <c r="D57" s="20"/>
      <c r="E57" s="59" t="s">
        <v>3490</v>
      </c>
      <c r="F57" s="8">
        <f>HLOOKUP(F54,D47:F54,MATCH(F55,C48:C52,0)+1,FALSE)</f>
        <v>100</v>
      </c>
    </row>
    <row r="58" spans="2:10" x14ac:dyDescent="0.2">
      <c r="E58" s="13" t="s">
        <v>3514</v>
      </c>
    </row>
    <row r="60" spans="2:10" ht="13.5" thickBot="1" x14ac:dyDescent="0.25">
      <c r="B60" s="2" t="s">
        <v>1962</v>
      </c>
      <c r="C60" s="2"/>
      <c r="D60" s="2"/>
      <c r="E60" s="2"/>
      <c r="F60" s="2"/>
      <c r="G60" s="2"/>
      <c r="H60" s="2"/>
      <c r="I60" s="2"/>
      <c r="J60" s="2"/>
    </row>
    <row r="61" spans="2:10" x14ac:dyDescent="0.2">
      <c r="B61" t="s">
        <v>3515</v>
      </c>
    </row>
    <row r="62" spans="2:10" x14ac:dyDescent="0.2">
      <c r="B62" t="s">
        <v>3516</v>
      </c>
    </row>
    <row r="63" spans="2:10" x14ac:dyDescent="0.2">
      <c r="B63" t="s">
        <v>3517</v>
      </c>
    </row>
    <row r="64" spans="2:10" x14ac:dyDescent="0.2">
      <c r="B64" t="s">
        <v>3518</v>
      </c>
    </row>
    <row r="65" spans="2:9" x14ac:dyDescent="0.2">
      <c r="B65" t="s">
        <v>3519</v>
      </c>
    </row>
    <row r="67" spans="2:9" x14ac:dyDescent="0.2">
      <c r="B67" t="s">
        <v>3520</v>
      </c>
    </row>
    <row r="68" spans="2:9" x14ac:dyDescent="0.2">
      <c r="B68" t="s">
        <v>3521</v>
      </c>
    </row>
    <row r="69" spans="2:9" x14ac:dyDescent="0.2">
      <c r="B69" t="s">
        <v>3522</v>
      </c>
    </row>
    <row r="71" spans="2:9" ht="13.5" thickBot="1" x14ac:dyDescent="0.25">
      <c r="B71" s="242" t="s">
        <v>3523</v>
      </c>
      <c r="C71" s="242" t="s">
        <v>3524</v>
      </c>
      <c r="D71" s="242" t="s">
        <v>2755</v>
      </c>
    </row>
    <row r="72" spans="2:9" ht="14.25" thickTop="1" thickBot="1" x14ac:dyDescent="0.25">
      <c r="B72" s="258" t="s">
        <v>1180</v>
      </c>
      <c r="C72" s="259" t="s">
        <v>3525</v>
      </c>
      <c r="D72" s="260">
        <f t="shared" ref="D72:D79" si="0">HLOOKUP(B72,$G$72:$I$77,MATCH(C72,$F$73:$F$77,0)+1,FALSE)</f>
        <v>50</v>
      </c>
      <c r="G72" s="261" t="s">
        <v>1180</v>
      </c>
      <c r="H72" s="262" t="s">
        <v>1182</v>
      </c>
      <c r="I72" s="263" t="s">
        <v>3526</v>
      </c>
    </row>
    <row r="73" spans="2:9" ht="13.5" thickTop="1" x14ac:dyDescent="0.2">
      <c r="B73" s="258" t="s">
        <v>3526</v>
      </c>
      <c r="C73" s="259" t="s">
        <v>3527</v>
      </c>
      <c r="D73" s="260">
        <f t="shared" si="0"/>
        <v>600</v>
      </c>
      <c r="F73" s="264" t="s">
        <v>3527</v>
      </c>
      <c r="G73" s="225">
        <v>500</v>
      </c>
      <c r="H73" s="7">
        <v>450</v>
      </c>
      <c r="I73" s="226">
        <v>600</v>
      </c>
    </row>
    <row r="74" spans="2:9" x14ac:dyDescent="0.2">
      <c r="B74" s="258" t="s">
        <v>1182</v>
      </c>
      <c r="C74" s="259" t="s">
        <v>3528</v>
      </c>
      <c r="D74" s="260">
        <f t="shared" si="0"/>
        <v>1200</v>
      </c>
      <c r="F74" s="265" t="s">
        <v>3528</v>
      </c>
      <c r="G74" s="225">
        <v>1000</v>
      </c>
      <c r="H74" s="7">
        <v>1200</v>
      </c>
      <c r="I74" s="226">
        <v>800</v>
      </c>
    </row>
    <row r="75" spans="2:9" x14ac:dyDescent="0.2">
      <c r="B75" s="258" t="s">
        <v>3526</v>
      </c>
      <c r="C75" s="259" t="s">
        <v>3529</v>
      </c>
      <c r="D75" s="260">
        <f t="shared" si="0"/>
        <v>275</v>
      </c>
      <c r="F75" s="265" t="s">
        <v>3529</v>
      </c>
      <c r="G75" s="225">
        <v>250</v>
      </c>
      <c r="H75" s="7">
        <v>350</v>
      </c>
      <c r="I75" s="226">
        <v>275</v>
      </c>
    </row>
    <row r="76" spans="2:9" x14ac:dyDescent="0.2">
      <c r="B76" s="258" t="s">
        <v>1182</v>
      </c>
      <c r="C76" s="259" t="s">
        <v>3525</v>
      </c>
      <c r="D76" s="260">
        <f t="shared" si="0"/>
        <v>70</v>
      </c>
      <c r="F76" s="265" t="s">
        <v>3525</v>
      </c>
      <c r="G76" s="225">
        <v>50</v>
      </c>
      <c r="H76" s="7">
        <v>70</v>
      </c>
      <c r="I76" s="226">
        <v>45</v>
      </c>
    </row>
    <row r="77" spans="2:9" ht="13.5" thickBot="1" x14ac:dyDescent="0.25">
      <c r="B77" s="258" t="s">
        <v>1182</v>
      </c>
      <c r="C77" s="259" t="s">
        <v>3530</v>
      </c>
      <c r="D77" s="260">
        <f t="shared" si="0"/>
        <v>290</v>
      </c>
      <c r="F77" s="266" t="s">
        <v>3530</v>
      </c>
      <c r="G77" s="191">
        <v>300</v>
      </c>
      <c r="H77" s="224">
        <v>290</v>
      </c>
      <c r="I77" s="192">
        <v>310</v>
      </c>
    </row>
    <row r="78" spans="2:9" ht="13.5" thickTop="1" x14ac:dyDescent="0.2">
      <c r="B78" s="258" t="s">
        <v>1180</v>
      </c>
      <c r="C78" s="259" t="s">
        <v>3527</v>
      </c>
      <c r="D78" s="260">
        <f t="shared" si="0"/>
        <v>500</v>
      </c>
    </row>
    <row r="79" spans="2:9" x14ac:dyDescent="0.2">
      <c r="B79" s="258" t="s">
        <v>1182</v>
      </c>
      <c r="C79" s="259" t="s">
        <v>3528</v>
      </c>
      <c r="D79" s="260">
        <f t="shared" si="0"/>
        <v>1200</v>
      </c>
    </row>
    <row r="80" spans="2:9" x14ac:dyDescent="0.2">
      <c r="D80" s="13" t="s">
        <v>3531</v>
      </c>
    </row>
    <row r="83" spans="2:10" ht="13.5" thickBot="1" x14ac:dyDescent="0.25">
      <c r="B83" s="2" t="s">
        <v>1977</v>
      </c>
      <c r="C83" s="2"/>
      <c r="D83" s="2"/>
      <c r="E83" s="2"/>
      <c r="F83" s="2"/>
      <c r="G83" s="2"/>
      <c r="H83" s="2"/>
      <c r="I83" s="2"/>
      <c r="J83" s="2"/>
    </row>
    <row r="84" spans="2:10" x14ac:dyDescent="0.2">
      <c r="B84" t="s">
        <v>3532</v>
      </c>
    </row>
    <row r="85" spans="2:10" x14ac:dyDescent="0.2">
      <c r="B85" t="s">
        <v>3533</v>
      </c>
    </row>
    <row r="86" spans="2:10" x14ac:dyDescent="0.2">
      <c r="B86" t="s">
        <v>3534</v>
      </c>
    </row>
    <row r="87" spans="2:10" x14ac:dyDescent="0.2">
      <c r="B87" t="s">
        <v>3535</v>
      </c>
    </row>
    <row r="89" spans="2:10" x14ac:dyDescent="0.2">
      <c r="B89" t="s">
        <v>3536</v>
      </c>
    </row>
    <row r="90" spans="2:10" x14ac:dyDescent="0.2">
      <c r="B90" t="s">
        <v>3537</v>
      </c>
    </row>
    <row r="92" spans="2:10" x14ac:dyDescent="0.2">
      <c r="B92" t="s">
        <v>3538</v>
      </c>
    </row>
    <row r="93" spans="2:10" x14ac:dyDescent="0.2">
      <c r="B93" t="s">
        <v>3539</v>
      </c>
    </row>
    <row r="94" spans="2:10" x14ac:dyDescent="0.2">
      <c r="B94" t="s">
        <v>3540</v>
      </c>
    </row>
    <row r="95" spans="2:10" x14ac:dyDescent="0.2">
      <c r="B95" t="s">
        <v>3541</v>
      </c>
    </row>
    <row r="96" spans="2:10" x14ac:dyDescent="0.2">
      <c r="B96" t="s">
        <v>3155</v>
      </c>
    </row>
    <row r="97" spans="2:7" x14ac:dyDescent="0.2">
      <c r="B97" t="s">
        <v>3156</v>
      </c>
    </row>
    <row r="99" spans="2:7" x14ac:dyDescent="0.2">
      <c r="B99" t="s">
        <v>3157</v>
      </c>
    </row>
    <row r="100" spans="2:7" x14ac:dyDescent="0.2">
      <c r="B100" t="s">
        <v>3158</v>
      </c>
    </row>
    <row r="101" spans="2:7" x14ac:dyDescent="0.2">
      <c r="B101" t="s">
        <v>3159</v>
      </c>
    </row>
    <row r="102" spans="2:7" x14ac:dyDescent="0.2">
      <c r="B102" t="s">
        <v>3160</v>
      </c>
    </row>
    <row r="103" spans="2:7" x14ac:dyDescent="0.2">
      <c r="B103" t="s">
        <v>3161</v>
      </c>
    </row>
    <row r="104" spans="2:7" x14ac:dyDescent="0.2">
      <c r="B104" t="s">
        <v>3162</v>
      </c>
    </row>
    <row r="105" spans="2:7" x14ac:dyDescent="0.2">
      <c r="B105" t="s">
        <v>3163</v>
      </c>
    </row>
    <row r="106" spans="2:7" x14ac:dyDescent="0.2">
      <c r="B106" t="s">
        <v>3164</v>
      </c>
    </row>
    <row r="107" spans="2:7" x14ac:dyDescent="0.2">
      <c r="B107" t="s">
        <v>3165</v>
      </c>
    </row>
    <row r="108" spans="2:7" x14ac:dyDescent="0.2">
      <c r="B108" t="s">
        <v>3166</v>
      </c>
    </row>
    <row r="110" spans="2:7" x14ac:dyDescent="0.2">
      <c r="E110" s="267" t="s">
        <v>3167</v>
      </c>
      <c r="F110" s="267"/>
      <c r="G110" s="267"/>
    </row>
    <row r="111" spans="2:7" x14ac:dyDescent="0.2">
      <c r="E111" s="94" t="s">
        <v>3168</v>
      </c>
      <c r="F111" s="94" t="s">
        <v>3060</v>
      </c>
      <c r="G111" s="94" t="s">
        <v>2015</v>
      </c>
    </row>
    <row r="112" spans="2:7" x14ac:dyDescent="0.2">
      <c r="E112" s="83">
        <v>2</v>
      </c>
      <c r="F112" s="83">
        <v>1</v>
      </c>
      <c r="G112" s="83">
        <v>3</v>
      </c>
    </row>
    <row r="114" spans="3:7" x14ac:dyDescent="0.2">
      <c r="E114" s="267" t="s">
        <v>3169</v>
      </c>
      <c r="F114" s="267"/>
      <c r="G114" s="267"/>
    </row>
    <row r="115" spans="3:7" x14ac:dyDescent="0.2">
      <c r="E115" s="93">
        <v>1</v>
      </c>
      <c r="F115" s="93">
        <v>100</v>
      </c>
      <c r="G115" s="93">
        <v>300</v>
      </c>
    </row>
    <row r="116" spans="3:7" x14ac:dyDescent="0.2">
      <c r="D116" s="93" t="s">
        <v>3168</v>
      </c>
      <c r="E116" s="28">
        <v>0</v>
      </c>
      <c r="F116" s="28">
        <v>0.06</v>
      </c>
      <c r="G116" s="28">
        <v>0.08</v>
      </c>
    </row>
    <row r="117" spans="3:7" x14ac:dyDescent="0.2">
      <c r="D117" s="93" t="s">
        <v>3060</v>
      </c>
      <c r="E117" s="28">
        <v>0</v>
      </c>
      <c r="F117" s="28">
        <v>0.03</v>
      </c>
      <c r="G117" s="28">
        <v>0.05</v>
      </c>
    </row>
    <row r="118" spans="3:7" x14ac:dyDescent="0.2">
      <c r="D118" s="93" t="s">
        <v>2015</v>
      </c>
      <c r="E118" s="28">
        <v>0</v>
      </c>
      <c r="F118" s="28">
        <v>0.12</v>
      </c>
      <c r="G118" s="28">
        <v>0.15</v>
      </c>
    </row>
    <row r="120" spans="3:7" x14ac:dyDescent="0.2">
      <c r="C120" s="267" t="s">
        <v>274</v>
      </c>
      <c r="D120" s="267"/>
      <c r="E120" s="267"/>
      <c r="F120" s="267"/>
      <c r="G120" s="267"/>
    </row>
    <row r="121" spans="3:7" x14ac:dyDescent="0.2">
      <c r="C121" s="6" t="s">
        <v>3054</v>
      </c>
      <c r="D121" s="6" t="s">
        <v>275</v>
      </c>
      <c r="E121" s="6" t="s">
        <v>2849</v>
      </c>
      <c r="F121" s="6" t="s">
        <v>276</v>
      </c>
      <c r="G121" s="6" t="s">
        <v>3360</v>
      </c>
    </row>
    <row r="122" spans="3:7" x14ac:dyDescent="0.2">
      <c r="C122" s="7" t="s">
        <v>3168</v>
      </c>
      <c r="D122" s="7">
        <v>100</v>
      </c>
      <c r="E122" s="252">
        <f t="shared" ref="E122:E127" si="1">HLOOKUP(C122,$E$111:$G$112,2,FALSE)</f>
        <v>2</v>
      </c>
      <c r="F122" s="39">
        <f t="shared" ref="F122:F127" si="2">HLOOKUP(D122,$E$115:$G$118,MATCH(C122,$D$116:$D$118,0)+1,TRUE)</f>
        <v>0.06</v>
      </c>
      <c r="G122" s="252">
        <f t="shared" ref="G122:G127" si="3">(D122*E122)-(D122*E122*F122)</f>
        <v>188</v>
      </c>
    </row>
    <row r="123" spans="3:7" x14ac:dyDescent="0.2">
      <c r="C123" s="7" t="s">
        <v>3060</v>
      </c>
      <c r="D123" s="7">
        <v>200</v>
      </c>
      <c r="E123" s="252">
        <f t="shared" si="1"/>
        <v>1</v>
      </c>
      <c r="F123" s="39">
        <f t="shared" si="2"/>
        <v>0.03</v>
      </c>
      <c r="G123" s="252">
        <f t="shared" si="3"/>
        <v>194</v>
      </c>
    </row>
    <row r="124" spans="3:7" x14ac:dyDescent="0.2">
      <c r="C124" s="7" t="s">
        <v>2015</v>
      </c>
      <c r="D124" s="7">
        <v>150</v>
      </c>
      <c r="E124" s="252">
        <f t="shared" si="1"/>
        <v>3</v>
      </c>
      <c r="F124" s="39">
        <f t="shared" si="2"/>
        <v>0.12</v>
      </c>
      <c r="G124" s="252">
        <f t="shared" si="3"/>
        <v>396</v>
      </c>
    </row>
    <row r="125" spans="3:7" x14ac:dyDescent="0.2">
      <c r="C125" s="7" t="s">
        <v>3168</v>
      </c>
      <c r="D125" s="7">
        <v>225</v>
      </c>
      <c r="E125" s="252">
        <f t="shared" si="1"/>
        <v>2</v>
      </c>
      <c r="F125" s="39">
        <f t="shared" si="2"/>
        <v>0.06</v>
      </c>
      <c r="G125" s="252">
        <f t="shared" si="3"/>
        <v>423</v>
      </c>
    </row>
    <row r="126" spans="3:7" x14ac:dyDescent="0.2">
      <c r="C126" s="7" t="s">
        <v>3060</v>
      </c>
      <c r="D126" s="7">
        <v>50</v>
      </c>
      <c r="E126" s="252">
        <f t="shared" si="1"/>
        <v>1</v>
      </c>
      <c r="F126" s="39">
        <f t="shared" si="2"/>
        <v>0</v>
      </c>
      <c r="G126" s="252">
        <f t="shared" si="3"/>
        <v>50</v>
      </c>
    </row>
    <row r="127" spans="3:7" x14ac:dyDescent="0.2">
      <c r="C127" s="7" t="s">
        <v>2015</v>
      </c>
      <c r="D127" s="7">
        <v>500</v>
      </c>
      <c r="E127" s="252">
        <f t="shared" si="1"/>
        <v>3</v>
      </c>
      <c r="F127" s="39">
        <f t="shared" si="2"/>
        <v>0.15</v>
      </c>
      <c r="G127" s="252">
        <f t="shared" si="3"/>
        <v>1275</v>
      </c>
    </row>
    <row r="129" spans="3:4" x14ac:dyDescent="0.2">
      <c r="C129" t="s">
        <v>2849</v>
      </c>
      <c r="D129" s="63" t="s">
        <v>277</v>
      </c>
    </row>
    <row r="131" spans="3:4" x14ac:dyDescent="0.2">
      <c r="C131" t="s">
        <v>276</v>
      </c>
      <c r="D131" s="63" t="s">
        <v>278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8" fitToHeight="5" orientation="portrait" r:id="rId1"/>
  <headerFooter alignWithMargins="0">
    <oddHeader>&amp;LExcel Function Dictionary
© 1998 - 2000 Peter Noneley&amp;R&amp;A
Page &amp;P of &amp;N</oddHeader>
  </headerFooter>
  <rowBreaks count="3" manualBreakCount="3">
    <brk id="28" max="65535" man="1"/>
    <brk id="59" max="65535" man="1"/>
    <brk id="82" max="65535" man="1"/>
  </row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H31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5.28515625" customWidth="1"/>
    <col min="4" max="4" width="20.42578125" customWidth="1"/>
    <col min="5" max="5" width="15.28515625" customWidth="1"/>
    <col min="7" max="7" width="12.28515625" customWidth="1"/>
  </cols>
  <sheetData>
    <row r="1" spans="1:8" ht="45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3256</v>
      </c>
      <c r="D3" s="6" t="s">
        <v>3232</v>
      </c>
    </row>
    <row r="4" spans="1:8" x14ac:dyDescent="0.2">
      <c r="C4" s="7">
        <v>0</v>
      </c>
      <c r="D4" s="136">
        <f t="shared" ref="D4:D14" si="0">HEX2DEC(C4)</f>
        <v>0</v>
      </c>
      <c r="E4" s="13" t="s">
        <v>3457</v>
      </c>
    </row>
    <row r="5" spans="1:8" x14ac:dyDescent="0.2">
      <c r="C5" s="7">
        <v>1</v>
      </c>
      <c r="D5" s="136">
        <f t="shared" si="0"/>
        <v>1</v>
      </c>
      <c r="E5" s="13" t="s">
        <v>3458</v>
      </c>
    </row>
    <row r="6" spans="1:8" x14ac:dyDescent="0.2">
      <c r="C6" s="7">
        <v>2</v>
      </c>
      <c r="D6" s="136">
        <f t="shared" si="0"/>
        <v>2</v>
      </c>
      <c r="E6" s="13" t="s">
        <v>3459</v>
      </c>
    </row>
    <row r="7" spans="1:8" x14ac:dyDescent="0.2">
      <c r="C7" s="7">
        <v>3</v>
      </c>
      <c r="D7" s="136">
        <f t="shared" si="0"/>
        <v>3</v>
      </c>
      <c r="E7" s="13" t="s">
        <v>3460</v>
      </c>
    </row>
    <row r="8" spans="1:8" x14ac:dyDescent="0.2">
      <c r="C8" s="7" t="s">
        <v>3461</v>
      </c>
      <c r="D8" s="136">
        <f t="shared" si="0"/>
        <v>26</v>
      </c>
      <c r="E8" s="13" t="s">
        <v>3462</v>
      </c>
    </row>
    <row r="9" spans="1:8" x14ac:dyDescent="0.2">
      <c r="C9" s="7" t="s">
        <v>3463</v>
      </c>
      <c r="D9" s="136">
        <f t="shared" si="0"/>
        <v>27</v>
      </c>
      <c r="E9" s="13" t="s">
        <v>3464</v>
      </c>
    </row>
    <row r="10" spans="1:8" x14ac:dyDescent="0.2">
      <c r="C10" s="7" t="s">
        <v>3465</v>
      </c>
      <c r="D10" s="255">
        <f t="shared" si="0"/>
        <v>549755813887</v>
      </c>
      <c r="E10" s="13" t="s">
        <v>3466</v>
      </c>
    </row>
    <row r="11" spans="1:8" x14ac:dyDescent="0.2">
      <c r="C11" s="7">
        <v>8000000000</v>
      </c>
      <c r="D11" s="255">
        <f t="shared" si="0"/>
        <v>-549755813888</v>
      </c>
      <c r="E11" s="13" t="s">
        <v>3467</v>
      </c>
    </row>
    <row r="12" spans="1:8" x14ac:dyDescent="0.2">
      <c r="C12" s="7" t="s">
        <v>3468</v>
      </c>
      <c r="D12" s="136">
        <f t="shared" si="0"/>
        <v>-1</v>
      </c>
      <c r="E12" s="13" t="s">
        <v>3469</v>
      </c>
    </row>
    <row r="13" spans="1:8" x14ac:dyDescent="0.2">
      <c r="C13" s="7" t="s">
        <v>3470</v>
      </c>
      <c r="D13" s="136">
        <f t="shared" si="0"/>
        <v>-2</v>
      </c>
      <c r="E13" s="13" t="s">
        <v>3471</v>
      </c>
    </row>
    <row r="14" spans="1:8" x14ac:dyDescent="0.2">
      <c r="C14" s="7" t="s">
        <v>3472</v>
      </c>
      <c r="D14" s="136">
        <f t="shared" si="0"/>
        <v>-3</v>
      </c>
      <c r="E14" s="13" t="s">
        <v>3473</v>
      </c>
    </row>
    <row r="16" spans="1:8" ht="13.5" thickBot="1" x14ac:dyDescent="0.25">
      <c r="B16" s="2" t="s">
        <v>2865</v>
      </c>
      <c r="C16" s="2"/>
      <c r="D16" s="2"/>
      <c r="E16" s="2"/>
      <c r="F16" s="2"/>
      <c r="G16" s="2"/>
    </row>
    <row r="17" spans="2:7" x14ac:dyDescent="0.2">
      <c r="B17" t="s">
        <v>3474</v>
      </c>
    </row>
    <row r="19" spans="2:7" ht="13.5" thickBot="1" x14ac:dyDescent="0.25">
      <c r="B19" s="2" t="s">
        <v>998</v>
      </c>
      <c r="C19" s="2"/>
      <c r="D19" s="2"/>
      <c r="E19" s="2"/>
      <c r="F19" s="2"/>
      <c r="G19" s="2"/>
    </row>
    <row r="20" spans="2:7" x14ac:dyDescent="0.2">
      <c r="B20" s="61" t="s">
        <v>3475</v>
      </c>
    </row>
    <row r="22" spans="2:7" ht="13.5" thickBot="1" x14ac:dyDescent="0.25">
      <c r="B22" s="2" t="s">
        <v>3355</v>
      </c>
      <c r="C22" s="2"/>
      <c r="D22" s="2"/>
      <c r="E22" s="2"/>
      <c r="F22" s="2"/>
      <c r="G22" s="2"/>
    </row>
    <row r="23" spans="2:7" x14ac:dyDescent="0.2">
      <c r="B23" t="s">
        <v>2424</v>
      </c>
    </row>
    <row r="25" spans="2:7" ht="13.5" thickBot="1" x14ac:dyDescent="0.25">
      <c r="B25" s="2" t="s">
        <v>1001</v>
      </c>
      <c r="C25" s="2"/>
      <c r="D25" s="2"/>
      <c r="E25" s="2"/>
      <c r="F25" s="2"/>
      <c r="G25" s="2"/>
    </row>
    <row r="26" spans="2:7" x14ac:dyDescent="0.2">
      <c r="B26" t="s">
        <v>3476</v>
      </c>
    </row>
    <row r="28" spans="2:7" x14ac:dyDescent="0.2">
      <c r="C28" s="6" t="s">
        <v>3256</v>
      </c>
    </row>
    <row r="29" spans="2:7" x14ac:dyDescent="0.2">
      <c r="B29" s="6" t="s">
        <v>3477</v>
      </c>
      <c r="C29" s="7" t="s">
        <v>1643</v>
      </c>
    </row>
    <row r="30" spans="2:7" x14ac:dyDescent="0.2">
      <c r="B30" s="6" t="s">
        <v>3478</v>
      </c>
      <c r="C30" s="7" t="s">
        <v>3461</v>
      </c>
    </row>
    <row r="31" spans="2:7" x14ac:dyDescent="0.2">
      <c r="B31" s="6" t="s">
        <v>3113</v>
      </c>
      <c r="C31" s="8" t="str">
        <f>DEC2HEX(HEX2DEC(C29)+HEX2DEC(C30))</f>
        <v>29</v>
      </c>
      <c r="D31" s="13" t="s">
        <v>3479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K33"/>
  <sheetViews>
    <sheetView showGridLines="0" workbookViewId="0">
      <pane ySplit="1" topLeftCell="A2" activePane="bottomLeft" state="frozen"/>
      <selection activeCell="A3" sqref="A3"/>
      <selection pane="bottomLeft" activeCell="E4" sqref="E4"/>
    </sheetView>
  </sheetViews>
  <sheetFormatPr defaultRowHeight="12.75" x14ac:dyDescent="0.2"/>
  <cols>
    <col min="1" max="1" width="2.7109375" customWidth="1"/>
    <col min="10" max="10" width="8.85546875" customWidth="1"/>
  </cols>
  <sheetData>
    <row r="1" spans="1:11" ht="45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6" t="s">
        <v>3282</v>
      </c>
      <c r="D3" s="6" t="s">
        <v>3283</v>
      </c>
      <c r="E3" s="6" t="s">
        <v>1465</v>
      </c>
    </row>
    <row r="4" spans="1:11" x14ac:dyDescent="0.2">
      <c r="C4" s="7">
        <v>10</v>
      </c>
      <c r="D4" s="7">
        <v>20</v>
      </c>
      <c r="E4" s="8">
        <f t="shared" ref="E4:E10" si="0">GESTEP(C4,D4)</f>
        <v>0</v>
      </c>
      <c r="F4" s="13" t="s">
        <v>3437</v>
      </c>
    </row>
    <row r="5" spans="1:11" x14ac:dyDescent="0.2">
      <c r="C5" s="7">
        <v>50</v>
      </c>
      <c r="D5" s="7">
        <v>20</v>
      </c>
      <c r="E5" s="8">
        <f t="shared" si="0"/>
        <v>1</v>
      </c>
      <c r="F5" s="13" t="s">
        <v>3438</v>
      </c>
    </row>
    <row r="6" spans="1:11" x14ac:dyDescent="0.2">
      <c r="C6" s="7">
        <v>99</v>
      </c>
      <c r="D6" s="7">
        <v>100</v>
      </c>
      <c r="E6" s="8">
        <f t="shared" si="0"/>
        <v>0</v>
      </c>
      <c r="F6" s="13" t="s">
        <v>3439</v>
      </c>
    </row>
    <row r="7" spans="1:11" x14ac:dyDescent="0.2">
      <c r="C7" s="7">
        <v>100</v>
      </c>
      <c r="D7" s="7">
        <v>100</v>
      </c>
      <c r="E7" s="8">
        <f t="shared" si="0"/>
        <v>1</v>
      </c>
      <c r="F7" s="13" t="s">
        <v>3440</v>
      </c>
    </row>
    <row r="8" spans="1:11" x14ac:dyDescent="0.2">
      <c r="C8" s="7">
        <v>101</v>
      </c>
      <c r="D8" s="7">
        <v>100</v>
      </c>
      <c r="E8" s="8">
        <f t="shared" si="0"/>
        <v>1</v>
      </c>
      <c r="F8" s="13" t="s">
        <v>3441</v>
      </c>
    </row>
    <row r="9" spans="1:11" x14ac:dyDescent="0.2">
      <c r="C9" s="7">
        <v>2</v>
      </c>
      <c r="D9" s="7"/>
      <c r="E9" s="8">
        <f t="shared" si="0"/>
        <v>1</v>
      </c>
      <c r="F9" s="13" t="s">
        <v>3442</v>
      </c>
    </row>
    <row r="10" spans="1:11" x14ac:dyDescent="0.2">
      <c r="C10" s="7"/>
      <c r="D10" s="7">
        <v>2</v>
      </c>
      <c r="E10" s="8">
        <f t="shared" si="0"/>
        <v>0</v>
      </c>
      <c r="F10" s="13" t="s">
        <v>3443</v>
      </c>
    </row>
    <row r="12" spans="1:11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1" x14ac:dyDescent="0.2">
      <c r="B13" t="s">
        <v>3444</v>
      </c>
    </row>
    <row r="14" spans="1:11" x14ac:dyDescent="0.2">
      <c r="B14" t="s">
        <v>3445</v>
      </c>
    </row>
    <row r="16" spans="1:11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s="61" t="s">
        <v>3446</v>
      </c>
    </row>
    <row r="19" spans="2:10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t="s">
        <v>2424</v>
      </c>
    </row>
    <row r="22" spans="2:10" ht="13.5" thickBot="1" x14ac:dyDescent="0.25">
      <c r="B22" s="2" t="s">
        <v>1001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t="s">
        <v>3447</v>
      </c>
    </row>
    <row r="24" spans="2:10" x14ac:dyDescent="0.2">
      <c r="B24" t="s">
        <v>3448</v>
      </c>
    </row>
    <row r="26" spans="2:10" x14ac:dyDescent="0.2">
      <c r="C26" s="6" t="s">
        <v>1946</v>
      </c>
      <c r="D26" s="6" t="s">
        <v>1726</v>
      </c>
      <c r="E26" s="6" t="s">
        <v>3449</v>
      </c>
      <c r="F26" s="6" t="s">
        <v>1465</v>
      </c>
    </row>
    <row r="27" spans="2:10" x14ac:dyDescent="0.2">
      <c r="C27" s="6" t="s">
        <v>3361</v>
      </c>
      <c r="D27" s="83">
        <v>3000</v>
      </c>
      <c r="E27" s="83">
        <v>4000</v>
      </c>
      <c r="F27" s="8">
        <f>GESTEP(D27,E27)</f>
        <v>0</v>
      </c>
      <c r="G27" s="13" t="s">
        <v>3450</v>
      </c>
    </row>
    <row r="28" spans="2:10" x14ac:dyDescent="0.2">
      <c r="C28" s="6" t="s">
        <v>3362</v>
      </c>
      <c r="D28" s="83">
        <v>5000</v>
      </c>
      <c r="E28" s="83">
        <v>4000</v>
      </c>
      <c r="F28" s="8">
        <f>GESTEP(D28,E28)</f>
        <v>1</v>
      </c>
      <c r="G28" s="13" t="s">
        <v>3451</v>
      </c>
    </row>
    <row r="29" spans="2:10" x14ac:dyDescent="0.2">
      <c r="C29" s="6" t="s">
        <v>3363</v>
      </c>
      <c r="D29" s="83">
        <v>1000</v>
      </c>
      <c r="E29" s="83">
        <v>2000</v>
      </c>
      <c r="F29" s="8">
        <f>GESTEP(D29,E29)</f>
        <v>0</v>
      </c>
      <c r="G29" s="13" t="s">
        <v>3452</v>
      </c>
    </row>
    <row r="30" spans="2:10" x14ac:dyDescent="0.2">
      <c r="C30" s="6" t="s">
        <v>1952</v>
      </c>
      <c r="D30" s="83">
        <v>2000</v>
      </c>
      <c r="E30" s="83">
        <v>2000</v>
      </c>
      <c r="F30" s="8">
        <f>GESTEP(D30,E30)</f>
        <v>1</v>
      </c>
      <c r="G30" s="13" t="s">
        <v>3453</v>
      </c>
    </row>
    <row r="31" spans="2:10" x14ac:dyDescent="0.2">
      <c r="C31" s="6" t="s">
        <v>3134</v>
      </c>
      <c r="D31" s="83">
        <v>8000</v>
      </c>
      <c r="E31" s="83">
        <v>7000</v>
      </c>
      <c r="F31" s="8">
        <f>GESTEP(D31,E31)</f>
        <v>1</v>
      </c>
      <c r="G31" s="13" t="s">
        <v>3454</v>
      </c>
    </row>
    <row r="33" spans="4:7" x14ac:dyDescent="0.2">
      <c r="D33" s="23"/>
      <c r="E33" s="79" t="s">
        <v>3455</v>
      </c>
      <c r="F33" s="8">
        <f>SUM(F27:F31)</f>
        <v>3</v>
      </c>
      <c r="G33" s="13" t="s">
        <v>3456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8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K24"/>
  <sheetViews>
    <sheetView showGridLines="0" workbookViewId="0">
      <pane ySplit="1" topLeftCell="A2" activePane="bottomLeft" state="frozen"/>
      <selection activeCell="A3" sqref="A3"/>
      <selection pane="bottomLeft" activeCell="G3" sqref="G3"/>
    </sheetView>
  </sheetViews>
  <sheetFormatPr defaultRowHeight="12.75" x14ac:dyDescent="0.2"/>
  <cols>
    <col min="1" max="1" width="2.7109375" customWidth="1"/>
    <col min="5" max="5" width="13.5703125" customWidth="1"/>
  </cols>
  <sheetData>
    <row r="1" spans="1:11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  <c r="K1" s="478"/>
    </row>
    <row r="3" spans="1:11" ht="25.5" x14ac:dyDescent="0.2">
      <c r="C3" s="62" t="s">
        <v>2517</v>
      </c>
      <c r="D3" s="62"/>
      <c r="E3" s="57" t="s">
        <v>2518</v>
      </c>
    </row>
    <row r="4" spans="1:11" x14ac:dyDescent="0.2">
      <c r="C4" s="7">
        <v>6</v>
      </c>
      <c r="D4" s="7">
        <v>15</v>
      </c>
      <c r="E4" s="8">
        <f>GCD(C4,D4)</f>
        <v>3</v>
      </c>
      <c r="F4" s="13" t="s">
        <v>2519</v>
      </c>
    </row>
    <row r="5" spans="1:11" x14ac:dyDescent="0.2">
      <c r="C5" s="7">
        <v>28</v>
      </c>
      <c r="D5" s="7">
        <v>49</v>
      </c>
      <c r="E5" s="8">
        <f>GCD(C5,D5)</f>
        <v>7</v>
      </c>
      <c r="F5" s="13" t="s">
        <v>2520</v>
      </c>
    </row>
    <row r="6" spans="1:11" x14ac:dyDescent="0.2">
      <c r="C6" s="7">
        <v>5</v>
      </c>
      <c r="D6" s="7">
        <v>99</v>
      </c>
      <c r="E6" s="8">
        <f>GCD(C6,D6)</f>
        <v>1</v>
      </c>
      <c r="F6" s="13" t="s">
        <v>2521</v>
      </c>
    </row>
    <row r="8" spans="1:11" ht="25.5" x14ac:dyDescent="0.2">
      <c r="C8" s="62" t="s">
        <v>2517</v>
      </c>
      <c r="D8" s="62"/>
      <c r="E8" s="62"/>
      <c r="F8" s="57" t="s">
        <v>2518</v>
      </c>
    </row>
    <row r="9" spans="1:11" x14ac:dyDescent="0.2">
      <c r="C9" s="7">
        <v>18</v>
      </c>
      <c r="D9" s="7">
        <v>72</v>
      </c>
      <c r="E9" s="7">
        <v>96</v>
      </c>
      <c r="F9" s="8">
        <f>GCD(C9,D9,E9)</f>
        <v>6</v>
      </c>
      <c r="G9" s="13" t="s">
        <v>2961</v>
      </c>
    </row>
    <row r="10" spans="1:11" x14ac:dyDescent="0.2">
      <c r="C10" s="7">
        <v>300</v>
      </c>
      <c r="D10" s="7">
        <v>500</v>
      </c>
      <c r="E10" s="7">
        <v>200</v>
      </c>
      <c r="F10" s="8">
        <f>GCD(C10,D10,E10)</f>
        <v>100</v>
      </c>
      <c r="G10" s="13" t="s">
        <v>2962</v>
      </c>
    </row>
    <row r="11" spans="1:11" x14ac:dyDescent="0.2">
      <c r="C11" s="7">
        <v>2.5</v>
      </c>
      <c r="D11" s="7">
        <v>4</v>
      </c>
      <c r="E11" s="7">
        <v>6</v>
      </c>
      <c r="F11" s="8">
        <f>GCD(C11,D11,E11)</f>
        <v>2</v>
      </c>
      <c r="G11" s="13" t="s">
        <v>2963</v>
      </c>
    </row>
    <row r="13" spans="1:11" ht="13.5" thickBot="1" x14ac:dyDescent="0.25">
      <c r="B13" s="2" t="s">
        <v>2865</v>
      </c>
      <c r="C13" s="2"/>
      <c r="D13" s="2"/>
      <c r="E13" s="2"/>
      <c r="F13" s="2"/>
      <c r="G13" s="2"/>
      <c r="H13" s="2"/>
      <c r="I13" s="2"/>
    </row>
    <row r="14" spans="1:11" x14ac:dyDescent="0.2">
      <c r="B14" t="s">
        <v>2964</v>
      </c>
    </row>
    <row r="15" spans="1:11" x14ac:dyDescent="0.2">
      <c r="B15" t="s">
        <v>2965</v>
      </c>
    </row>
    <row r="16" spans="1:11" x14ac:dyDescent="0.2">
      <c r="B16" t="s">
        <v>2966</v>
      </c>
    </row>
    <row r="17" spans="2:9" x14ac:dyDescent="0.2">
      <c r="B17" t="s">
        <v>2967</v>
      </c>
    </row>
    <row r="18" spans="2:9" x14ac:dyDescent="0.2">
      <c r="B18" t="s">
        <v>3435</v>
      </c>
    </row>
    <row r="20" spans="2:9" ht="13.5" thickBot="1" x14ac:dyDescent="0.25">
      <c r="B20" s="2" t="s">
        <v>998</v>
      </c>
      <c r="C20" s="2"/>
      <c r="D20" s="2"/>
      <c r="E20" s="2"/>
      <c r="F20" s="2"/>
      <c r="G20" s="2"/>
      <c r="H20" s="2"/>
      <c r="I20" s="2"/>
    </row>
    <row r="21" spans="2:9" x14ac:dyDescent="0.2">
      <c r="B21" s="61" t="s">
        <v>3436</v>
      </c>
    </row>
    <row r="23" spans="2:9" ht="13.5" thickBot="1" x14ac:dyDescent="0.25">
      <c r="B23" s="2" t="s">
        <v>3355</v>
      </c>
      <c r="C23" s="2"/>
      <c r="D23" s="2"/>
      <c r="E23" s="2"/>
      <c r="F23" s="2"/>
      <c r="G23" s="2"/>
      <c r="H23" s="2"/>
      <c r="I23" s="2"/>
    </row>
    <row r="24" spans="2:9" x14ac:dyDescent="0.2">
      <c r="B24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J110"/>
  <sheetViews>
    <sheetView showGridLines="0" workbookViewId="0">
      <pane ySplit="1" topLeftCell="A2" activePane="bottomLeft" state="frozen"/>
      <selection activeCell="A3" sqref="A3"/>
      <selection pane="bottomLeft" activeCell="H3" sqref="H3"/>
    </sheetView>
  </sheetViews>
  <sheetFormatPr defaultRowHeight="12.75" x14ac:dyDescent="0.2"/>
  <cols>
    <col min="1" max="1" width="2.7109375" customWidth="1"/>
    <col min="2" max="2" width="11" customWidth="1"/>
    <col min="3" max="4" width="10.7109375" customWidth="1"/>
    <col min="9" max="9" width="11.5703125" customWidth="1"/>
  </cols>
  <sheetData>
    <row r="1" spans="1:10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D3" s="6" t="s">
        <v>3555</v>
      </c>
      <c r="E3" s="6" t="s">
        <v>3556</v>
      </c>
      <c r="F3" s="6" t="s">
        <v>3557</v>
      </c>
    </row>
    <row r="4" spans="1:10" x14ac:dyDescent="0.2">
      <c r="C4" s="6" t="s">
        <v>3356</v>
      </c>
      <c r="D4" s="83">
        <v>5000</v>
      </c>
      <c r="E4" s="83">
        <v>6000</v>
      </c>
      <c r="F4" s="83">
        <v>4500</v>
      </c>
    </row>
    <row r="5" spans="1:10" x14ac:dyDescent="0.2">
      <c r="C5" s="6" t="s">
        <v>3357</v>
      </c>
      <c r="D5" s="83">
        <v>5800</v>
      </c>
      <c r="E5" s="83">
        <v>7000</v>
      </c>
      <c r="F5" s="83">
        <v>3000</v>
      </c>
    </row>
    <row r="6" spans="1:10" x14ac:dyDescent="0.2">
      <c r="C6" s="6" t="s">
        <v>3358</v>
      </c>
      <c r="D6" s="83">
        <v>3500</v>
      </c>
      <c r="E6" s="83">
        <v>2000</v>
      </c>
      <c r="F6" s="83">
        <v>10000</v>
      </c>
    </row>
    <row r="7" spans="1:10" x14ac:dyDescent="0.2">
      <c r="C7" s="6" t="s">
        <v>3359</v>
      </c>
      <c r="D7" s="83">
        <v>12000</v>
      </c>
      <c r="E7" s="83">
        <v>4000</v>
      </c>
      <c r="F7" s="83">
        <v>6000</v>
      </c>
    </row>
    <row r="9" spans="1:10" x14ac:dyDescent="0.2">
      <c r="B9" s="20"/>
      <c r="C9" s="162"/>
      <c r="D9" s="59" t="str">
        <f>"Sales "&amp;TEXT(E9,"£#,###")&amp;" and below."</f>
        <v>Sales £4,000 and below.</v>
      </c>
      <c r="E9" s="203">
        <v>4000</v>
      </c>
      <c r="F9" s="8">
        <f t="array" ref="F9:F11">FREQUENCY(D4:F7,E9:E11)</f>
        <v>4</v>
      </c>
      <c r="G9" s="13" t="s">
        <v>224</v>
      </c>
    </row>
    <row r="10" spans="1:10" x14ac:dyDescent="0.2">
      <c r="B10" s="20"/>
      <c r="C10" s="162"/>
      <c r="D10" s="59" t="str">
        <f>"Sales above "&amp;TEXT(E9,"£#,###")&amp;" up to "&amp;TEXT(E10,"£#,### ")</f>
        <v xml:space="preserve">Sales above £4,000 up to £6,000 </v>
      </c>
      <c r="E10" s="203">
        <v>6000</v>
      </c>
      <c r="F10" s="8">
        <v>5</v>
      </c>
      <c r="G10" s="13" t="s">
        <v>224</v>
      </c>
    </row>
    <row r="11" spans="1:10" x14ac:dyDescent="0.2">
      <c r="B11" s="20"/>
      <c r="C11" s="162"/>
      <c r="D11" s="59" t="str">
        <f>"Sales above "&amp;TEXT(E10,"£#,### ")</f>
        <v xml:space="preserve">Sales above £6,000 </v>
      </c>
      <c r="E11" s="203">
        <v>999999</v>
      </c>
      <c r="F11" s="8">
        <v>3</v>
      </c>
      <c r="G11" s="13" t="s">
        <v>224</v>
      </c>
    </row>
    <row r="13" spans="1:10" ht="13.5" thickBot="1" x14ac:dyDescent="0.25">
      <c r="B13" s="2" t="s">
        <v>2865</v>
      </c>
      <c r="C13" s="2"/>
      <c r="D13" s="2"/>
      <c r="E13" s="2"/>
      <c r="F13" s="2"/>
      <c r="G13" s="2"/>
      <c r="H13" s="2"/>
      <c r="I13" s="2"/>
    </row>
    <row r="14" spans="1:10" x14ac:dyDescent="0.2">
      <c r="B14" t="s">
        <v>225</v>
      </c>
    </row>
    <row r="15" spans="1:10" x14ac:dyDescent="0.2">
      <c r="B15" t="s">
        <v>226</v>
      </c>
    </row>
    <row r="16" spans="1:10" x14ac:dyDescent="0.2">
      <c r="B16" t="s">
        <v>227</v>
      </c>
    </row>
    <row r="18" spans="2:9" ht="13.5" thickBot="1" x14ac:dyDescent="0.25">
      <c r="B18" s="2" t="s">
        <v>998</v>
      </c>
      <c r="C18" s="2"/>
      <c r="D18" s="2"/>
      <c r="E18" s="2"/>
      <c r="F18" s="2"/>
      <c r="G18" s="2"/>
      <c r="H18" s="2"/>
      <c r="I18" s="2"/>
    </row>
    <row r="19" spans="2:9" x14ac:dyDescent="0.2">
      <c r="B19" s="61" t="s">
        <v>228</v>
      </c>
    </row>
    <row r="21" spans="2:9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2424</v>
      </c>
    </row>
    <row r="24" spans="2:9" ht="13.5" thickBot="1" x14ac:dyDescent="0.25">
      <c r="B24" s="2" t="s">
        <v>1937</v>
      </c>
      <c r="C24" s="2"/>
      <c r="D24" s="2"/>
      <c r="E24" s="2"/>
      <c r="F24" s="2"/>
      <c r="G24" s="2"/>
      <c r="H24" s="2"/>
      <c r="I24" s="2"/>
    </row>
    <row r="25" spans="2:9" x14ac:dyDescent="0.2">
      <c r="B25" t="s">
        <v>229</v>
      </c>
    </row>
    <row r="26" spans="2:9" x14ac:dyDescent="0.2">
      <c r="B26" t="s">
        <v>230</v>
      </c>
    </row>
    <row r="27" spans="2:9" x14ac:dyDescent="0.2">
      <c r="B27" t="s">
        <v>231</v>
      </c>
    </row>
    <row r="29" spans="2:9" x14ac:dyDescent="0.2">
      <c r="C29" s="6" t="s">
        <v>232</v>
      </c>
      <c r="E29" s="20"/>
      <c r="F29" s="162"/>
      <c r="G29" s="162"/>
      <c r="H29" s="21" t="s">
        <v>233</v>
      </c>
    </row>
    <row r="30" spans="2:9" x14ac:dyDescent="0.2">
      <c r="B30" s="6" t="s">
        <v>234</v>
      </c>
      <c r="C30" s="254">
        <v>20.47</v>
      </c>
      <c r="E30" s="20"/>
      <c r="F30" s="162"/>
      <c r="G30" s="162"/>
      <c r="H30" s="21" t="s">
        <v>235</v>
      </c>
      <c r="I30" s="8">
        <f t="array" ref="I30:I32">FREQUENCY(C30:C38,C41:C43)</f>
        <v>2</v>
      </c>
    </row>
    <row r="31" spans="2:9" x14ac:dyDescent="0.2">
      <c r="B31" s="6" t="s">
        <v>236</v>
      </c>
      <c r="C31" s="254">
        <v>22.83</v>
      </c>
      <c r="E31" s="20"/>
      <c r="F31" s="162"/>
      <c r="G31" s="162"/>
      <c r="H31" s="21" t="s">
        <v>237</v>
      </c>
      <c r="I31" s="8">
        <v>4</v>
      </c>
    </row>
    <row r="32" spans="2:9" x14ac:dyDescent="0.2">
      <c r="B32" s="6" t="s">
        <v>238</v>
      </c>
      <c r="C32" s="254">
        <v>15.74</v>
      </c>
      <c r="E32" s="20"/>
      <c r="F32" s="162"/>
      <c r="G32" s="162"/>
      <c r="H32" s="21" t="s">
        <v>239</v>
      </c>
      <c r="I32" s="8">
        <v>3</v>
      </c>
    </row>
    <row r="33" spans="2:9" x14ac:dyDescent="0.2">
      <c r="B33" s="6" t="s">
        <v>240</v>
      </c>
      <c r="C33" s="254">
        <v>10.8</v>
      </c>
      <c r="I33" s="66" t="s">
        <v>241</v>
      </c>
    </row>
    <row r="34" spans="2:9" x14ac:dyDescent="0.2">
      <c r="B34" s="6" t="s">
        <v>242</v>
      </c>
      <c r="C34" s="254">
        <v>8.2799999999999994</v>
      </c>
      <c r="I34" s="66" t="s">
        <v>241</v>
      </c>
    </row>
    <row r="35" spans="2:9" x14ac:dyDescent="0.2">
      <c r="B35" s="6" t="s">
        <v>243</v>
      </c>
      <c r="C35" s="254">
        <v>20.66</v>
      </c>
      <c r="I35" s="66" t="s">
        <v>241</v>
      </c>
    </row>
    <row r="36" spans="2:9" x14ac:dyDescent="0.2">
      <c r="B36" s="6" t="s">
        <v>244</v>
      </c>
      <c r="C36" s="254">
        <v>17.36</v>
      </c>
    </row>
    <row r="37" spans="2:9" x14ac:dyDescent="0.2">
      <c r="B37" s="6" t="s">
        <v>245</v>
      </c>
      <c r="C37" s="254">
        <v>16.670000000000002</v>
      </c>
    </row>
    <row r="38" spans="2:9" x14ac:dyDescent="0.2">
      <c r="B38" s="6" t="s">
        <v>246</v>
      </c>
      <c r="C38" s="254">
        <v>18.010000000000002</v>
      </c>
    </row>
    <row r="40" spans="2:9" x14ac:dyDescent="0.2">
      <c r="B40" s="20"/>
      <c r="C40" s="21" t="s">
        <v>247</v>
      </c>
      <c r="E40" s="5"/>
    </row>
    <row r="41" spans="2:9" x14ac:dyDescent="0.2">
      <c r="B41" s="49"/>
      <c r="C41" s="7">
        <v>15</v>
      </c>
    </row>
    <row r="42" spans="2:9" x14ac:dyDescent="0.2">
      <c r="B42" s="49"/>
      <c r="C42" s="7">
        <v>20</v>
      </c>
    </row>
    <row r="43" spans="2:9" x14ac:dyDescent="0.2">
      <c r="B43" s="49"/>
      <c r="C43" s="7">
        <v>100</v>
      </c>
    </row>
    <row r="45" spans="2:9" ht="12" customHeight="1" x14ac:dyDescent="0.2"/>
    <row r="46" spans="2:9" ht="12" customHeight="1" thickBot="1" x14ac:dyDescent="0.25">
      <c r="B46" s="2" t="s">
        <v>1962</v>
      </c>
      <c r="C46" s="2"/>
      <c r="D46" s="2"/>
      <c r="E46" s="2"/>
      <c r="F46" s="2"/>
      <c r="G46" s="2"/>
      <c r="H46" s="2"/>
      <c r="I46" s="2"/>
    </row>
    <row r="47" spans="2:9" ht="12" customHeight="1" x14ac:dyDescent="0.2">
      <c r="B47" t="s">
        <v>248</v>
      </c>
    </row>
    <row r="48" spans="2:9" ht="12" customHeight="1" x14ac:dyDescent="0.2">
      <c r="B48" t="s">
        <v>249</v>
      </c>
    </row>
    <row r="49" spans="2:5" ht="12" customHeight="1" x14ac:dyDescent="0.2">
      <c r="B49" t="s">
        <v>250</v>
      </c>
    </row>
    <row r="50" spans="2:5" ht="12" customHeight="1" x14ac:dyDescent="0.2">
      <c r="B50" t="s">
        <v>251</v>
      </c>
    </row>
    <row r="51" spans="2:5" ht="12" customHeight="1" x14ac:dyDescent="0.2">
      <c r="B51" t="s">
        <v>252</v>
      </c>
    </row>
    <row r="52" spans="2:5" ht="12" customHeight="1" x14ac:dyDescent="0.2">
      <c r="B52" t="s">
        <v>253</v>
      </c>
    </row>
    <row r="53" spans="2:5" ht="12" customHeight="1" x14ac:dyDescent="0.2"/>
    <row r="54" spans="2:5" ht="12" customHeight="1" x14ac:dyDescent="0.2">
      <c r="B54" t="s">
        <v>254</v>
      </c>
    </row>
    <row r="55" spans="2:5" ht="12" customHeight="1" x14ac:dyDescent="0.2">
      <c r="B55" t="s">
        <v>255</v>
      </c>
    </row>
    <row r="56" spans="2:5" ht="12" customHeight="1" x14ac:dyDescent="0.2">
      <c r="B56" t="s">
        <v>256</v>
      </c>
    </row>
    <row r="57" spans="2:5" ht="12" customHeight="1" x14ac:dyDescent="0.2">
      <c r="B57" t="s">
        <v>257</v>
      </c>
    </row>
    <row r="58" spans="2:5" ht="12" customHeight="1" x14ac:dyDescent="0.2"/>
    <row r="59" spans="2:5" ht="12" customHeight="1" x14ac:dyDescent="0.2">
      <c r="C59" s="6" t="s">
        <v>258</v>
      </c>
      <c r="D59" s="6" t="s">
        <v>259</v>
      </c>
    </row>
    <row r="60" spans="2:5" ht="12" customHeight="1" x14ac:dyDescent="0.2">
      <c r="B60" s="6" t="s">
        <v>260</v>
      </c>
      <c r="C60" s="7" t="s">
        <v>1697</v>
      </c>
      <c r="D60" s="8">
        <f t="array" ref="D60:D64">FREQUENCY(CODE(UPPER(B67:I71)),CODE(UPPER(C60:C64)))</f>
        <v>6</v>
      </c>
      <c r="E60" s="32" t="s">
        <v>261</v>
      </c>
    </row>
    <row r="61" spans="2:5" ht="12" customHeight="1" x14ac:dyDescent="0.2">
      <c r="B61" s="6" t="s">
        <v>262</v>
      </c>
      <c r="C61" s="7" t="s">
        <v>263</v>
      </c>
      <c r="D61" s="8">
        <v>8</v>
      </c>
      <c r="E61" s="32" t="s">
        <v>261</v>
      </c>
    </row>
    <row r="62" spans="2:5" ht="12" customHeight="1" x14ac:dyDescent="0.2">
      <c r="B62" s="6" t="s">
        <v>2409</v>
      </c>
      <c r="C62" s="7" t="s">
        <v>1943</v>
      </c>
      <c r="D62" s="8">
        <v>9</v>
      </c>
      <c r="E62" s="32" t="s">
        <v>261</v>
      </c>
    </row>
    <row r="63" spans="2:5" ht="12" customHeight="1" x14ac:dyDescent="0.2">
      <c r="B63" s="6" t="s">
        <v>264</v>
      </c>
      <c r="C63" s="7" t="s">
        <v>1701</v>
      </c>
      <c r="D63" s="8">
        <v>8</v>
      </c>
      <c r="E63" s="32" t="s">
        <v>261</v>
      </c>
    </row>
    <row r="64" spans="2:5" ht="12" customHeight="1" x14ac:dyDescent="0.2">
      <c r="B64" s="6" t="s">
        <v>265</v>
      </c>
      <c r="C64" s="7" t="s">
        <v>266</v>
      </c>
      <c r="D64" s="8">
        <v>9</v>
      </c>
      <c r="E64" s="32" t="s">
        <v>261</v>
      </c>
    </row>
    <row r="65" spans="2:9" ht="12" customHeight="1" x14ac:dyDescent="0.2"/>
    <row r="66" spans="2:9" ht="12" customHeight="1" x14ac:dyDescent="0.2">
      <c r="B66" s="121" t="s">
        <v>267</v>
      </c>
      <c r="C66" s="121"/>
    </row>
    <row r="67" spans="2:9" ht="12" customHeight="1" x14ac:dyDescent="0.2">
      <c r="B67" s="7" t="s">
        <v>263</v>
      </c>
      <c r="C67" s="7" t="s">
        <v>266</v>
      </c>
      <c r="D67" s="7" t="s">
        <v>263</v>
      </c>
      <c r="E67" s="7" t="s">
        <v>1943</v>
      </c>
      <c r="F67" s="7" t="s">
        <v>1714</v>
      </c>
      <c r="G67" s="7" t="s">
        <v>1943</v>
      </c>
      <c r="H67" s="7" t="s">
        <v>266</v>
      </c>
      <c r="I67" s="7" t="s">
        <v>266</v>
      </c>
    </row>
    <row r="68" spans="2:9" ht="12" customHeight="1" x14ac:dyDescent="0.2">
      <c r="B68" s="7" t="s">
        <v>263</v>
      </c>
      <c r="C68" s="7" t="s">
        <v>1701</v>
      </c>
      <c r="D68" s="7" t="s">
        <v>3795</v>
      </c>
      <c r="E68" s="7" t="s">
        <v>266</v>
      </c>
      <c r="F68" s="7" t="s">
        <v>1943</v>
      </c>
      <c r="G68" s="7" t="s">
        <v>1701</v>
      </c>
      <c r="H68" s="7" t="s">
        <v>263</v>
      </c>
      <c r="I68" s="7" t="s">
        <v>1699</v>
      </c>
    </row>
    <row r="69" spans="2:9" ht="12" customHeight="1" x14ac:dyDescent="0.2">
      <c r="B69" s="7" t="s">
        <v>1943</v>
      </c>
      <c r="C69" s="7" t="s">
        <v>263</v>
      </c>
      <c r="D69" s="7" t="s">
        <v>1697</v>
      </c>
      <c r="E69" s="7" t="s">
        <v>1701</v>
      </c>
      <c r="F69" s="7" t="s">
        <v>1714</v>
      </c>
      <c r="G69" s="7" t="s">
        <v>1697</v>
      </c>
      <c r="H69" s="7" t="s">
        <v>266</v>
      </c>
      <c r="I69" s="7" t="s">
        <v>1943</v>
      </c>
    </row>
    <row r="70" spans="2:9" ht="12" customHeight="1" x14ac:dyDescent="0.2">
      <c r="B70" s="7" t="s">
        <v>1943</v>
      </c>
      <c r="C70" s="7" t="s">
        <v>1697</v>
      </c>
      <c r="D70" s="7" t="s">
        <v>1699</v>
      </c>
      <c r="E70" s="7" t="s">
        <v>263</v>
      </c>
      <c r="F70" s="7" t="s">
        <v>266</v>
      </c>
      <c r="G70" s="7" t="s">
        <v>1701</v>
      </c>
      <c r="H70" s="7" t="s">
        <v>3795</v>
      </c>
      <c r="I70" s="7" t="s">
        <v>1697</v>
      </c>
    </row>
    <row r="71" spans="2:9" ht="12" customHeight="1" x14ac:dyDescent="0.2">
      <c r="B71" s="7" t="s">
        <v>263</v>
      </c>
      <c r="C71" s="7" t="s">
        <v>1673</v>
      </c>
      <c r="D71" s="7" t="s">
        <v>1701</v>
      </c>
      <c r="E71" s="7" t="s">
        <v>1701</v>
      </c>
      <c r="F71" s="7" t="s">
        <v>1943</v>
      </c>
      <c r="G71" s="7" t="s">
        <v>263</v>
      </c>
      <c r="H71" s="7" t="s">
        <v>1697</v>
      </c>
      <c r="I71" s="7" t="s">
        <v>266</v>
      </c>
    </row>
    <row r="72" spans="2:9" ht="12" customHeight="1" x14ac:dyDescent="0.2"/>
    <row r="73" spans="2:9" ht="12" customHeight="1" x14ac:dyDescent="0.2"/>
    <row r="74" spans="2:9" ht="12" customHeight="1" x14ac:dyDescent="0.2"/>
    <row r="75" spans="2:9" ht="12" customHeight="1" x14ac:dyDescent="0.2"/>
    <row r="76" spans="2:9" ht="12" customHeight="1" x14ac:dyDescent="0.2"/>
    <row r="77" spans="2:9" ht="12" customHeight="1" x14ac:dyDescent="0.2"/>
    <row r="78" spans="2:9" ht="12" customHeight="1" x14ac:dyDescent="0.2"/>
    <row r="79" spans="2:9" ht="12" customHeight="1" x14ac:dyDescent="0.2"/>
    <row r="80" spans="2:9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rowBreaks count="1" manualBreakCount="1">
    <brk id="44" max="65535" man="1"/>
  </rowBreaks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J44"/>
  <sheetViews>
    <sheetView showGridLines="0" workbookViewId="0">
      <pane ySplit="1" topLeftCell="A2" activePane="bottomLeft" state="frozen"/>
      <selection activeCell="A3" sqref="A3"/>
      <selection pane="bottomLeft" activeCell="J5" sqref="J5"/>
    </sheetView>
  </sheetViews>
  <sheetFormatPr defaultRowHeight="12.75" x14ac:dyDescent="0.2"/>
  <cols>
    <col min="1" max="1" width="2.7109375" customWidth="1"/>
    <col min="3" max="3" width="11.5703125" customWidth="1"/>
    <col min="4" max="4" width="12.28515625" customWidth="1"/>
    <col min="5" max="5" width="11.140625" customWidth="1"/>
    <col min="9" max="9" width="10.28515625" customWidth="1"/>
  </cols>
  <sheetData>
    <row r="1" spans="1:10" ht="47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E3" s="6" t="s">
        <v>1722</v>
      </c>
      <c r="F3" s="6" t="s">
        <v>1726</v>
      </c>
    </row>
    <row r="4" spans="1:10" x14ac:dyDescent="0.2">
      <c r="E4" s="7">
        <v>1</v>
      </c>
      <c r="F4" s="83">
        <v>1000</v>
      </c>
    </row>
    <row r="5" spans="1:10" x14ac:dyDescent="0.2">
      <c r="E5" s="7">
        <v>2</v>
      </c>
      <c r="F5" s="83">
        <v>2000</v>
      </c>
    </row>
    <row r="6" spans="1:10" x14ac:dyDescent="0.2">
      <c r="E6" s="7">
        <v>3</v>
      </c>
      <c r="F6" s="83">
        <v>2500</v>
      </c>
    </row>
    <row r="7" spans="1:10" x14ac:dyDescent="0.2">
      <c r="E7" s="7">
        <v>4</v>
      </c>
      <c r="F7" s="83">
        <v>3500</v>
      </c>
    </row>
    <row r="8" spans="1:10" x14ac:dyDescent="0.2">
      <c r="E8" s="7">
        <v>5</v>
      </c>
      <c r="F8" s="83">
        <v>3800</v>
      </c>
    </row>
    <row r="9" spans="1:10" x14ac:dyDescent="0.2">
      <c r="E9" s="7">
        <v>6</v>
      </c>
      <c r="F9" s="83">
        <v>4000</v>
      </c>
    </row>
    <row r="11" spans="1:10" x14ac:dyDescent="0.2">
      <c r="B11" s="23"/>
      <c r="C11" s="23"/>
      <c r="D11" s="79" t="s">
        <v>201</v>
      </c>
      <c r="E11" s="7">
        <v>12</v>
      </c>
    </row>
    <row r="12" spans="1:10" x14ac:dyDescent="0.2">
      <c r="B12" s="23"/>
      <c r="C12" s="23"/>
      <c r="D12" s="79" t="s">
        <v>202</v>
      </c>
      <c r="E12" s="252">
        <f>FORECAST(E11,F4:F9,E4:E9)</f>
        <v>7997.1428571428569</v>
      </c>
      <c r="F12" s="13" t="s">
        <v>203</v>
      </c>
    </row>
    <row r="14" spans="1:10" ht="13.5" thickBot="1" x14ac:dyDescent="0.25">
      <c r="B14" s="2" t="s">
        <v>2865</v>
      </c>
      <c r="C14" s="2"/>
      <c r="D14" s="2"/>
      <c r="E14" s="2"/>
      <c r="F14" s="2"/>
      <c r="G14" s="2"/>
      <c r="H14" s="2"/>
      <c r="I14" s="2"/>
    </row>
    <row r="15" spans="1:10" x14ac:dyDescent="0.2">
      <c r="B15" t="s">
        <v>204</v>
      </c>
    </row>
    <row r="16" spans="1:10" x14ac:dyDescent="0.2">
      <c r="B16" t="s">
        <v>205</v>
      </c>
    </row>
    <row r="17" spans="2:9" x14ac:dyDescent="0.2">
      <c r="B17" t="s">
        <v>206</v>
      </c>
    </row>
    <row r="18" spans="2:9" x14ac:dyDescent="0.2">
      <c r="B18" t="s">
        <v>207</v>
      </c>
    </row>
    <row r="19" spans="2:9" x14ac:dyDescent="0.2">
      <c r="B19" t="s">
        <v>208</v>
      </c>
    </row>
    <row r="20" spans="2:9" x14ac:dyDescent="0.2">
      <c r="B20" s="61"/>
    </row>
    <row r="21" spans="2:9" ht="13.5" thickBot="1" x14ac:dyDescent="0.25">
      <c r="B21" s="2" t="s">
        <v>998</v>
      </c>
      <c r="C21" s="2"/>
      <c r="D21" s="2"/>
      <c r="E21" s="2"/>
      <c r="F21" s="2"/>
      <c r="G21" s="2"/>
      <c r="H21" s="2"/>
      <c r="I21" s="2"/>
    </row>
    <row r="22" spans="2:9" x14ac:dyDescent="0.2">
      <c r="B22" s="61" t="s">
        <v>209</v>
      </c>
    </row>
    <row r="23" spans="2:9" x14ac:dyDescent="0.2">
      <c r="B23" t="s">
        <v>210</v>
      </c>
    </row>
    <row r="24" spans="2:9" x14ac:dyDescent="0.2">
      <c r="B24" t="s">
        <v>211</v>
      </c>
    </row>
    <row r="25" spans="2:9" x14ac:dyDescent="0.2">
      <c r="B25" t="s">
        <v>212</v>
      </c>
    </row>
    <row r="26" spans="2:9" x14ac:dyDescent="0.2">
      <c r="B26" t="s">
        <v>213</v>
      </c>
    </row>
    <row r="28" spans="2:9" ht="13.5" thickBot="1" x14ac:dyDescent="0.25">
      <c r="B28" s="2" t="s">
        <v>3355</v>
      </c>
      <c r="C28" s="2"/>
      <c r="D28" s="2"/>
      <c r="E28" s="2"/>
      <c r="F28" s="2"/>
      <c r="G28" s="2"/>
      <c r="H28" s="2"/>
      <c r="I28" s="2"/>
    </row>
    <row r="29" spans="2:9" x14ac:dyDescent="0.2">
      <c r="B29" t="s">
        <v>2424</v>
      </c>
    </row>
    <row r="31" spans="2:9" ht="13.5" thickBot="1" x14ac:dyDescent="0.25">
      <c r="B31" s="2" t="s">
        <v>1001</v>
      </c>
      <c r="C31" s="2"/>
      <c r="D31" s="2"/>
      <c r="E31" s="2"/>
      <c r="F31" s="2"/>
      <c r="G31" s="2"/>
      <c r="H31" s="2"/>
      <c r="I31" s="2"/>
    </row>
    <row r="32" spans="2:9" x14ac:dyDescent="0.2">
      <c r="B32" t="s">
        <v>214</v>
      </c>
    </row>
    <row r="33" spans="2:6" x14ac:dyDescent="0.2">
      <c r="B33" t="s">
        <v>215</v>
      </c>
    </row>
    <row r="34" spans="2:6" x14ac:dyDescent="0.2">
      <c r="B34" t="s">
        <v>216</v>
      </c>
    </row>
    <row r="35" spans="2:6" x14ac:dyDescent="0.2">
      <c r="B35" t="s">
        <v>217</v>
      </c>
    </row>
    <row r="36" spans="2:6" x14ac:dyDescent="0.2">
      <c r="B36" t="s">
        <v>218</v>
      </c>
    </row>
    <row r="38" spans="2:6" ht="38.25" x14ac:dyDescent="0.2">
      <c r="C38" s="6" t="s">
        <v>1626</v>
      </c>
      <c r="D38" s="57" t="s">
        <v>219</v>
      </c>
      <c r="E38" s="57" t="s">
        <v>220</v>
      </c>
    </row>
    <row r="39" spans="2:6" x14ac:dyDescent="0.2">
      <c r="C39" s="6">
        <v>1996</v>
      </c>
      <c r="D39" s="7">
        <v>10</v>
      </c>
      <c r="E39" s="83">
        <v>5000</v>
      </c>
    </row>
    <row r="40" spans="2:6" x14ac:dyDescent="0.2">
      <c r="C40" s="6">
        <v>1997</v>
      </c>
      <c r="D40" s="7">
        <v>20</v>
      </c>
      <c r="E40" s="83">
        <v>8000</v>
      </c>
    </row>
    <row r="41" spans="2:6" x14ac:dyDescent="0.2">
      <c r="C41" s="6">
        <v>1998</v>
      </c>
      <c r="D41" s="7">
        <v>30</v>
      </c>
      <c r="E41" s="83">
        <v>8500</v>
      </c>
    </row>
    <row r="43" spans="2:6" x14ac:dyDescent="0.2">
      <c r="B43" s="20"/>
      <c r="C43" s="162"/>
      <c r="D43" s="21" t="s">
        <v>221</v>
      </c>
      <c r="E43" s="7">
        <v>40</v>
      </c>
    </row>
    <row r="44" spans="2:6" x14ac:dyDescent="0.2">
      <c r="B44" s="20"/>
      <c r="C44" s="162"/>
      <c r="D44" s="21" t="s">
        <v>222</v>
      </c>
      <c r="E44" s="253">
        <f>FORECAST(E43,E39:E41,D39:D41)</f>
        <v>10666.666666666668</v>
      </c>
      <c r="F44" s="13" t="s">
        <v>223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I30"/>
  <sheetViews>
    <sheetView showGridLines="0" workbookViewId="0">
      <pane ySplit="1" topLeftCell="A2" activePane="bottomLeft" state="frozen"/>
      <selection activeCell="A3" sqref="A3"/>
      <selection pane="bottomLeft" activeCell="F5" sqref="F5"/>
    </sheetView>
  </sheetViews>
  <sheetFormatPr defaultRowHeight="12.75" x14ac:dyDescent="0.2"/>
  <cols>
    <col min="1" max="1" width="2.7109375" customWidth="1"/>
    <col min="4" max="4" width="13.42578125" customWidth="1"/>
    <col min="5" max="5" width="16.140625" customWidth="1"/>
    <col min="6" max="6" width="11.28515625" customWidth="1"/>
    <col min="8" max="8" width="12.5703125" customWidth="1"/>
  </cols>
  <sheetData>
    <row r="1" spans="1:9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990</v>
      </c>
      <c r="D3" s="6" t="s">
        <v>184</v>
      </c>
    </row>
    <row r="4" spans="1:9" x14ac:dyDescent="0.2">
      <c r="C4" s="7">
        <v>1.5</v>
      </c>
      <c r="D4" s="8">
        <f>FLOOR(C4,1)</f>
        <v>1</v>
      </c>
      <c r="E4" s="13" t="s">
        <v>185</v>
      </c>
    </row>
    <row r="5" spans="1:9" x14ac:dyDescent="0.2">
      <c r="C5" s="7">
        <v>2.2999999999999998</v>
      </c>
      <c r="D5" s="8">
        <f>FLOOR(C5,1)</f>
        <v>2</v>
      </c>
      <c r="E5" s="13" t="s">
        <v>186</v>
      </c>
    </row>
    <row r="6" spans="1:9" x14ac:dyDescent="0.2">
      <c r="C6" s="7">
        <v>2.9</v>
      </c>
      <c r="D6" s="8">
        <f>FLOOR(C6,1)</f>
        <v>2</v>
      </c>
      <c r="E6" s="13" t="s">
        <v>187</v>
      </c>
    </row>
    <row r="7" spans="1:9" x14ac:dyDescent="0.2">
      <c r="C7" s="7">
        <v>123</v>
      </c>
      <c r="D7" s="8">
        <f>FLOOR(C7,50)</f>
        <v>100</v>
      </c>
      <c r="E7" s="13" t="s">
        <v>188</v>
      </c>
    </row>
    <row r="8" spans="1:9" x14ac:dyDescent="0.2">
      <c r="C8" s="7">
        <v>145</v>
      </c>
      <c r="D8" s="8">
        <f>FLOOR(C8,50)</f>
        <v>100</v>
      </c>
      <c r="E8" s="13" t="s">
        <v>189</v>
      </c>
    </row>
    <row r="9" spans="1:9" x14ac:dyDescent="0.2">
      <c r="C9" s="7">
        <v>175</v>
      </c>
      <c r="D9" s="8">
        <f>FLOOR(C9,50)</f>
        <v>150</v>
      </c>
      <c r="E9" s="13" t="s">
        <v>190</v>
      </c>
    </row>
    <row r="11" spans="1:9" ht="13.5" thickBot="1" x14ac:dyDescent="0.25">
      <c r="B11" s="2" t="s">
        <v>2865</v>
      </c>
      <c r="C11" s="2"/>
      <c r="D11" s="2"/>
      <c r="E11" s="2"/>
      <c r="F11" s="2"/>
      <c r="G11" s="2"/>
      <c r="H11" s="2"/>
    </row>
    <row r="12" spans="1:9" x14ac:dyDescent="0.2">
      <c r="B12" t="s">
        <v>191</v>
      </c>
    </row>
    <row r="14" spans="1:9" ht="13.5" thickBot="1" x14ac:dyDescent="0.25">
      <c r="B14" s="2" t="s">
        <v>998</v>
      </c>
      <c r="C14" s="2"/>
      <c r="D14" s="2"/>
      <c r="E14" s="2"/>
      <c r="F14" s="2"/>
      <c r="G14" s="2"/>
      <c r="H14" s="2"/>
    </row>
    <row r="15" spans="1:9" x14ac:dyDescent="0.2">
      <c r="B15" s="61" t="s">
        <v>192</v>
      </c>
    </row>
    <row r="17" spans="2:8" ht="13.5" thickBot="1" x14ac:dyDescent="0.25">
      <c r="B17" s="2" t="s">
        <v>3355</v>
      </c>
      <c r="C17" s="2"/>
      <c r="D17" s="2"/>
      <c r="E17" s="2"/>
      <c r="F17" s="2"/>
      <c r="G17" s="2"/>
      <c r="H17" s="2"/>
    </row>
    <row r="18" spans="2:8" x14ac:dyDescent="0.2">
      <c r="B18" t="s">
        <v>2424</v>
      </c>
    </row>
    <row r="20" spans="2:8" ht="13.5" thickBot="1" x14ac:dyDescent="0.25">
      <c r="B20" s="2" t="s">
        <v>1001</v>
      </c>
      <c r="C20" s="2"/>
      <c r="D20" s="2"/>
      <c r="E20" s="2"/>
      <c r="F20" s="2"/>
      <c r="G20" s="2"/>
      <c r="H20" s="2"/>
    </row>
    <row r="21" spans="2:8" x14ac:dyDescent="0.2">
      <c r="B21" t="s">
        <v>193</v>
      </c>
    </row>
    <row r="22" spans="2:8" x14ac:dyDescent="0.2">
      <c r="B22" t="s">
        <v>194</v>
      </c>
    </row>
    <row r="23" spans="2:8" x14ac:dyDescent="0.2">
      <c r="B23" t="s">
        <v>195</v>
      </c>
    </row>
    <row r="24" spans="2:8" x14ac:dyDescent="0.2">
      <c r="B24" t="s">
        <v>196</v>
      </c>
    </row>
    <row r="26" spans="2:8" x14ac:dyDescent="0.2">
      <c r="C26" s="6" t="s">
        <v>1946</v>
      </c>
      <c r="D26" s="6" t="s">
        <v>197</v>
      </c>
      <c r="E26" s="57" t="s">
        <v>198</v>
      </c>
      <c r="F26" s="6" t="s">
        <v>199</v>
      </c>
    </row>
    <row r="27" spans="2:8" x14ac:dyDescent="0.2">
      <c r="C27" s="7" t="s">
        <v>3361</v>
      </c>
      <c r="D27" s="83">
        <v>23500</v>
      </c>
      <c r="E27" s="252">
        <f>FLOOR(D27,1000)</f>
        <v>23000</v>
      </c>
      <c r="F27" s="252">
        <f>E27*1%</f>
        <v>230</v>
      </c>
    </row>
    <row r="28" spans="2:8" x14ac:dyDescent="0.2">
      <c r="C28" s="7" t="s">
        <v>3362</v>
      </c>
      <c r="D28" s="83">
        <v>56890</v>
      </c>
      <c r="E28" s="252">
        <f>FLOOR(D28,1000)</f>
        <v>56000</v>
      </c>
      <c r="F28" s="252">
        <f>E28*1%</f>
        <v>560</v>
      </c>
    </row>
    <row r="29" spans="2:8" x14ac:dyDescent="0.2">
      <c r="C29" s="7" t="s">
        <v>3363</v>
      </c>
      <c r="D29" s="83">
        <v>18125</v>
      </c>
      <c r="E29" s="252">
        <f>FLOOR(D29,1000)</f>
        <v>18000</v>
      </c>
      <c r="F29" s="252">
        <f>E29*1%</f>
        <v>180</v>
      </c>
    </row>
    <row r="30" spans="2:8" x14ac:dyDescent="0.2">
      <c r="E30" s="4" t="s">
        <v>200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K29"/>
  <sheetViews>
    <sheetView showGridLines="0" workbookViewId="0">
      <pane ySplit="1" topLeftCell="A2" activePane="bottomLeft" state="frozen"/>
      <selection activeCell="A3" sqref="A3"/>
      <selection pane="bottomLeft" activeCell="H9" sqref="H9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5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25.5" x14ac:dyDescent="0.2">
      <c r="C3" s="57" t="s">
        <v>2255</v>
      </c>
      <c r="D3" s="57" t="s">
        <v>2256</v>
      </c>
    </row>
    <row r="4" spans="1:11" x14ac:dyDescent="0.2">
      <c r="C4" s="7">
        <v>10</v>
      </c>
      <c r="D4" s="8" t="str">
        <f>FIXED(C4)</f>
        <v>10.00</v>
      </c>
      <c r="E4" s="13" t="s">
        <v>165</v>
      </c>
    </row>
    <row r="5" spans="1:11" x14ac:dyDescent="0.2">
      <c r="C5" s="7">
        <v>10</v>
      </c>
      <c r="D5" s="8" t="str">
        <f>FIXED(C5,0)</f>
        <v>10</v>
      </c>
      <c r="E5" s="13" t="s">
        <v>166</v>
      </c>
    </row>
    <row r="6" spans="1:11" x14ac:dyDescent="0.2">
      <c r="C6" s="7">
        <v>10</v>
      </c>
      <c r="D6" s="8" t="str">
        <f>FIXED(C6,1)</f>
        <v>10.0</v>
      </c>
      <c r="E6" s="13" t="s">
        <v>167</v>
      </c>
    </row>
    <row r="7" spans="1:11" x14ac:dyDescent="0.2">
      <c r="C7" s="7">
        <v>10</v>
      </c>
      <c r="D7" s="8" t="str">
        <f>FIXED(C7,2)</f>
        <v>10.00</v>
      </c>
      <c r="E7" s="13" t="s">
        <v>168</v>
      </c>
    </row>
    <row r="8" spans="1:11" x14ac:dyDescent="0.2">
      <c r="C8" s="7">
        <v>10.25</v>
      </c>
      <c r="D8" s="8" t="str">
        <f>FIXED(C8)</f>
        <v>10.25</v>
      </c>
      <c r="E8" s="13" t="s">
        <v>169</v>
      </c>
    </row>
    <row r="9" spans="1:11" x14ac:dyDescent="0.2">
      <c r="C9" s="7">
        <v>10.25</v>
      </c>
      <c r="D9" s="8" t="str">
        <f>FIXED(C9,0)</f>
        <v>10</v>
      </c>
      <c r="E9" s="13" t="s">
        <v>170</v>
      </c>
    </row>
    <row r="10" spans="1:11" x14ac:dyDescent="0.2">
      <c r="C10" s="7">
        <v>10.25</v>
      </c>
      <c r="D10" s="8" t="str">
        <f>FIXED(C10,1)</f>
        <v>10.3</v>
      </c>
      <c r="E10" s="13" t="s">
        <v>171</v>
      </c>
    </row>
    <row r="11" spans="1:11" x14ac:dyDescent="0.2">
      <c r="C11" s="7">
        <v>10.25</v>
      </c>
      <c r="D11" s="8" t="str">
        <f>FIXED(C11,2)</f>
        <v>10.25</v>
      </c>
      <c r="E11" s="13" t="s">
        <v>172</v>
      </c>
    </row>
    <row r="12" spans="1:11" x14ac:dyDescent="0.2">
      <c r="C12" s="7">
        <v>1000</v>
      </c>
      <c r="D12" s="8" t="str">
        <f>FIXED(C12)</f>
        <v>1,000.00</v>
      </c>
      <c r="E12" s="13" t="s">
        <v>173</v>
      </c>
    </row>
    <row r="13" spans="1:11" x14ac:dyDescent="0.2">
      <c r="C13" s="7">
        <v>1000.23</v>
      </c>
      <c r="D13" s="8" t="str">
        <f>FIXED(C13,0)</f>
        <v>1,000</v>
      </c>
      <c r="E13" s="13" t="s">
        <v>174</v>
      </c>
    </row>
    <row r="14" spans="1:11" x14ac:dyDescent="0.2">
      <c r="C14" s="7">
        <v>1000.23</v>
      </c>
      <c r="D14" s="8" t="str">
        <f>FIXED(C14,0,TRUE)</f>
        <v>1000</v>
      </c>
      <c r="E14" s="13" t="s">
        <v>175</v>
      </c>
    </row>
    <row r="16" spans="1:11" ht="13.5" thickBot="1" x14ac:dyDescent="0.25">
      <c r="B16" s="2" t="s">
        <v>2865</v>
      </c>
      <c r="C16" s="2"/>
      <c r="D16" s="2"/>
      <c r="E16" s="2"/>
      <c r="F16" s="2"/>
      <c r="G16" s="2"/>
      <c r="H16" s="2"/>
      <c r="I16" s="2"/>
      <c r="J16" s="2"/>
    </row>
    <row r="17" spans="2:10" x14ac:dyDescent="0.2">
      <c r="B17" t="s">
        <v>176</v>
      </c>
    </row>
    <row r="18" spans="2:10" x14ac:dyDescent="0.2">
      <c r="B18" t="s">
        <v>177</v>
      </c>
    </row>
    <row r="19" spans="2:10" x14ac:dyDescent="0.2">
      <c r="B19" t="s">
        <v>178</v>
      </c>
    </row>
    <row r="21" spans="2:10" ht="13.5" thickBot="1" x14ac:dyDescent="0.25">
      <c r="B21" s="2" t="s">
        <v>998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s="61" t="s">
        <v>179</v>
      </c>
    </row>
    <row r="23" spans="2:10" x14ac:dyDescent="0.2">
      <c r="B23" t="s">
        <v>180</v>
      </c>
    </row>
    <row r="24" spans="2:10" x14ac:dyDescent="0.2">
      <c r="B24" t="s">
        <v>181</v>
      </c>
    </row>
    <row r="25" spans="2:10" x14ac:dyDescent="0.2">
      <c r="B25" t="s">
        <v>182</v>
      </c>
    </row>
    <row r="27" spans="2:10" ht="13.5" thickBot="1" x14ac:dyDescent="0.25">
      <c r="B27" s="2" t="s">
        <v>3355</v>
      </c>
      <c r="C27" s="2"/>
      <c r="D27" s="2"/>
      <c r="E27" s="2"/>
      <c r="F27" s="2"/>
      <c r="G27" s="2"/>
      <c r="H27" s="2"/>
      <c r="I27" s="2"/>
      <c r="J27" s="2"/>
    </row>
    <row r="28" spans="2:10" x14ac:dyDescent="0.2">
      <c r="B28" t="s">
        <v>2424</v>
      </c>
    </row>
    <row r="29" spans="2:10" x14ac:dyDescent="0.2">
      <c r="B29" t="s">
        <v>183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I26"/>
  <sheetViews>
    <sheetView showGridLines="0" workbookViewId="0">
      <pane ySplit="1" topLeftCell="A2" activePane="bottomLeft" state="frozen"/>
      <selection activeCell="A3" sqref="A3"/>
      <selection pane="bottomLeft" activeCell="H6" sqref="H6"/>
    </sheetView>
  </sheetViews>
  <sheetFormatPr defaultRowHeight="12.75" x14ac:dyDescent="0.2"/>
  <cols>
    <col min="1" max="1" width="2.7109375" customWidth="1"/>
    <col min="3" max="3" width="13.42578125" customWidth="1"/>
    <col min="4" max="4" width="13.85546875" customWidth="1"/>
    <col min="5" max="5" width="16.7109375" customWidth="1"/>
    <col min="6" max="6" width="14.7109375" customWidth="1"/>
    <col min="7" max="7" width="11.85546875" customWidth="1"/>
  </cols>
  <sheetData>
    <row r="1" spans="1:9" ht="41.25" customHeight="1" x14ac:dyDescent="0.25">
      <c r="A1" s="476"/>
      <c r="B1" s="476"/>
      <c r="C1" s="476"/>
      <c r="D1" s="476"/>
      <c r="E1" s="476"/>
      <c r="F1" s="476"/>
      <c r="G1" s="476"/>
      <c r="H1" s="478"/>
      <c r="I1" s="478"/>
    </row>
    <row r="3" spans="1:9" x14ac:dyDescent="0.2">
      <c r="C3" s="6" t="s">
        <v>1462</v>
      </c>
      <c r="D3" s="6" t="s">
        <v>2465</v>
      </c>
      <c r="E3" s="6" t="s">
        <v>2466</v>
      </c>
    </row>
    <row r="4" spans="1:9" x14ac:dyDescent="0.2">
      <c r="C4" s="7" t="s">
        <v>1029</v>
      </c>
      <c r="D4" s="7" t="s">
        <v>1673</v>
      </c>
      <c r="E4" s="8">
        <f>FIND(D4,C4)</f>
        <v>2</v>
      </c>
      <c r="F4" s="63" t="s">
        <v>2467</v>
      </c>
    </row>
    <row r="5" spans="1:9" x14ac:dyDescent="0.2">
      <c r="C5" s="7" t="s">
        <v>1029</v>
      </c>
      <c r="D5" s="7" t="s">
        <v>2468</v>
      </c>
      <c r="E5" s="8">
        <f>FIND(D5,C5)</f>
        <v>1</v>
      </c>
      <c r="F5" s="63" t="s">
        <v>2469</v>
      </c>
    </row>
    <row r="6" spans="1:9" x14ac:dyDescent="0.2">
      <c r="C6" s="7" t="s">
        <v>1029</v>
      </c>
      <c r="D6" s="7" t="s">
        <v>2470</v>
      </c>
      <c r="E6" s="8">
        <f>FIND(D6,C6)</f>
        <v>5</v>
      </c>
      <c r="F6" s="63" t="s">
        <v>2471</v>
      </c>
    </row>
    <row r="7" spans="1:9" x14ac:dyDescent="0.2">
      <c r="C7" s="7" t="s">
        <v>2472</v>
      </c>
      <c r="D7" s="7" t="s">
        <v>3795</v>
      </c>
      <c r="E7" s="8">
        <f>FIND(D7,C7)</f>
        <v>3</v>
      </c>
      <c r="F7" s="63" t="s">
        <v>2473</v>
      </c>
    </row>
    <row r="8" spans="1:9" x14ac:dyDescent="0.2">
      <c r="C8" s="7" t="s">
        <v>2472</v>
      </c>
      <c r="D8" s="7" t="s">
        <v>3795</v>
      </c>
      <c r="E8" s="8">
        <f>FIND(D8,C8,6)</f>
        <v>11</v>
      </c>
      <c r="F8" s="63" t="s">
        <v>2474</v>
      </c>
    </row>
    <row r="9" spans="1:9" x14ac:dyDescent="0.2">
      <c r="C9" s="7" t="s">
        <v>2472</v>
      </c>
      <c r="D9" s="7" t="s">
        <v>2480</v>
      </c>
      <c r="E9" s="8" t="e">
        <f>FIND(D9,C9)</f>
        <v>#VALUE!</v>
      </c>
      <c r="F9" s="63" t="s">
        <v>2475</v>
      </c>
    </row>
    <row r="11" spans="1:9" ht="13.5" thickBot="1" x14ac:dyDescent="0.25">
      <c r="B11" s="2" t="s">
        <v>3118</v>
      </c>
      <c r="C11" s="2"/>
      <c r="D11" s="2"/>
      <c r="E11" s="2"/>
      <c r="F11" s="2"/>
      <c r="G11" s="2"/>
    </row>
    <row r="12" spans="1:9" x14ac:dyDescent="0.2">
      <c r="B12" t="s">
        <v>2476</v>
      </c>
    </row>
    <row r="13" spans="1:9" x14ac:dyDescent="0.2">
      <c r="B13" t="s">
        <v>2477</v>
      </c>
    </row>
    <row r="14" spans="1:9" x14ac:dyDescent="0.2">
      <c r="B14" t="s">
        <v>2478</v>
      </c>
    </row>
    <row r="15" spans="1:9" x14ac:dyDescent="0.2">
      <c r="B15" t="s">
        <v>157</v>
      </c>
    </row>
    <row r="16" spans="1:9" x14ac:dyDescent="0.2">
      <c r="B16" t="s">
        <v>158</v>
      </c>
    </row>
    <row r="17" spans="2:7" x14ac:dyDescent="0.2">
      <c r="B17" t="s">
        <v>159</v>
      </c>
    </row>
    <row r="19" spans="2:7" ht="13.5" thickBot="1" x14ac:dyDescent="0.25">
      <c r="B19" s="2" t="s">
        <v>998</v>
      </c>
      <c r="C19" s="2"/>
      <c r="D19" s="2"/>
      <c r="E19" s="2"/>
      <c r="F19" s="2"/>
      <c r="G19" s="2"/>
    </row>
    <row r="20" spans="2:7" x14ac:dyDescent="0.2">
      <c r="B20" t="s">
        <v>160</v>
      </c>
    </row>
    <row r="21" spans="2:7" x14ac:dyDescent="0.2">
      <c r="B21" t="s">
        <v>161</v>
      </c>
    </row>
    <row r="22" spans="2:7" x14ac:dyDescent="0.2">
      <c r="B22" t="s">
        <v>162</v>
      </c>
    </row>
    <row r="23" spans="2:7" x14ac:dyDescent="0.2">
      <c r="B23" t="s">
        <v>163</v>
      </c>
    </row>
    <row r="25" spans="2:7" ht="13.5" thickBot="1" x14ac:dyDescent="0.25">
      <c r="B25" s="2" t="s">
        <v>3355</v>
      </c>
      <c r="C25" s="2"/>
      <c r="D25" s="2"/>
      <c r="E25" s="2"/>
      <c r="F25" s="2"/>
      <c r="G25" s="2"/>
    </row>
    <row r="26" spans="2:7" x14ac:dyDescent="0.2">
      <c r="B26" t="s">
        <v>164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I20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4" max="4" width="24.5703125" customWidth="1"/>
    <col min="5" max="5" width="12" customWidth="1"/>
    <col min="8" max="8" width="8.28515625" customWidth="1"/>
  </cols>
  <sheetData>
    <row r="1" spans="1:9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990</v>
      </c>
      <c r="D3" s="6" t="s">
        <v>1211</v>
      </c>
    </row>
    <row r="4" spans="1:9" x14ac:dyDescent="0.2">
      <c r="C4" s="24">
        <v>3</v>
      </c>
      <c r="D4" s="38">
        <f>FACT(C4)</f>
        <v>6</v>
      </c>
      <c r="E4" s="66" t="s">
        <v>1212</v>
      </c>
    </row>
    <row r="5" spans="1:9" x14ac:dyDescent="0.2">
      <c r="C5" s="24">
        <v>3.5</v>
      </c>
      <c r="D5" s="38">
        <f>FACT(C5)</f>
        <v>6</v>
      </c>
      <c r="E5" s="66" t="s">
        <v>1213</v>
      </c>
    </row>
    <row r="6" spans="1:9" x14ac:dyDescent="0.2">
      <c r="C6" s="24">
        <v>5</v>
      </c>
      <c r="D6" s="38">
        <f>FACT(C6)</f>
        <v>120</v>
      </c>
      <c r="E6" s="66" t="s">
        <v>1214</v>
      </c>
    </row>
    <row r="7" spans="1:9" x14ac:dyDescent="0.2">
      <c r="C7" s="24">
        <v>10</v>
      </c>
      <c r="D7" s="38">
        <f>FACT(C7)</f>
        <v>3628800</v>
      </c>
      <c r="E7" s="66" t="s">
        <v>1215</v>
      </c>
    </row>
    <row r="8" spans="1:9" x14ac:dyDescent="0.2">
      <c r="C8" s="24">
        <v>20</v>
      </c>
      <c r="D8" s="38">
        <f>FACT(C8)</f>
        <v>2.43290200817664E+18</v>
      </c>
      <c r="E8" s="66" t="s">
        <v>1216</v>
      </c>
    </row>
    <row r="10" spans="1:9" ht="13.5" thickBot="1" x14ac:dyDescent="0.25">
      <c r="B10" s="2" t="s">
        <v>2865</v>
      </c>
      <c r="C10" s="2"/>
      <c r="D10" s="2"/>
      <c r="E10" s="2"/>
      <c r="F10" s="2"/>
      <c r="G10" s="2"/>
      <c r="H10" s="2"/>
    </row>
    <row r="11" spans="1:9" x14ac:dyDescent="0.2">
      <c r="B11" t="s">
        <v>1217</v>
      </c>
    </row>
    <row r="12" spans="1:9" x14ac:dyDescent="0.2">
      <c r="B12" t="s">
        <v>1218</v>
      </c>
    </row>
    <row r="13" spans="1:9" x14ac:dyDescent="0.2">
      <c r="B13" t="s">
        <v>2461</v>
      </c>
    </row>
    <row r="14" spans="1:9" x14ac:dyDescent="0.2">
      <c r="B14" t="s">
        <v>2462</v>
      </c>
    </row>
    <row r="16" spans="1:9" ht="13.5" thickBot="1" x14ac:dyDescent="0.25">
      <c r="B16" s="2" t="s">
        <v>998</v>
      </c>
      <c r="C16" s="2"/>
      <c r="D16" s="2"/>
      <c r="E16" s="2"/>
      <c r="F16" s="2"/>
      <c r="G16" s="2"/>
      <c r="H16" s="2"/>
    </row>
    <row r="17" spans="2:8" x14ac:dyDescent="0.2">
      <c r="B17" s="61" t="s">
        <v>2463</v>
      </c>
    </row>
    <row r="19" spans="2:8" ht="13.5" thickBot="1" x14ac:dyDescent="0.25">
      <c r="B19" s="2" t="s">
        <v>2464</v>
      </c>
      <c r="C19" s="2"/>
      <c r="D19" s="2"/>
      <c r="E19" s="2"/>
      <c r="F19" s="2"/>
      <c r="G19" s="2"/>
      <c r="H19" s="2"/>
    </row>
    <row r="20" spans="2:8" x14ac:dyDescent="0.2">
      <c r="B20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L33"/>
  <sheetViews>
    <sheetView showGridLines="0" workbookViewId="0">
      <pane ySplit="1" topLeftCell="A2" activePane="bottomLeft" state="frozen"/>
      <selection activeCell="A3" sqref="A3"/>
      <selection pane="bottomLeft" activeCell="M9" sqref="M8:M9"/>
    </sheetView>
  </sheetViews>
  <sheetFormatPr defaultRowHeight="12.75" x14ac:dyDescent="0.2"/>
  <cols>
    <col min="1" max="1" width="2.7109375" customWidth="1"/>
    <col min="10" max="10" width="8.5703125" customWidth="1"/>
  </cols>
  <sheetData>
    <row r="1" spans="1:12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7"/>
      <c r="L1" s="477"/>
    </row>
    <row r="3" spans="1:12" x14ac:dyDescent="0.2">
      <c r="C3" s="6" t="s">
        <v>1186</v>
      </c>
      <c r="D3" s="6" t="s">
        <v>1187</v>
      </c>
      <c r="E3" s="6" t="s">
        <v>3113</v>
      </c>
    </row>
    <row r="4" spans="1:12" x14ac:dyDescent="0.2">
      <c r="C4" s="7" t="s">
        <v>1029</v>
      </c>
      <c r="D4" s="7" t="s">
        <v>1029</v>
      </c>
      <c r="E4" s="8" t="b">
        <f>EXACT(C4,D4)</f>
        <v>1</v>
      </c>
      <c r="F4" s="13" t="s">
        <v>1188</v>
      </c>
    </row>
    <row r="5" spans="1:12" x14ac:dyDescent="0.2">
      <c r="C5" s="7" t="s">
        <v>1029</v>
      </c>
      <c r="D5" s="7" t="s">
        <v>1189</v>
      </c>
      <c r="E5" s="8" t="b">
        <f>EXACT(C5,D5)</f>
        <v>0</v>
      </c>
      <c r="F5" s="13" t="s">
        <v>1190</v>
      </c>
    </row>
    <row r="6" spans="1:12" x14ac:dyDescent="0.2">
      <c r="C6" s="7" t="s">
        <v>1029</v>
      </c>
      <c r="D6" s="7" t="s">
        <v>1191</v>
      </c>
      <c r="E6" s="8" t="b">
        <f>EXACT(C6,D6)</f>
        <v>0</v>
      </c>
      <c r="F6" s="13" t="s">
        <v>1192</v>
      </c>
    </row>
    <row r="8" spans="1:12" ht="13.5" thickBot="1" x14ac:dyDescent="0.25">
      <c r="B8" s="2" t="s">
        <v>3118</v>
      </c>
      <c r="C8" s="2"/>
      <c r="D8" s="2"/>
      <c r="E8" s="2"/>
      <c r="F8" s="2"/>
      <c r="G8" s="2"/>
      <c r="H8" s="2"/>
      <c r="I8" s="2"/>
      <c r="J8" s="2"/>
    </row>
    <row r="9" spans="1:12" x14ac:dyDescent="0.2">
      <c r="B9" t="s">
        <v>1193</v>
      </c>
    </row>
    <row r="10" spans="1:12" x14ac:dyDescent="0.2">
      <c r="B10" t="s">
        <v>1194</v>
      </c>
    </row>
    <row r="11" spans="1:12" x14ac:dyDescent="0.2">
      <c r="B11" t="s">
        <v>1195</v>
      </c>
    </row>
    <row r="13" spans="1:12" ht="13.5" thickBot="1" x14ac:dyDescent="0.25">
      <c r="B13" s="2" t="s">
        <v>998</v>
      </c>
      <c r="C13" s="2"/>
      <c r="D13" s="2"/>
      <c r="E13" s="2"/>
      <c r="F13" s="2"/>
      <c r="G13" s="2"/>
      <c r="H13" s="2"/>
      <c r="I13" s="2"/>
      <c r="J13" s="2"/>
    </row>
    <row r="14" spans="1:12" x14ac:dyDescent="0.2">
      <c r="B14" t="s">
        <v>1196</v>
      </c>
    </row>
    <row r="15" spans="1:12" x14ac:dyDescent="0.2">
      <c r="B15" t="s">
        <v>1197</v>
      </c>
    </row>
    <row r="17" spans="2:10" ht="13.5" thickBot="1" x14ac:dyDescent="0.25">
      <c r="B17" s="2" t="s">
        <v>3355</v>
      </c>
      <c r="C17" s="2"/>
      <c r="D17" s="2"/>
      <c r="E17" s="2"/>
      <c r="F17" s="2"/>
      <c r="G17" s="2"/>
      <c r="H17" s="2"/>
      <c r="I17" s="2"/>
      <c r="J17" s="2"/>
    </row>
    <row r="18" spans="2:10" x14ac:dyDescent="0.2">
      <c r="B18" t="s">
        <v>1198</v>
      </c>
    </row>
    <row r="19" spans="2:10" x14ac:dyDescent="0.2">
      <c r="B19" t="s">
        <v>1199</v>
      </c>
    </row>
    <row r="21" spans="2:10" ht="13.5" thickBot="1" x14ac:dyDescent="0.25">
      <c r="B21" s="2" t="s">
        <v>1001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t="s">
        <v>1200</v>
      </c>
    </row>
    <row r="23" spans="2:10" x14ac:dyDescent="0.2">
      <c r="B23" t="s">
        <v>1201</v>
      </c>
    </row>
    <row r="24" spans="2:10" x14ac:dyDescent="0.2">
      <c r="B24" t="s">
        <v>1202</v>
      </c>
    </row>
    <row r="25" spans="2:10" x14ac:dyDescent="0.2">
      <c r="B25" t="s">
        <v>1203</v>
      </c>
    </row>
    <row r="26" spans="2:10" x14ac:dyDescent="0.2">
      <c r="B26" t="s">
        <v>1204</v>
      </c>
    </row>
    <row r="28" spans="2:10" x14ac:dyDescent="0.2">
      <c r="B28" s="247"/>
      <c r="C28" s="248"/>
      <c r="D28" s="249" t="s">
        <v>1205</v>
      </c>
      <c r="E28" s="250" t="s">
        <v>1206</v>
      </c>
    </row>
    <row r="29" spans="2:10" x14ac:dyDescent="0.2">
      <c r="B29" s="247"/>
      <c r="C29" s="248"/>
      <c r="D29" s="249" t="s">
        <v>1207</v>
      </c>
      <c r="E29" s="251" t="str">
        <f>IF(EXACT(E28,CHAR(66)&amp;CHAR(108)&amp;CHAR(117)&amp;CHAR(101)),"Yes","No")</f>
        <v>No</v>
      </c>
    </row>
    <row r="31" spans="2:10" x14ac:dyDescent="0.2">
      <c r="B31" t="s">
        <v>1208</v>
      </c>
    </row>
    <row r="32" spans="2:10" x14ac:dyDescent="0.2">
      <c r="B32" t="s">
        <v>1209</v>
      </c>
    </row>
    <row r="33" spans="2:2" x14ac:dyDescent="0.2">
      <c r="B33" t="s">
        <v>1210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I30"/>
  <sheetViews>
    <sheetView showGridLines="0" workbookViewId="0">
      <pane ySplit="1" topLeftCell="A2" activePane="bottomLeft" state="frozen"/>
      <selection activeCell="A3" sqref="A3"/>
      <selection pane="bottomLeft" activeCell="J5" sqref="J5"/>
    </sheetView>
  </sheetViews>
  <sheetFormatPr defaultRowHeight="12.75" x14ac:dyDescent="0.2"/>
  <cols>
    <col min="1" max="1" width="2.7109375" customWidth="1"/>
    <col min="3" max="3" width="12.5703125" customWidth="1"/>
    <col min="4" max="4" width="16.7109375" customWidth="1"/>
    <col min="5" max="5" width="12.5703125" customWidth="1"/>
  </cols>
  <sheetData>
    <row r="1" spans="1:9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1164</v>
      </c>
      <c r="D3" s="6" t="s">
        <v>1165</v>
      </c>
    </row>
    <row r="4" spans="1:9" x14ac:dyDescent="0.2">
      <c r="C4" s="7">
        <v>1</v>
      </c>
      <c r="D4" s="8">
        <f>EVEN(C4)</f>
        <v>2</v>
      </c>
      <c r="E4" s="66" t="s">
        <v>1166</v>
      </c>
    </row>
    <row r="5" spans="1:9" x14ac:dyDescent="0.2">
      <c r="C5" s="7">
        <v>1.2</v>
      </c>
      <c r="D5" s="8">
        <f>EVEN(C5)</f>
        <v>2</v>
      </c>
      <c r="E5" s="66" t="s">
        <v>1167</v>
      </c>
    </row>
    <row r="6" spans="1:9" x14ac:dyDescent="0.2">
      <c r="C6" s="7">
        <v>2.2999999999999998</v>
      </c>
      <c r="D6" s="8">
        <f>EVEN(C6)</f>
        <v>4</v>
      </c>
      <c r="E6" s="66" t="s">
        <v>1168</v>
      </c>
    </row>
    <row r="7" spans="1:9" x14ac:dyDescent="0.2">
      <c r="C7" s="7">
        <v>25</v>
      </c>
      <c r="D7" s="8">
        <f>EVEN(C7)</f>
        <v>26</v>
      </c>
      <c r="E7" s="66" t="s">
        <v>1169</v>
      </c>
    </row>
    <row r="9" spans="1:9" ht="13.5" thickBot="1" x14ac:dyDescent="0.25">
      <c r="B9" s="2" t="s">
        <v>2865</v>
      </c>
      <c r="C9" s="2"/>
      <c r="D9" s="2"/>
      <c r="E9" s="2"/>
      <c r="F9" s="2"/>
      <c r="G9" s="2"/>
      <c r="H9" s="2"/>
    </row>
    <row r="10" spans="1:9" x14ac:dyDescent="0.2">
      <c r="B10" t="s">
        <v>1170</v>
      </c>
    </row>
    <row r="12" spans="1:9" ht="13.5" thickBot="1" x14ac:dyDescent="0.25">
      <c r="B12" s="2" t="s">
        <v>998</v>
      </c>
      <c r="C12" s="2"/>
      <c r="D12" s="2"/>
      <c r="E12" s="2"/>
      <c r="F12" s="2"/>
      <c r="G12" s="2"/>
      <c r="H12" s="2"/>
    </row>
    <row r="13" spans="1:9" x14ac:dyDescent="0.2">
      <c r="B13" s="126" t="s">
        <v>1171</v>
      </c>
    </row>
    <row r="15" spans="1:9" ht="13.5" thickBot="1" x14ac:dyDescent="0.25">
      <c r="B15" s="2" t="s">
        <v>3355</v>
      </c>
      <c r="C15" s="2"/>
      <c r="D15" s="2"/>
      <c r="E15" s="2"/>
      <c r="F15" s="2"/>
      <c r="G15" s="2"/>
      <c r="H15" s="2"/>
    </row>
    <row r="16" spans="1:9" x14ac:dyDescent="0.2">
      <c r="B16" t="s">
        <v>2424</v>
      </c>
    </row>
    <row r="18" spans="2:8" ht="13.5" thickBot="1" x14ac:dyDescent="0.25">
      <c r="B18" s="2" t="s">
        <v>1001</v>
      </c>
      <c r="C18" s="2"/>
      <c r="D18" s="2"/>
      <c r="E18" s="2"/>
      <c r="F18" s="2"/>
      <c r="G18" s="2"/>
      <c r="H18" s="2"/>
    </row>
    <row r="19" spans="2:8" x14ac:dyDescent="0.2">
      <c r="B19" t="s">
        <v>1172</v>
      </c>
    </row>
    <row r="20" spans="2:8" x14ac:dyDescent="0.2">
      <c r="B20" t="s">
        <v>1173</v>
      </c>
    </row>
    <row r="21" spans="2:8" x14ac:dyDescent="0.2">
      <c r="B21" t="s">
        <v>1174</v>
      </c>
    </row>
    <row r="23" spans="2:8" x14ac:dyDescent="0.2">
      <c r="B23" t="s">
        <v>1175</v>
      </c>
    </row>
    <row r="24" spans="2:8" x14ac:dyDescent="0.2">
      <c r="B24" t="s">
        <v>1176</v>
      </c>
    </row>
    <row r="26" spans="2:8" x14ac:dyDescent="0.2">
      <c r="C26" t="s">
        <v>1013</v>
      </c>
    </row>
    <row r="27" spans="2:8" x14ac:dyDescent="0.2">
      <c r="C27" s="6" t="s">
        <v>1177</v>
      </c>
      <c r="D27" s="6" t="s">
        <v>1178</v>
      </c>
      <c r="E27" s="6" t="s">
        <v>1179</v>
      </c>
    </row>
    <row r="28" spans="2:8" x14ac:dyDescent="0.2">
      <c r="C28" s="7" t="s">
        <v>1180</v>
      </c>
      <c r="D28" s="7">
        <v>5</v>
      </c>
      <c r="E28" s="8">
        <f>EVEN(D28)/2</f>
        <v>3</v>
      </c>
      <c r="F28" s="13" t="s">
        <v>1181</v>
      </c>
    </row>
    <row r="29" spans="2:8" x14ac:dyDescent="0.2">
      <c r="C29" s="7" t="s">
        <v>1182</v>
      </c>
      <c r="D29" s="7">
        <v>9</v>
      </c>
      <c r="E29" s="8">
        <f>EVEN(D29)/2</f>
        <v>5</v>
      </c>
      <c r="F29" s="13" t="s">
        <v>1183</v>
      </c>
    </row>
    <row r="30" spans="2:8" x14ac:dyDescent="0.2">
      <c r="C30" s="7" t="s">
        <v>1184</v>
      </c>
      <c r="D30" s="7">
        <v>7</v>
      </c>
      <c r="E30" s="8">
        <f>EVEN(D30)/2</f>
        <v>4</v>
      </c>
      <c r="F30" s="13" t="s">
        <v>1185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H21"/>
  <sheetViews>
    <sheetView showGridLines="0" workbookViewId="0">
      <pane ySplit="1" topLeftCell="A2" activePane="bottomLeft" state="frozen"/>
      <selection activeCell="A3" sqref="A3"/>
      <selection pane="bottomLeft" activeCell="I18" sqref="I18"/>
    </sheetView>
  </sheetViews>
  <sheetFormatPr defaultRowHeight="12.75" x14ac:dyDescent="0.2"/>
  <cols>
    <col min="1" max="1" width="2.7109375" customWidth="1"/>
    <col min="5" max="5" width="17.42578125" customWidth="1"/>
    <col min="6" max="6" width="14.85546875" customWidth="1"/>
    <col min="7" max="7" width="22.140625" customWidth="1"/>
  </cols>
  <sheetData>
    <row r="1" spans="1:8" ht="46.5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2" t="s">
        <v>2956</v>
      </c>
      <c r="D3" s="62"/>
      <c r="E3" s="6" t="s">
        <v>2957</v>
      </c>
      <c r="F3" s="6" t="s">
        <v>2958</v>
      </c>
    </row>
    <row r="4" spans="1:8" x14ac:dyDescent="0.2">
      <c r="C4" s="7">
        <v>10</v>
      </c>
      <c r="D4" s="7">
        <v>0</v>
      </c>
      <c r="E4" s="50" t="e">
        <f>C4/D4</f>
        <v>#DIV/0!</v>
      </c>
      <c r="F4" s="8">
        <f>ERROR.TYPE(E4)</f>
        <v>2</v>
      </c>
      <c r="G4" s="63" t="s">
        <v>2959</v>
      </c>
    </row>
    <row r="5" spans="1:8" x14ac:dyDescent="0.2">
      <c r="C5" s="7">
        <v>10</v>
      </c>
      <c r="D5" s="7">
        <v>3</v>
      </c>
      <c r="E5" s="50" t="e">
        <f>C5+ALAN</f>
        <v>#NAME?</v>
      </c>
      <c r="F5" s="8">
        <f>ERROR.TYPE(E5)</f>
        <v>5</v>
      </c>
      <c r="G5" s="63" t="s">
        <v>2960</v>
      </c>
    </row>
    <row r="6" spans="1:8" x14ac:dyDescent="0.2">
      <c r="C6" s="7">
        <v>10</v>
      </c>
      <c r="D6" s="7">
        <v>3</v>
      </c>
      <c r="E6" s="50" t="e">
        <f>C6+D6+#REF!</f>
        <v>#REF!</v>
      </c>
      <c r="F6" s="8">
        <f>ERROR.TYPE(E6)</f>
        <v>4</v>
      </c>
      <c r="G6" s="63" t="s">
        <v>2390</v>
      </c>
    </row>
    <row r="7" spans="1:8" x14ac:dyDescent="0.2">
      <c r="C7" s="12">
        <v>0.41666666666666669</v>
      </c>
      <c r="D7" s="12">
        <v>0.54166666666666663</v>
      </c>
      <c r="E7" s="246">
        <f>C7-D7</f>
        <v>-0.12499999999999994</v>
      </c>
      <c r="F7" s="8" t="e">
        <f>ERROR.TYPE(E7)</f>
        <v>#N/A</v>
      </c>
      <c r="G7" s="63" t="s">
        <v>2391</v>
      </c>
    </row>
    <row r="10" spans="1:8" ht="13.5" thickBot="1" x14ac:dyDescent="0.25">
      <c r="B10" s="2" t="s">
        <v>3118</v>
      </c>
      <c r="C10" s="2"/>
      <c r="D10" s="2"/>
      <c r="E10" s="2"/>
      <c r="F10" s="2"/>
      <c r="G10" s="2"/>
    </row>
    <row r="11" spans="1:8" x14ac:dyDescent="0.2">
      <c r="B11" t="s">
        <v>2392</v>
      </c>
    </row>
    <row r="13" spans="1:8" ht="13.5" thickBot="1" x14ac:dyDescent="0.25">
      <c r="B13" s="2" t="s">
        <v>998</v>
      </c>
      <c r="C13" s="2"/>
      <c r="D13" s="2"/>
      <c r="E13" s="2"/>
      <c r="F13" s="2"/>
      <c r="G13" s="2"/>
    </row>
    <row r="14" spans="1:8" x14ac:dyDescent="0.2">
      <c r="B14" t="s">
        <v>2393</v>
      </c>
    </row>
    <row r="15" spans="1:8" x14ac:dyDescent="0.2">
      <c r="B15" t="s">
        <v>2394</v>
      </c>
    </row>
    <row r="17" spans="2:7" ht="13.5" thickBot="1" x14ac:dyDescent="0.25">
      <c r="B17" s="2" t="s">
        <v>3355</v>
      </c>
      <c r="C17" s="2"/>
      <c r="D17" s="2"/>
      <c r="E17" s="2"/>
      <c r="F17" s="2"/>
      <c r="G17" s="2"/>
    </row>
    <row r="18" spans="2:7" x14ac:dyDescent="0.2">
      <c r="B18" t="s">
        <v>1162</v>
      </c>
    </row>
    <row r="20" spans="2:7" ht="13.5" thickBot="1" x14ac:dyDescent="0.25">
      <c r="B20" s="2" t="s">
        <v>1001</v>
      </c>
      <c r="C20" s="2"/>
      <c r="D20" s="2"/>
      <c r="E20" s="2"/>
      <c r="F20" s="2"/>
      <c r="G20" s="2"/>
    </row>
    <row r="21" spans="2:7" x14ac:dyDescent="0.2">
      <c r="B21" t="s">
        <v>1163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H17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2" max="2" width="9.28515625" customWidth="1"/>
    <col min="3" max="3" width="11" customWidth="1"/>
    <col min="4" max="4" width="16.28515625" customWidth="1"/>
    <col min="5" max="5" width="12.85546875" customWidth="1"/>
    <col min="6" max="6" width="19" customWidth="1"/>
    <col min="7" max="7" width="16.28515625" customWidth="1"/>
  </cols>
  <sheetData>
    <row r="1" spans="1:8" ht="51.75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727</v>
      </c>
      <c r="D3" s="6" t="s">
        <v>2922</v>
      </c>
      <c r="E3" s="6" t="s">
        <v>2949</v>
      </c>
    </row>
    <row r="4" spans="1:8" x14ac:dyDescent="0.2">
      <c r="B4" s="49"/>
      <c r="C4" s="161">
        <v>35800</v>
      </c>
      <c r="D4" s="7">
        <v>2</v>
      </c>
      <c r="E4" s="221">
        <f>EOMONTH(C4,D4)</f>
        <v>35885</v>
      </c>
      <c r="F4" s="66" t="s">
        <v>2950</v>
      </c>
    </row>
    <row r="5" spans="1:8" x14ac:dyDescent="0.2">
      <c r="B5" s="49"/>
      <c r="C5" s="161">
        <v>35800</v>
      </c>
      <c r="D5" s="7">
        <v>2</v>
      </c>
      <c r="E5" s="243">
        <f>EOMONTH(C5,D5)</f>
        <v>35885</v>
      </c>
      <c r="F5" s="66" t="s">
        <v>2951</v>
      </c>
    </row>
    <row r="6" spans="1:8" x14ac:dyDescent="0.2">
      <c r="C6" s="161">
        <v>35800</v>
      </c>
      <c r="D6" s="7">
        <v>-2</v>
      </c>
      <c r="E6" s="243">
        <f>EOMONTH(C6,D6)</f>
        <v>35764</v>
      </c>
      <c r="F6" s="66" t="s">
        <v>2952</v>
      </c>
    </row>
    <row r="8" spans="1:8" ht="13.5" thickBot="1" x14ac:dyDescent="0.25">
      <c r="B8" s="2" t="s">
        <v>3118</v>
      </c>
      <c r="C8" s="2"/>
      <c r="D8" s="2"/>
      <c r="E8" s="2"/>
      <c r="F8" s="2"/>
      <c r="G8" s="2"/>
    </row>
    <row r="9" spans="1:8" x14ac:dyDescent="0.2">
      <c r="B9" t="s">
        <v>2953</v>
      </c>
    </row>
    <row r="10" spans="1:8" x14ac:dyDescent="0.2">
      <c r="B10" t="s">
        <v>2954</v>
      </c>
    </row>
    <row r="12" spans="1:8" ht="13.5" thickBot="1" x14ac:dyDescent="0.25">
      <c r="B12" s="2" t="s">
        <v>998</v>
      </c>
      <c r="C12" s="2"/>
      <c r="D12" s="2"/>
      <c r="E12" s="2"/>
      <c r="F12" s="2"/>
      <c r="G12" s="2"/>
    </row>
    <row r="13" spans="1:8" x14ac:dyDescent="0.2">
      <c r="B13" t="s">
        <v>2955</v>
      </c>
    </row>
    <row r="15" spans="1:8" ht="13.5" thickBot="1" x14ac:dyDescent="0.25">
      <c r="B15" s="2" t="s">
        <v>3355</v>
      </c>
      <c r="C15" s="2"/>
      <c r="D15" s="2"/>
      <c r="E15" s="2"/>
      <c r="F15" s="2"/>
      <c r="G15" s="2"/>
    </row>
    <row r="16" spans="1:8" x14ac:dyDescent="0.2">
      <c r="B16" t="s">
        <v>2930</v>
      </c>
    </row>
    <row r="17" spans="2:2" x14ac:dyDescent="0.2">
      <c r="B17" t="s">
        <v>2931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6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H50"/>
  <sheetViews>
    <sheetView showGridLines="0" workbookViewId="0">
      <pane ySplit="1" topLeftCell="A2" activePane="bottomLeft" state="frozen"/>
      <selection activeCell="A3" sqref="A3"/>
      <selection pane="bottomLeft" activeCell="G5" sqref="G5"/>
    </sheetView>
  </sheetViews>
  <sheetFormatPr defaultRowHeight="12.75" x14ac:dyDescent="0.2"/>
  <cols>
    <col min="1" max="1" width="2.7109375" customWidth="1"/>
    <col min="2" max="2" width="10.85546875" customWidth="1"/>
    <col min="3" max="3" width="13.42578125" customWidth="1"/>
    <col min="4" max="4" width="11.42578125" customWidth="1"/>
    <col min="5" max="5" width="16.7109375" customWidth="1"/>
    <col min="6" max="6" width="17" customWidth="1"/>
    <col min="7" max="7" width="12.140625" customWidth="1"/>
  </cols>
  <sheetData>
    <row r="1" spans="1:8" ht="42.75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242" t="s">
        <v>2921</v>
      </c>
      <c r="D3" s="242" t="s">
        <v>2922</v>
      </c>
      <c r="E3" s="242" t="s">
        <v>2923</v>
      </c>
    </row>
    <row r="4" spans="1:8" x14ac:dyDescent="0.2">
      <c r="C4" s="161">
        <v>35796</v>
      </c>
      <c r="D4" s="7">
        <v>3</v>
      </c>
      <c r="E4" s="243">
        <f>EDATE(C4,D4)</f>
        <v>35886</v>
      </c>
      <c r="F4" s="13" t="s">
        <v>2924</v>
      </c>
    </row>
    <row r="5" spans="1:8" x14ac:dyDescent="0.2">
      <c r="C5" s="161">
        <v>35797</v>
      </c>
      <c r="D5" s="7">
        <v>3</v>
      </c>
      <c r="E5" s="243">
        <f>EDATE(C5,D5)</f>
        <v>35887</v>
      </c>
      <c r="F5" s="13" t="s">
        <v>2925</v>
      </c>
    </row>
    <row r="6" spans="1:8" x14ac:dyDescent="0.2">
      <c r="C6" s="161">
        <v>35797</v>
      </c>
      <c r="D6" s="7">
        <v>-3</v>
      </c>
      <c r="E6" s="243">
        <f>EDATE(C6,D6)</f>
        <v>35705</v>
      </c>
      <c r="F6" s="13" t="s">
        <v>2926</v>
      </c>
    </row>
    <row r="8" spans="1:8" ht="13.5" thickBot="1" x14ac:dyDescent="0.25">
      <c r="B8" s="2" t="s">
        <v>3118</v>
      </c>
      <c r="C8" s="2"/>
      <c r="D8" s="2"/>
      <c r="E8" s="2"/>
      <c r="F8" s="2"/>
      <c r="G8" s="2"/>
    </row>
    <row r="9" spans="1:8" x14ac:dyDescent="0.2">
      <c r="B9" t="s">
        <v>2927</v>
      </c>
    </row>
    <row r="10" spans="1:8" x14ac:dyDescent="0.2">
      <c r="B10" t="s">
        <v>2928</v>
      </c>
    </row>
    <row r="12" spans="1:8" ht="13.5" thickBot="1" x14ac:dyDescent="0.25">
      <c r="B12" s="2" t="s">
        <v>998</v>
      </c>
      <c r="C12" s="2"/>
      <c r="D12" s="2"/>
      <c r="E12" s="2"/>
      <c r="F12" s="2"/>
      <c r="G12" s="2"/>
    </row>
    <row r="13" spans="1:8" x14ac:dyDescent="0.2">
      <c r="B13" t="s">
        <v>2929</v>
      </c>
    </row>
    <row r="15" spans="1:8" ht="13.5" thickBot="1" x14ac:dyDescent="0.25">
      <c r="B15" s="2" t="s">
        <v>3355</v>
      </c>
      <c r="C15" s="2"/>
      <c r="D15" s="2"/>
      <c r="E15" s="2"/>
      <c r="F15" s="2"/>
      <c r="G15" s="2"/>
    </row>
    <row r="16" spans="1:8" x14ac:dyDescent="0.2">
      <c r="B16" t="s">
        <v>2930</v>
      </c>
    </row>
    <row r="17" spans="2:7" x14ac:dyDescent="0.2">
      <c r="B17" t="s">
        <v>2931</v>
      </c>
    </row>
    <row r="19" spans="2:7" ht="13.5" thickBot="1" x14ac:dyDescent="0.25">
      <c r="B19" s="2" t="s">
        <v>1001</v>
      </c>
      <c r="C19" s="2"/>
      <c r="D19" s="2"/>
      <c r="E19" s="2"/>
      <c r="F19" s="2"/>
      <c r="G19" s="2"/>
    </row>
    <row r="20" spans="2:7" x14ac:dyDescent="0.2">
      <c r="B20" t="s">
        <v>2932</v>
      </c>
    </row>
    <row r="21" spans="2:7" x14ac:dyDescent="0.2">
      <c r="B21" t="s">
        <v>2933</v>
      </c>
    </row>
    <row r="22" spans="2:7" x14ac:dyDescent="0.2">
      <c r="B22" t="s">
        <v>2934</v>
      </c>
    </row>
    <row r="23" spans="2:7" x14ac:dyDescent="0.2">
      <c r="B23" t="s">
        <v>2935</v>
      </c>
    </row>
    <row r="24" spans="2:7" x14ac:dyDescent="0.2">
      <c r="B24" t="s">
        <v>2936</v>
      </c>
    </row>
    <row r="26" spans="2:7" x14ac:dyDescent="0.2">
      <c r="C26" s="6" t="s">
        <v>2490</v>
      </c>
      <c r="D26" s="6" t="s">
        <v>2492</v>
      </c>
      <c r="E26" s="6" t="s">
        <v>2491</v>
      </c>
    </row>
    <row r="27" spans="2:7" x14ac:dyDescent="0.2">
      <c r="C27" s="244">
        <v>35801</v>
      </c>
      <c r="D27" s="7">
        <v>3</v>
      </c>
      <c r="E27" s="245">
        <f t="shared" ref="E27:E33" si="0">EDATE(C27,D27)</f>
        <v>35891</v>
      </c>
      <c r="F27" s="13" t="s">
        <v>2937</v>
      </c>
    </row>
    <row r="28" spans="2:7" x14ac:dyDescent="0.2">
      <c r="C28" s="244">
        <v>35807</v>
      </c>
      <c r="D28" s="7">
        <v>3</v>
      </c>
      <c r="E28" s="245">
        <f t="shared" si="0"/>
        <v>35897</v>
      </c>
      <c r="F28" s="13" t="s">
        <v>2938</v>
      </c>
    </row>
    <row r="29" spans="2:7" x14ac:dyDescent="0.2">
      <c r="C29" s="244">
        <v>35804</v>
      </c>
      <c r="D29" s="7">
        <v>4</v>
      </c>
      <c r="E29" s="245">
        <f t="shared" si="0"/>
        <v>35924</v>
      </c>
      <c r="F29" s="13" t="s">
        <v>2939</v>
      </c>
    </row>
    <row r="30" spans="2:7" x14ac:dyDescent="0.2">
      <c r="C30" s="244">
        <v>35804</v>
      </c>
      <c r="D30" s="7">
        <v>3</v>
      </c>
      <c r="E30" s="245">
        <f t="shared" si="0"/>
        <v>35894</v>
      </c>
      <c r="F30" s="13" t="s">
        <v>2940</v>
      </c>
    </row>
    <row r="31" spans="2:7" x14ac:dyDescent="0.2">
      <c r="C31" s="244">
        <v>35814</v>
      </c>
      <c r="D31" s="7">
        <v>3</v>
      </c>
      <c r="E31" s="245">
        <f t="shared" si="0"/>
        <v>35904</v>
      </c>
      <c r="F31" s="13" t="s">
        <v>2941</v>
      </c>
    </row>
    <row r="32" spans="2:7" x14ac:dyDescent="0.2">
      <c r="C32" s="244">
        <v>35821</v>
      </c>
      <c r="D32" s="7">
        <v>3</v>
      </c>
      <c r="E32" s="245">
        <f t="shared" si="0"/>
        <v>35911</v>
      </c>
      <c r="F32" s="13" t="s">
        <v>2942</v>
      </c>
    </row>
    <row r="33" spans="2:6" x14ac:dyDescent="0.2">
      <c r="C33" s="244">
        <v>35807</v>
      </c>
      <c r="D33" s="7">
        <v>3</v>
      </c>
      <c r="E33" s="245">
        <f t="shared" si="0"/>
        <v>35897</v>
      </c>
      <c r="F33" s="13" t="s">
        <v>2943</v>
      </c>
    </row>
    <row r="36" spans="2:6" x14ac:dyDescent="0.2">
      <c r="B36" t="s">
        <v>2944</v>
      </c>
    </row>
    <row r="37" spans="2:6" x14ac:dyDescent="0.2">
      <c r="B37" t="s">
        <v>2945</v>
      </c>
    </row>
    <row r="38" spans="2:6" x14ac:dyDescent="0.2">
      <c r="B38" t="s">
        <v>2946</v>
      </c>
    </row>
    <row r="39" spans="2:6" x14ac:dyDescent="0.2">
      <c r="B39" t="s">
        <v>2947</v>
      </c>
    </row>
    <row r="41" spans="2:6" x14ac:dyDescent="0.2">
      <c r="C41" s="6" t="s">
        <v>2490</v>
      </c>
      <c r="D41" s="6" t="s">
        <v>2492</v>
      </c>
      <c r="E41" s="6" t="s">
        <v>2491</v>
      </c>
    </row>
    <row r="42" spans="2:6" x14ac:dyDescent="0.2">
      <c r="C42" s="244">
        <v>35801</v>
      </c>
      <c r="D42" s="7">
        <v>3</v>
      </c>
      <c r="E42" s="245">
        <f t="shared" ref="E42:E48" si="1">EDATE(C42,D42)-IF(WEEKDAY(EDATE(C42,D42),2)&gt;5,WEEKDAY(EDATE(C42,D42),2)-5,0)</f>
        <v>35891</v>
      </c>
    </row>
    <row r="43" spans="2:6" x14ac:dyDescent="0.2">
      <c r="C43" s="244">
        <v>35807</v>
      </c>
      <c r="D43" s="7">
        <v>3</v>
      </c>
      <c r="E43" s="245">
        <f t="shared" si="1"/>
        <v>35895</v>
      </c>
    </row>
    <row r="44" spans="2:6" x14ac:dyDescent="0.2">
      <c r="C44" s="244">
        <v>35804</v>
      </c>
      <c r="D44" s="7">
        <v>4</v>
      </c>
      <c r="E44" s="245">
        <f t="shared" si="1"/>
        <v>35923</v>
      </c>
    </row>
    <row r="45" spans="2:6" x14ac:dyDescent="0.2">
      <c r="C45" s="244">
        <v>35804</v>
      </c>
      <c r="D45" s="7">
        <v>3</v>
      </c>
      <c r="E45" s="245">
        <f t="shared" si="1"/>
        <v>35894</v>
      </c>
    </row>
    <row r="46" spans="2:6" x14ac:dyDescent="0.2">
      <c r="C46" s="244">
        <v>35814</v>
      </c>
      <c r="D46" s="7">
        <v>3</v>
      </c>
      <c r="E46" s="245">
        <f t="shared" si="1"/>
        <v>35902</v>
      </c>
    </row>
    <row r="47" spans="2:6" x14ac:dyDescent="0.2">
      <c r="C47" s="244">
        <v>35821</v>
      </c>
      <c r="D47" s="7">
        <v>3</v>
      </c>
      <c r="E47" s="245">
        <f t="shared" si="1"/>
        <v>35909</v>
      </c>
    </row>
    <row r="48" spans="2:6" x14ac:dyDescent="0.2">
      <c r="C48" s="244">
        <v>35807</v>
      </c>
      <c r="D48" s="7">
        <v>3</v>
      </c>
      <c r="E48" s="245">
        <f t="shared" si="1"/>
        <v>35895</v>
      </c>
    </row>
    <row r="50" spans="2:2" x14ac:dyDescent="0.2">
      <c r="B50" s="13" t="s">
        <v>2948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K70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2" spans="1:11" ht="13.5" thickBot="1" x14ac:dyDescent="0.25">
      <c r="A2" s="149"/>
      <c r="B2" s="149"/>
      <c r="C2" s="149"/>
      <c r="D2" s="149"/>
      <c r="E2" s="149"/>
      <c r="F2" s="149"/>
      <c r="G2" s="149"/>
      <c r="H2" s="149"/>
      <c r="I2" s="220" t="s">
        <v>2658</v>
      </c>
    </row>
    <row r="3" spans="1:11" ht="26.25" thickTop="1" x14ac:dyDescent="0.2">
      <c r="A3" s="149"/>
      <c r="B3" s="175" t="s">
        <v>2845</v>
      </c>
      <c r="C3" s="176" t="s">
        <v>2846</v>
      </c>
      <c r="D3" s="176" t="s">
        <v>2847</v>
      </c>
      <c r="E3" s="176" t="s">
        <v>2848</v>
      </c>
      <c r="F3" s="176" t="s">
        <v>2849</v>
      </c>
      <c r="G3" s="176" t="s">
        <v>2850</v>
      </c>
      <c r="H3" s="176" t="s">
        <v>2851</v>
      </c>
      <c r="I3" s="177" t="s">
        <v>2852</v>
      </c>
    </row>
    <row r="4" spans="1:11" x14ac:dyDescent="0.2">
      <c r="B4" s="178" t="s">
        <v>2853</v>
      </c>
      <c r="C4" s="7">
        <v>200</v>
      </c>
      <c r="D4" s="7">
        <v>3000</v>
      </c>
      <c r="E4" s="7" t="s">
        <v>2854</v>
      </c>
      <c r="F4" s="85">
        <v>4.5</v>
      </c>
      <c r="G4" s="7">
        <v>4</v>
      </c>
      <c r="H4" s="7">
        <v>3</v>
      </c>
      <c r="I4" s="179">
        <f t="shared" ref="I4:I19" si="0">F4*G4*H4</f>
        <v>54</v>
      </c>
    </row>
    <row r="5" spans="1:11" x14ac:dyDescent="0.2">
      <c r="B5" s="178" t="s">
        <v>2855</v>
      </c>
      <c r="C5" s="7">
        <v>100</v>
      </c>
      <c r="D5" s="7">
        <v>2000</v>
      </c>
      <c r="E5" s="7" t="s">
        <v>2854</v>
      </c>
      <c r="F5" s="85">
        <v>2</v>
      </c>
      <c r="G5" s="7">
        <v>15</v>
      </c>
      <c r="H5" s="7">
        <v>2</v>
      </c>
      <c r="I5" s="179">
        <f t="shared" si="0"/>
        <v>60</v>
      </c>
    </row>
    <row r="6" spans="1:11" x14ac:dyDescent="0.2">
      <c r="B6" s="178" t="s">
        <v>2856</v>
      </c>
      <c r="C6" s="7">
        <v>60</v>
      </c>
      <c r="D6" s="7"/>
      <c r="E6" s="7"/>
      <c r="F6" s="85"/>
      <c r="G6" s="7"/>
      <c r="H6" s="7"/>
      <c r="I6" s="179">
        <f t="shared" si="0"/>
        <v>0</v>
      </c>
    </row>
    <row r="7" spans="1:11" x14ac:dyDescent="0.2">
      <c r="B7" s="178" t="s">
        <v>2857</v>
      </c>
      <c r="C7" s="7">
        <v>10</v>
      </c>
      <c r="D7" s="7">
        <v>8000</v>
      </c>
      <c r="E7" s="7" t="s">
        <v>2858</v>
      </c>
      <c r="F7" s="85">
        <v>0.8</v>
      </c>
      <c r="G7" s="7">
        <v>25</v>
      </c>
      <c r="H7" s="7">
        <v>6</v>
      </c>
      <c r="I7" s="179">
        <f t="shared" si="0"/>
        <v>120</v>
      </c>
    </row>
    <row r="8" spans="1:11" x14ac:dyDescent="0.2">
      <c r="B8" s="178" t="s">
        <v>2853</v>
      </c>
      <c r="C8" s="7">
        <v>80</v>
      </c>
      <c r="D8" s="7">
        <v>1000</v>
      </c>
      <c r="E8" s="7" t="s">
        <v>2854</v>
      </c>
      <c r="F8" s="85">
        <v>0.2</v>
      </c>
      <c r="G8" s="7">
        <v>40</v>
      </c>
      <c r="H8" s="7">
        <v>3</v>
      </c>
      <c r="I8" s="179">
        <f t="shared" si="0"/>
        <v>24</v>
      </c>
    </row>
    <row r="9" spans="1:11" x14ac:dyDescent="0.2">
      <c r="B9" s="178" t="s">
        <v>2856</v>
      </c>
      <c r="C9" s="7">
        <v>100</v>
      </c>
      <c r="D9" s="7" t="s">
        <v>2859</v>
      </c>
      <c r="E9" s="7" t="s">
        <v>2854</v>
      </c>
      <c r="F9" s="85">
        <v>1.25</v>
      </c>
      <c r="G9" s="7">
        <v>10</v>
      </c>
      <c r="H9" s="7">
        <v>4</v>
      </c>
      <c r="I9" s="179">
        <f t="shared" si="0"/>
        <v>50</v>
      </c>
    </row>
    <row r="10" spans="1:11" x14ac:dyDescent="0.2">
      <c r="B10" s="178" t="s">
        <v>2856</v>
      </c>
      <c r="C10" s="7">
        <v>200</v>
      </c>
      <c r="D10" s="7">
        <v>3000</v>
      </c>
      <c r="E10" s="7" t="s">
        <v>2854</v>
      </c>
      <c r="F10" s="85">
        <v>2.5</v>
      </c>
      <c r="G10" s="7">
        <v>15</v>
      </c>
      <c r="H10" s="7">
        <v>0</v>
      </c>
      <c r="I10" s="179">
        <f t="shared" si="0"/>
        <v>0</v>
      </c>
    </row>
    <row r="11" spans="1:11" x14ac:dyDescent="0.2">
      <c r="B11" s="178" t="s">
        <v>2857</v>
      </c>
      <c r="C11" s="7">
        <v>25</v>
      </c>
      <c r="D11" s="7" t="s">
        <v>2859</v>
      </c>
      <c r="E11" s="7" t="s">
        <v>2858</v>
      </c>
      <c r="F11" s="85">
        <v>0.5</v>
      </c>
      <c r="G11" s="7">
        <v>10</v>
      </c>
      <c r="H11" s="7">
        <v>3</v>
      </c>
      <c r="I11" s="179">
        <f t="shared" si="0"/>
        <v>15</v>
      </c>
    </row>
    <row r="12" spans="1:11" x14ac:dyDescent="0.2">
      <c r="B12" s="178" t="s">
        <v>2853</v>
      </c>
      <c r="C12" s="7">
        <v>200</v>
      </c>
      <c r="D12" s="7">
        <v>3000</v>
      </c>
      <c r="E12" s="7" t="s">
        <v>2858</v>
      </c>
      <c r="F12" s="85">
        <v>5</v>
      </c>
      <c r="G12" s="7">
        <v>3</v>
      </c>
      <c r="H12" s="7">
        <v>2</v>
      </c>
      <c r="I12" s="179">
        <f t="shared" si="0"/>
        <v>30</v>
      </c>
    </row>
    <row r="13" spans="1:11" x14ac:dyDescent="0.2">
      <c r="B13" s="178" t="s">
        <v>2855</v>
      </c>
      <c r="C13" s="7">
        <v>100</v>
      </c>
      <c r="D13" s="7">
        <v>2000</v>
      </c>
      <c r="E13" s="7" t="s">
        <v>2858</v>
      </c>
      <c r="F13" s="85">
        <v>1.8</v>
      </c>
      <c r="G13" s="7">
        <v>20</v>
      </c>
      <c r="H13" s="7">
        <v>5</v>
      </c>
      <c r="I13" s="179">
        <f t="shared" si="0"/>
        <v>180</v>
      </c>
    </row>
    <row r="14" spans="1:11" x14ac:dyDescent="0.2">
      <c r="B14" s="178" t="s">
        <v>2853</v>
      </c>
      <c r="C14" s="7">
        <v>100</v>
      </c>
      <c r="D14" s="7" t="s">
        <v>2859</v>
      </c>
      <c r="E14" s="7" t="s">
        <v>2858</v>
      </c>
      <c r="F14" s="85">
        <v>0.25</v>
      </c>
      <c r="G14" s="7">
        <v>10</v>
      </c>
      <c r="H14" s="7">
        <v>5</v>
      </c>
      <c r="I14" s="179">
        <f t="shared" si="0"/>
        <v>12.5</v>
      </c>
    </row>
    <row r="15" spans="1:11" x14ac:dyDescent="0.2">
      <c r="B15" s="178" t="s">
        <v>2853</v>
      </c>
      <c r="C15" s="7">
        <v>10</v>
      </c>
      <c r="D15" s="7">
        <v>800</v>
      </c>
      <c r="E15" s="7" t="s">
        <v>2854</v>
      </c>
      <c r="F15" s="85">
        <v>0.2</v>
      </c>
      <c r="G15" s="7">
        <v>25</v>
      </c>
      <c r="H15" s="7">
        <v>2</v>
      </c>
      <c r="I15" s="179">
        <f t="shared" si="0"/>
        <v>10</v>
      </c>
    </row>
    <row r="16" spans="1:11" x14ac:dyDescent="0.2">
      <c r="B16" s="178" t="s">
        <v>2853</v>
      </c>
      <c r="C16" s="7">
        <v>60</v>
      </c>
      <c r="D16" s="7">
        <v>1000</v>
      </c>
      <c r="E16" s="7" t="s">
        <v>2858</v>
      </c>
      <c r="F16" s="85">
        <v>0.15</v>
      </c>
      <c r="G16" s="7">
        <v>25</v>
      </c>
      <c r="H16" s="7">
        <v>0</v>
      </c>
      <c r="I16" s="179">
        <f t="shared" si="0"/>
        <v>0</v>
      </c>
    </row>
    <row r="17" spans="2:10" x14ac:dyDescent="0.2">
      <c r="B17" s="178" t="s">
        <v>2853</v>
      </c>
      <c r="C17" s="7">
        <v>80</v>
      </c>
      <c r="D17" s="7">
        <v>1000</v>
      </c>
      <c r="E17" s="7" t="s">
        <v>2858</v>
      </c>
      <c r="F17" s="85">
        <v>0.2</v>
      </c>
      <c r="G17" s="7">
        <v>30</v>
      </c>
      <c r="H17" s="7">
        <v>2</v>
      </c>
      <c r="I17" s="179">
        <f t="shared" si="0"/>
        <v>12</v>
      </c>
    </row>
    <row r="18" spans="2:10" x14ac:dyDescent="0.2">
      <c r="B18" s="178" t="s">
        <v>2853</v>
      </c>
      <c r="C18" s="7">
        <v>100</v>
      </c>
      <c r="D18" s="7">
        <v>2000</v>
      </c>
      <c r="E18" s="7" t="s">
        <v>2854</v>
      </c>
      <c r="F18" s="85">
        <v>0.8</v>
      </c>
      <c r="G18" s="7">
        <v>10</v>
      </c>
      <c r="H18" s="7">
        <v>5</v>
      </c>
      <c r="I18" s="179">
        <f t="shared" si="0"/>
        <v>40</v>
      </c>
    </row>
    <row r="19" spans="2:10" ht="13.5" thickBot="1" x14ac:dyDescent="0.25">
      <c r="B19" s="180" t="s">
        <v>2853</v>
      </c>
      <c r="C19" s="181">
        <v>40</v>
      </c>
      <c r="D19" s="181">
        <v>1000</v>
      </c>
      <c r="E19" s="181" t="s">
        <v>2854</v>
      </c>
      <c r="F19" s="182">
        <v>0.1</v>
      </c>
      <c r="G19" s="181">
        <v>20</v>
      </c>
      <c r="H19" s="181">
        <v>5</v>
      </c>
      <c r="I19" s="179">
        <f t="shared" si="0"/>
        <v>10</v>
      </c>
    </row>
    <row r="20" spans="2:10" ht="13.5" thickTop="1" x14ac:dyDescent="0.2"/>
    <row r="21" spans="2:10" x14ac:dyDescent="0.2">
      <c r="B21" t="s">
        <v>3366</v>
      </c>
    </row>
    <row r="22" spans="2:10" ht="13.5" thickBot="1" x14ac:dyDescent="0.25"/>
    <row r="23" spans="2:10" ht="13.5" thickTop="1" x14ac:dyDescent="0.2">
      <c r="E23" s="183" t="s">
        <v>2848</v>
      </c>
      <c r="F23" s="184" t="s">
        <v>710</v>
      </c>
    </row>
    <row r="24" spans="2:10" ht="13.5" thickBot="1" x14ac:dyDescent="0.25">
      <c r="D24" s="88" t="s">
        <v>2638</v>
      </c>
      <c r="E24" s="185" t="s">
        <v>2854</v>
      </c>
    </row>
    <row r="25" spans="2:10" ht="13.5" thickTop="1" x14ac:dyDescent="0.2"/>
    <row r="26" spans="2:10" x14ac:dyDescent="0.2">
      <c r="B26" s="149"/>
      <c r="C26" s="149"/>
      <c r="D26" s="186" t="str">
        <f>"The stock value of "&amp;E24&amp;" is : "</f>
        <v xml:space="preserve">The stock value of Horizon is : </v>
      </c>
      <c r="E26" s="187">
        <f>DSUM(B3:I19,I3,E23:E24)</f>
        <v>248</v>
      </c>
      <c r="F26" s="13" t="s">
        <v>3367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3368</v>
      </c>
    </row>
    <row r="31" spans="2:10" ht="13.5" thickBot="1" x14ac:dyDescent="0.25">
      <c r="B31" s="2" t="s">
        <v>998</v>
      </c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s="61" t="s">
        <v>3369</v>
      </c>
    </row>
    <row r="33" spans="2:10" ht="18" customHeight="1" x14ac:dyDescent="0.2">
      <c r="B33" t="s">
        <v>711</v>
      </c>
    </row>
    <row r="34" spans="2:10" x14ac:dyDescent="0.2">
      <c r="B34" t="s">
        <v>2643</v>
      </c>
    </row>
    <row r="35" spans="2:10" ht="18" customHeight="1" x14ac:dyDescent="0.2">
      <c r="B35" t="s">
        <v>2920</v>
      </c>
    </row>
    <row r="36" spans="2:10" ht="18" customHeight="1" x14ac:dyDescent="0.2">
      <c r="B36" t="s">
        <v>713</v>
      </c>
    </row>
    <row r="37" spans="2:10" x14ac:dyDescent="0.2">
      <c r="B37" t="s">
        <v>2644</v>
      </c>
    </row>
    <row r="38" spans="2:10" x14ac:dyDescent="0.2">
      <c r="B38" t="s">
        <v>2645</v>
      </c>
    </row>
    <row r="39" spans="2:10" ht="18" customHeight="1" x14ac:dyDescent="0.2">
      <c r="B39" t="s">
        <v>2646</v>
      </c>
    </row>
    <row r="40" spans="2:10" x14ac:dyDescent="0.2">
      <c r="B40" t="s">
        <v>2647</v>
      </c>
    </row>
    <row r="42" spans="2:10" ht="13.5" thickBot="1" x14ac:dyDescent="0.25">
      <c r="B42" s="2" t="s">
        <v>3355</v>
      </c>
      <c r="C42" s="2"/>
      <c r="D42" s="2"/>
      <c r="E42" s="2"/>
      <c r="F42" s="2"/>
      <c r="G42" s="2"/>
      <c r="H42" s="2"/>
      <c r="I42" s="2"/>
      <c r="J42" s="2"/>
    </row>
    <row r="43" spans="2:10" x14ac:dyDescent="0.2">
      <c r="B43" t="s">
        <v>2424</v>
      </c>
    </row>
    <row r="45" spans="2:10" ht="13.5" thickBot="1" x14ac:dyDescent="0.25">
      <c r="B45" s="2" t="s">
        <v>2648</v>
      </c>
      <c r="C45" s="2"/>
      <c r="D45" s="2"/>
      <c r="E45" s="2"/>
      <c r="F45" s="2"/>
      <c r="G45" s="2"/>
      <c r="H45" s="2"/>
      <c r="I45" s="2"/>
      <c r="J45" s="2"/>
    </row>
    <row r="47" spans="2:10" x14ac:dyDescent="0.2">
      <c r="B47" s="188" t="s">
        <v>3370</v>
      </c>
    </row>
    <row r="48" spans="2:10" ht="13.5" thickBot="1" x14ac:dyDescent="0.25"/>
    <row r="49" spans="2:10" ht="13.5" thickTop="1" x14ac:dyDescent="0.2">
      <c r="E49" s="189" t="s">
        <v>2845</v>
      </c>
      <c r="F49" s="190" t="s">
        <v>2848</v>
      </c>
    </row>
    <row r="50" spans="2:10" ht="13.5" thickBot="1" x14ac:dyDescent="0.25">
      <c r="E50" s="191" t="s">
        <v>2853</v>
      </c>
      <c r="F50" s="192" t="s">
        <v>2639</v>
      </c>
    </row>
    <row r="51" spans="2:10" ht="13.5" thickTop="1" x14ac:dyDescent="0.2"/>
    <row r="52" spans="2:10" x14ac:dyDescent="0.2">
      <c r="D52" s="88" t="s">
        <v>3371</v>
      </c>
      <c r="E52" s="187">
        <f>DSUM(B3:I19,I3,E49:F50)</f>
        <v>54.5</v>
      </c>
      <c r="F52" s="13" t="s">
        <v>3372</v>
      </c>
    </row>
    <row r="54" spans="2:10" x14ac:dyDescent="0.2">
      <c r="B54" t="s">
        <v>3334</v>
      </c>
    </row>
    <row r="56" spans="2:10" x14ac:dyDescent="0.2">
      <c r="E56" s="187">
        <f>DSUM(B3:I19,"Value Of Stock",E49:F50)</f>
        <v>54.5</v>
      </c>
      <c r="F56" s="13" t="s">
        <v>3373</v>
      </c>
    </row>
    <row r="58" spans="2:10" ht="18" customHeight="1" x14ac:dyDescent="0.2">
      <c r="B58" s="193" t="s">
        <v>3374</v>
      </c>
      <c r="C58" s="194"/>
      <c r="D58" s="194"/>
      <c r="E58" s="194"/>
      <c r="F58" s="194"/>
      <c r="G58" s="194"/>
      <c r="H58" s="194"/>
      <c r="I58" s="194"/>
      <c r="J58" s="194"/>
    </row>
    <row r="59" spans="2:10" ht="13.5" thickBot="1" x14ac:dyDescent="0.25"/>
    <row r="60" spans="2:10" ht="13.5" thickTop="1" x14ac:dyDescent="0.2">
      <c r="E60" s="189" t="s">
        <v>2845</v>
      </c>
      <c r="F60" s="190" t="s">
        <v>2846</v>
      </c>
    </row>
    <row r="61" spans="2:10" ht="13.5" thickBot="1" x14ac:dyDescent="0.25">
      <c r="E61" s="191" t="s">
        <v>2853</v>
      </c>
      <c r="F61" s="192">
        <v>100</v>
      </c>
    </row>
    <row r="62" spans="2:10" ht="13.5" thickTop="1" x14ac:dyDescent="0.2"/>
    <row r="63" spans="2:10" x14ac:dyDescent="0.2">
      <c r="D63" s="88" t="s">
        <v>3375</v>
      </c>
      <c r="E63" s="187">
        <f>DSUM(B3:I19,"Value Of Stock",E60:F61)</f>
        <v>52.5</v>
      </c>
      <c r="F63" s="13" t="s">
        <v>3376</v>
      </c>
    </row>
    <row r="65" spans="2:10" x14ac:dyDescent="0.2">
      <c r="B65" s="193" t="s">
        <v>2918</v>
      </c>
      <c r="C65" s="194"/>
      <c r="D65" s="194"/>
      <c r="E65" s="194"/>
      <c r="F65" s="194"/>
      <c r="G65" s="194"/>
      <c r="H65" s="194"/>
      <c r="I65" s="194"/>
      <c r="J65" s="194"/>
    </row>
    <row r="66" spans="2:10" ht="13.5" thickBot="1" x14ac:dyDescent="0.25"/>
    <row r="67" spans="2:10" ht="13.5" thickTop="1" x14ac:dyDescent="0.2">
      <c r="E67" s="189" t="s">
        <v>2845</v>
      </c>
      <c r="F67" s="190" t="s">
        <v>2846</v>
      </c>
    </row>
    <row r="68" spans="2:10" ht="13.5" thickBot="1" x14ac:dyDescent="0.25">
      <c r="E68" s="191" t="s">
        <v>2853</v>
      </c>
      <c r="F68" s="192" t="s">
        <v>2656</v>
      </c>
    </row>
    <row r="69" spans="2:10" ht="13.5" thickTop="1" x14ac:dyDescent="0.2"/>
    <row r="70" spans="2:10" x14ac:dyDescent="0.2">
      <c r="D70" s="88" t="s">
        <v>3375</v>
      </c>
      <c r="E70" s="187">
        <f>DSUM(B3:I19,"Value Of Stock",E67:F68)</f>
        <v>56</v>
      </c>
      <c r="F70" s="13" t="s">
        <v>2919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J23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4.140625" customWidth="1"/>
    <col min="3" max="3" width="10.85546875" customWidth="1"/>
    <col min="4" max="4" width="10.7109375" customWidth="1"/>
  </cols>
  <sheetData>
    <row r="1" spans="1:10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ht="25.5" x14ac:dyDescent="0.2">
      <c r="B3" s="241"/>
      <c r="C3" s="57" t="s">
        <v>2255</v>
      </c>
      <c r="D3" s="57" t="s">
        <v>2256</v>
      </c>
      <c r="E3" s="241"/>
    </row>
    <row r="4" spans="1:10" x14ac:dyDescent="0.2">
      <c r="C4" s="7">
        <v>10</v>
      </c>
      <c r="D4" s="8" t="str">
        <f>DOLLAR(C4)</f>
        <v>$10.00</v>
      </c>
      <c r="E4" s="13" t="s">
        <v>2257</v>
      </c>
    </row>
    <row r="5" spans="1:10" x14ac:dyDescent="0.2">
      <c r="C5" s="7">
        <v>10</v>
      </c>
      <c r="D5" s="8" t="str">
        <f>DOLLAR(C5,0)</f>
        <v>$10</v>
      </c>
      <c r="E5" s="13" t="s">
        <v>2258</v>
      </c>
    </row>
    <row r="6" spans="1:10" x14ac:dyDescent="0.2">
      <c r="C6" s="7">
        <v>10</v>
      </c>
      <c r="D6" s="8" t="str">
        <f>DOLLAR(C6,1)</f>
        <v>$10.0</v>
      </c>
      <c r="E6" s="13" t="s">
        <v>2259</v>
      </c>
    </row>
    <row r="7" spans="1:10" x14ac:dyDescent="0.2">
      <c r="C7" s="7">
        <v>10</v>
      </c>
      <c r="D7" s="8" t="str">
        <f>DOLLAR(C7,2)</f>
        <v>$10.00</v>
      </c>
      <c r="E7" s="13" t="s">
        <v>2260</v>
      </c>
    </row>
    <row r="8" spans="1:10" x14ac:dyDescent="0.2">
      <c r="C8" s="7">
        <v>10.25</v>
      </c>
      <c r="D8" s="8" t="str">
        <f>DOLLAR(C8)</f>
        <v>$10.25</v>
      </c>
      <c r="E8" s="13" t="s">
        <v>2261</v>
      </c>
    </row>
    <row r="9" spans="1:10" x14ac:dyDescent="0.2">
      <c r="C9" s="7">
        <v>10.25</v>
      </c>
      <c r="D9" s="8" t="str">
        <f>DOLLAR(C9,0)</f>
        <v>$10</v>
      </c>
      <c r="E9" s="13" t="s">
        <v>2262</v>
      </c>
    </row>
    <row r="10" spans="1:10" x14ac:dyDescent="0.2">
      <c r="C10" s="7">
        <v>10.25</v>
      </c>
      <c r="D10" s="8" t="str">
        <f>DOLLAR(C10,1)</f>
        <v>$10.3</v>
      </c>
      <c r="E10" s="13" t="s">
        <v>2263</v>
      </c>
    </row>
    <row r="11" spans="1:10" x14ac:dyDescent="0.2">
      <c r="C11" s="7">
        <v>10.25</v>
      </c>
      <c r="D11" s="8" t="str">
        <f>DOLLAR(C11,2)</f>
        <v>$10.25</v>
      </c>
      <c r="E11" s="13" t="s">
        <v>2264</v>
      </c>
    </row>
    <row r="13" spans="1:10" ht="13.5" thickBot="1" x14ac:dyDescent="0.25">
      <c r="B13" s="2" t="s">
        <v>3118</v>
      </c>
      <c r="C13" s="2"/>
      <c r="D13" s="2"/>
      <c r="E13" s="2"/>
      <c r="F13" s="2"/>
      <c r="G13" s="2"/>
      <c r="H13" s="2"/>
      <c r="I13" s="2"/>
    </row>
    <row r="14" spans="1:10" x14ac:dyDescent="0.2">
      <c r="B14" t="s">
        <v>2265</v>
      </c>
    </row>
    <row r="16" spans="1:10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</row>
    <row r="17" spans="2:9" x14ac:dyDescent="0.2">
      <c r="B17" t="s">
        <v>2266</v>
      </c>
    </row>
    <row r="18" spans="2:9" x14ac:dyDescent="0.2">
      <c r="B18" t="s">
        <v>2267</v>
      </c>
    </row>
    <row r="19" spans="2:9" x14ac:dyDescent="0.2">
      <c r="B19" t="s">
        <v>3364</v>
      </c>
    </row>
    <row r="21" spans="2:9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</row>
    <row r="22" spans="2:9" x14ac:dyDescent="0.2">
      <c r="B22" t="s">
        <v>2424</v>
      </c>
    </row>
    <row r="23" spans="2:9" x14ac:dyDescent="0.2">
      <c r="B23" t="s">
        <v>3365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K70"/>
  <sheetViews>
    <sheetView showGridLines="0" workbookViewId="0">
      <pane ySplit="1" topLeftCell="A2" activePane="bottomLeft" state="frozen"/>
      <selection activeCell="A3" sqref="A3"/>
      <selection pane="bottomLeft" activeCell="K15" sqref="K15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2" spans="1:11" ht="13.5" thickBot="1" x14ac:dyDescent="0.25">
      <c r="A2" s="149"/>
      <c r="B2" s="149"/>
      <c r="C2" s="149"/>
      <c r="D2" s="149"/>
      <c r="E2" s="149"/>
      <c r="F2" s="149"/>
      <c r="G2" s="149"/>
      <c r="H2" s="149"/>
      <c r="I2" s="220" t="s">
        <v>2658</v>
      </c>
    </row>
    <row r="3" spans="1:11" ht="26.25" thickTop="1" x14ac:dyDescent="0.2">
      <c r="A3" s="149"/>
      <c r="B3" s="175" t="s">
        <v>2845</v>
      </c>
      <c r="C3" s="176" t="s">
        <v>2846</v>
      </c>
      <c r="D3" s="176" t="s">
        <v>2847</v>
      </c>
      <c r="E3" s="176" t="s">
        <v>2848</v>
      </c>
      <c r="F3" s="176" t="s">
        <v>2849</v>
      </c>
      <c r="G3" s="176" t="s">
        <v>2850</v>
      </c>
      <c r="H3" s="176" t="s">
        <v>2851</v>
      </c>
      <c r="I3" s="177" t="s">
        <v>2852</v>
      </c>
    </row>
    <row r="4" spans="1:11" x14ac:dyDescent="0.2">
      <c r="B4" s="178" t="s">
        <v>2853</v>
      </c>
      <c r="C4" s="7">
        <v>200</v>
      </c>
      <c r="D4" s="7">
        <v>3000</v>
      </c>
      <c r="E4" s="7" t="s">
        <v>2854</v>
      </c>
      <c r="F4" s="85">
        <v>4.5</v>
      </c>
      <c r="G4" s="7">
        <v>4</v>
      </c>
      <c r="H4" s="7">
        <v>3</v>
      </c>
      <c r="I4" s="179">
        <f t="shared" ref="I4:I19" si="0">F4*G4*H4</f>
        <v>54</v>
      </c>
    </row>
    <row r="5" spans="1:11" x14ac:dyDescent="0.2">
      <c r="B5" s="178" t="s">
        <v>2855</v>
      </c>
      <c r="C5" s="7">
        <v>100</v>
      </c>
      <c r="D5" s="7">
        <v>2000</v>
      </c>
      <c r="E5" s="7" t="s">
        <v>2854</v>
      </c>
      <c r="F5" s="85">
        <v>2</v>
      </c>
      <c r="G5" s="7">
        <v>15</v>
      </c>
      <c r="H5" s="7">
        <v>2</v>
      </c>
      <c r="I5" s="179">
        <f t="shared" si="0"/>
        <v>60</v>
      </c>
    </row>
    <row r="6" spans="1:11" x14ac:dyDescent="0.2">
      <c r="B6" s="178" t="s">
        <v>2856</v>
      </c>
      <c r="C6" s="7">
        <v>60</v>
      </c>
      <c r="D6" s="7"/>
      <c r="E6" s="7"/>
      <c r="F6" s="85"/>
      <c r="G6" s="7"/>
      <c r="H6" s="7"/>
      <c r="I6" s="179">
        <f t="shared" si="0"/>
        <v>0</v>
      </c>
    </row>
    <row r="7" spans="1:11" x14ac:dyDescent="0.2">
      <c r="B7" s="178" t="s">
        <v>2857</v>
      </c>
      <c r="C7" s="7">
        <v>10</v>
      </c>
      <c r="D7" s="7">
        <v>8000</v>
      </c>
      <c r="E7" s="7" t="s">
        <v>2858</v>
      </c>
      <c r="F7" s="85">
        <v>0.8</v>
      </c>
      <c r="G7" s="7">
        <v>25</v>
      </c>
      <c r="H7" s="7">
        <v>6</v>
      </c>
      <c r="I7" s="179">
        <f t="shared" si="0"/>
        <v>120</v>
      </c>
    </row>
    <row r="8" spans="1:11" x14ac:dyDescent="0.2">
      <c r="B8" s="178" t="s">
        <v>2853</v>
      </c>
      <c r="C8" s="7">
        <v>80</v>
      </c>
      <c r="D8" s="7">
        <v>1000</v>
      </c>
      <c r="E8" s="7" t="s">
        <v>2854</v>
      </c>
      <c r="F8" s="85">
        <v>0.2</v>
      </c>
      <c r="G8" s="7">
        <v>40</v>
      </c>
      <c r="H8" s="7">
        <v>3</v>
      </c>
      <c r="I8" s="179">
        <f t="shared" si="0"/>
        <v>24</v>
      </c>
    </row>
    <row r="9" spans="1:11" x14ac:dyDescent="0.2">
      <c r="B9" s="178" t="s">
        <v>2856</v>
      </c>
      <c r="C9" s="7">
        <v>100</v>
      </c>
      <c r="D9" s="7" t="s">
        <v>2859</v>
      </c>
      <c r="E9" s="7" t="s">
        <v>2854</v>
      </c>
      <c r="F9" s="85">
        <v>1.25</v>
      </c>
      <c r="G9" s="7">
        <v>10</v>
      </c>
      <c r="H9" s="7">
        <v>4</v>
      </c>
      <c r="I9" s="179">
        <f t="shared" si="0"/>
        <v>50</v>
      </c>
    </row>
    <row r="10" spans="1:11" x14ac:dyDescent="0.2">
      <c r="B10" s="178" t="s">
        <v>2856</v>
      </c>
      <c r="C10" s="7">
        <v>200</v>
      </c>
      <c r="D10" s="7">
        <v>3000</v>
      </c>
      <c r="E10" s="7" t="s">
        <v>2854</v>
      </c>
      <c r="F10" s="85">
        <v>2.5</v>
      </c>
      <c r="G10" s="7">
        <v>15</v>
      </c>
      <c r="H10" s="7">
        <v>1</v>
      </c>
      <c r="I10" s="179">
        <f t="shared" si="0"/>
        <v>37.5</v>
      </c>
    </row>
    <row r="11" spans="1:11" x14ac:dyDescent="0.2">
      <c r="B11" s="178" t="s">
        <v>2857</v>
      </c>
      <c r="C11" s="7">
        <v>25</v>
      </c>
      <c r="D11" s="7" t="s">
        <v>2859</v>
      </c>
      <c r="E11" s="7" t="s">
        <v>2858</v>
      </c>
      <c r="F11" s="85">
        <v>0.5</v>
      </c>
      <c r="G11" s="7">
        <v>10</v>
      </c>
      <c r="H11" s="7">
        <v>3</v>
      </c>
      <c r="I11" s="179">
        <f t="shared" si="0"/>
        <v>15</v>
      </c>
    </row>
    <row r="12" spans="1:11" x14ac:dyDescent="0.2">
      <c r="B12" s="178" t="s">
        <v>2853</v>
      </c>
      <c r="C12" s="7">
        <v>200</v>
      </c>
      <c r="D12" s="7">
        <v>3000</v>
      </c>
      <c r="E12" s="7" t="s">
        <v>2858</v>
      </c>
      <c r="F12" s="85">
        <v>5</v>
      </c>
      <c r="G12" s="7">
        <v>3</v>
      </c>
      <c r="H12" s="7">
        <v>2</v>
      </c>
      <c r="I12" s="179">
        <f t="shared" si="0"/>
        <v>30</v>
      </c>
    </row>
    <row r="13" spans="1:11" x14ac:dyDescent="0.2">
      <c r="B13" s="178" t="s">
        <v>2855</v>
      </c>
      <c r="C13" s="7">
        <v>100</v>
      </c>
      <c r="D13" s="7">
        <v>2000</v>
      </c>
      <c r="E13" s="7" t="s">
        <v>2858</v>
      </c>
      <c r="F13" s="85">
        <v>1.8</v>
      </c>
      <c r="G13" s="7">
        <v>20</v>
      </c>
      <c r="H13" s="7">
        <v>5</v>
      </c>
      <c r="I13" s="179">
        <f t="shared" si="0"/>
        <v>180</v>
      </c>
    </row>
    <row r="14" spans="1:11" x14ac:dyDescent="0.2">
      <c r="B14" s="178" t="s">
        <v>2853</v>
      </c>
      <c r="C14" s="7">
        <v>100</v>
      </c>
      <c r="D14" s="7" t="s">
        <v>2859</v>
      </c>
      <c r="E14" s="7" t="s">
        <v>2858</v>
      </c>
      <c r="F14" s="85">
        <v>0.25</v>
      </c>
      <c r="G14" s="7">
        <v>10</v>
      </c>
      <c r="H14" s="7">
        <v>5</v>
      </c>
      <c r="I14" s="179">
        <f t="shared" si="0"/>
        <v>12.5</v>
      </c>
    </row>
    <row r="15" spans="1:11" x14ac:dyDescent="0.2">
      <c r="B15" s="178" t="s">
        <v>2853</v>
      </c>
      <c r="C15" s="7">
        <v>10</v>
      </c>
      <c r="D15" s="7">
        <v>800</v>
      </c>
      <c r="E15" s="7" t="s">
        <v>2854</v>
      </c>
      <c r="F15" s="85">
        <v>0.2</v>
      </c>
      <c r="G15" s="7">
        <v>25</v>
      </c>
      <c r="H15" s="7">
        <v>2</v>
      </c>
      <c r="I15" s="179">
        <f t="shared" si="0"/>
        <v>10</v>
      </c>
    </row>
    <row r="16" spans="1:11" x14ac:dyDescent="0.2">
      <c r="B16" s="178" t="s">
        <v>2853</v>
      </c>
      <c r="C16" s="7">
        <v>60</v>
      </c>
      <c r="D16" s="7">
        <v>1000</v>
      </c>
      <c r="E16" s="7" t="s">
        <v>2858</v>
      </c>
      <c r="F16" s="85">
        <v>0.15</v>
      </c>
      <c r="G16" s="7">
        <v>25</v>
      </c>
      <c r="H16" s="7">
        <v>1</v>
      </c>
      <c r="I16" s="179">
        <f t="shared" si="0"/>
        <v>3.75</v>
      </c>
    </row>
    <row r="17" spans="2:10" x14ac:dyDescent="0.2">
      <c r="B17" s="178" t="s">
        <v>2853</v>
      </c>
      <c r="C17" s="7">
        <v>80</v>
      </c>
      <c r="D17" s="7">
        <v>1000</v>
      </c>
      <c r="E17" s="7" t="s">
        <v>2858</v>
      </c>
      <c r="F17" s="85">
        <v>0.2</v>
      </c>
      <c r="G17" s="7">
        <v>30</v>
      </c>
      <c r="H17" s="7">
        <v>2</v>
      </c>
      <c r="I17" s="179">
        <f t="shared" si="0"/>
        <v>12</v>
      </c>
    </row>
    <row r="18" spans="2:10" x14ac:dyDescent="0.2">
      <c r="B18" s="178" t="s">
        <v>2853</v>
      </c>
      <c r="C18" s="7">
        <v>100</v>
      </c>
      <c r="D18" s="7">
        <v>2000</v>
      </c>
      <c r="E18" s="7" t="s">
        <v>2854</v>
      </c>
      <c r="F18" s="85">
        <v>0.8</v>
      </c>
      <c r="G18" s="7">
        <v>10</v>
      </c>
      <c r="H18" s="7">
        <v>5</v>
      </c>
      <c r="I18" s="179">
        <f t="shared" si="0"/>
        <v>40</v>
      </c>
    </row>
    <row r="19" spans="2:10" ht="13.5" thickBot="1" x14ac:dyDescent="0.25">
      <c r="B19" s="180" t="s">
        <v>2853</v>
      </c>
      <c r="C19" s="181">
        <v>40</v>
      </c>
      <c r="D19" s="181">
        <v>1000</v>
      </c>
      <c r="E19" s="181" t="s">
        <v>2854</v>
      </c>
      <c r="F19" s="182">
        <v>0.1</v>
      </c>
      <c r="G19" s="181">
        <v>20</v>
      </c>
      <c r="H19" s="181">
        <v>5</v>
      </c>
      <c r="I19" s="179">
        <f t="shared" si="0"/>
        <v>10</v>
      </c>
    </row>
    <row r="20" spans="2:10" ht="13.5" thickTop="1" x14ac:dyDescent="0.2"/>
    <row r="21" spans="2:10" x14ac:dyDescent="0.2">
      <c r="B21" t="s">
        <v>3342</v>
      </c>
    </row>
    <row r="22" spans="2:10" ht="13.5" thickBot="1" x14ac:dyDescent="0.25"/>
    <row r="23" spans="2:10" ht="13.5" thickTop="1" x14ac:dyDescent="0.2">
      <c r="E23" s="183" t="s">
        <v>2848</v>
      </c>
      <c r="F23" s="184" t="s">
        <v>710</v>
      </c>
    </row>
    <row r="24" spans="2:10" ht="13.5" thickBot="1" x14ac:dyDescent="0.25">
      <c r="D24" s="88" t="s">
        <v>2638</v>
      </c>
      <c r="E24" s="185" t="s">
        <v>2854</v>
      </c>
    </row>
    <row r="25" spans="2:10" ht="13.5" thickTop="1" x14ac:dyDescent="0.2"/>
    <row r="26" spans="2:10" x14ac:dyDescent="0.2">
      <c r="B26" s="149"/>
      <c r="C26" s="149"/>
      <c r="D26" s="186" t="str">
        <f>"The MIN value of "&amp;E24&amp;" is : "</f>
        <v xml:space="preserve">The MIN value of Horizon is : </v>
      </c>
      <c r="E26" s="187">
        <f>DMIN(B3:I19,I3,E23:E24)</f>
        <v>10</v>
      </c>
      <c r="F26" s="13" t="s">
        <v>3343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3344</v>
      </c>
    </row>
    <row r="31" spans="2:10" ht="13.5" thickBot="1" x14ac:dyDescent="0.25">
      <c r="B31" s="2" t="s">
        <v>998</v>
      </c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s="61" t="s">
        <v>3345</v>
      </c>
    </row>
    <row r="33" spans="2:10" ht="18" customHeight="1" x14ac:dyDescent="0.2">
      <c r="B33" t="s">
        <v>711</v>
      </c>
    </row>
    <row r="34" spans="2:10" x14ac:dyDescent="0.2">
      <c r="B34" t="s">
        <v>2643</v>
      </c>
    </row>
    <row r="35" spans="2:10" ht="18" customHeight="1" x14ac:dyDescent="0.2">
      <c r="B35" t="s">
        <v>2254</v>
      </c>
    </row>
    <row r="36" spans="2:10" ht="18" customHeight="1" x14ac:dyDescent="0.2">
      <c r="B36" t="s">
        <v>713</v>
      </c>
    </row>
    <row r="37" spans="2:10" x14ac:dyDescent="0.2">
      <c r="B37" t="s">
        <v>2644</v>
      </c>
    </row>
    <row r="38" spans="2:10" x14ac:dyDescent="0.2">
      <c r="B38" t="s">
        <v>2645</v>
      </c>
    </row>
    <row r="39" spans="2:10" ht="18" customHeight="1" x14ac:dyDescent="0.2">
      <c r="B39" t="s">
        <v>2646</v>
      </c>
    </row>
    <row r="40" spans="2:10" x14ac:dyDescent="0.2">
      <c r="B40" t="s">
        <v>2647</v>
      </c>
    </row>
    <row r="42" spans="2:10" ht="13.5" thickBot="1" x14ac:dyDescent="0.25">
      <c r="B42" s="2" t="s">
        <v>3355</v>
      </c>
      <c r="C42" s="2"/>
      <c r="D42" s="2"/>
      <c r="E42" s="2"/>
      <c r="F42" s="2"/>
      <c r="G42" s="2"/>
      <c r="H42" s="2"/>
      <c r="I42" s="2"/>
      <c r="J42" s="2"/>
    </row>
    <row r="43" spans="2:10" x14ac:dyDescent="0.2">
      <c r="B43" t="s">
        <v>2424</v>
      </c>
    </row>
    <row r="45" spans="2:10" ht="13.5" thickBot="1" x14ac:dyDescent="0.25">
      <c r="B45" s="2" t="s">
        <v>2648</v>
      </c>
      <c r="C45" s="2"/>
      <c r="D45" s="2"/>
      <c r="E45" s="2"/>
      <c r="F45" s="2"/>
      <c r="G45" s="2"/>
      <c r="H45" s="2"/>
      <c r="I45" s="2"/>
      <c r="J45" s="2"/>
    </row>
    <row r="47" spans="2:10" x14ac:dyDescent="0.2">
      <c r="B47" s="188" t="s">
        <v>3346</v>
      </c>
    </row>
    <row r="48" spans="2:10" ht="13.5" thickBot="1" x14ac:dyDescent="0.25"/>
    <row r="49" spans="2:10" ht="13.5" thickTop="1" x14ac:dyDescent="0.2">
      <c r="E49" s="189" t="s">
        <v>2845</v>
      </c>
      <c r="F49" s="190" t="s">
        <v>2848</v>
      </c>
    </row>
    <row r="50" spans="2:10" ht="13.5" thickBot="1" x14ac:dyDescent="0.25">
      <c r="E50" s="191" t="s">
        <v>2853</v>
      </c>
      <c r="F50" s="192" t="s">
        <v>2639</v>
      </c>
    </row>
    <row r="51" spans="2:10" ht="13.5" thickTop="1" x14ac:dyDescent="0.2"/>
    <row r="52" spans="2:10" x14ac:dyDescent="0.2">
      <c r="D52" s="88" t="s">
        <v>3347</v>
      </c>
      <c r="E52" s="187">
        <f>DMIN(B3:I19,I3,E49:F50)</f>
        <v>3.75</v>
      </c>
      <c r="F52" s="13" t="s">
        <v>3348</v>
      </c>
    </row>
    <row r="54" spans="2:10" x14ac:dyDescent="0.2">
      <c r="B54" t="s">
        <v>3334</v>
      </c>
    </row>
    <row r="56" spans="2:10" x14ac:dyDescent="0.2">
      <c r="E56" s="187">
        <f>DMIN(B3:I19,"Value Of Stock",E49:F50)</f>
        <v>3.75</v>
      </c>
      <c r="F56" s="13" t="s">
        <v>3349</v>
      </c>
    </row>
    <row r="58" spans="2:10" ht="18" customHeight="1" x14ac:dyDescent="0.2">
      <c r="B58" s="193" t="s">
        <v>3350</v>
      </c>
      <c r="C58" s="194"/>
      <c r="D58" s="194"/>
      <c r="E58" s="194"/>
      <c r="F58" s="194"/>
      <c r="G58" s="194"/>
      <c r="H58" s="194"/>
      <c r="I58" s="194"/>
      <c r="J58" s="194"/>
    </row>
    <row r="59" spans="2:10" ht="13.5" thickBot="1" x14ac:dyDescent="0.25"/>
    <row r="60" spans="2:10" ht="13.5" thickTop="1" x14ac:dyDescent="0.2">
      <c r="E60" s="189" t="s">
        <v>2845</v>
      </c>
      <c r="F60" s="190" t="s">
        <v>2846</v>
      </c>
    </row>
    <row r="61" spans="2:10" ht="13.5" thickBot="1" x14ac:dyDescent="0.25">
      <c r="E61" s="191" t="s">
        <v>2853</v>
      </c>
      <c r="F61" s="192">
        <v>100</v>
      </c>
    </row>
    <row r="62" spans="2:10" ht="13.5" thickTop="1" x14ac:dyDescent="0.2"/>
    <row r="63" spans="2:10" x14ac:dyDescent="0.2">
      <c r="D63" s="88" t="s">
        <v>3351</v>
      </c>
      <c r="E63" s="187">
        <f>DMIN(B3:I19,"Value Of Stock",E60:F61)</f>
        <v>12.5</v>
      </c>
      <c r="F63" s="13" t="s">
        <v>3352</v>
      </c>
    </row>
    <row r="65" spans="2:10" x14ac:dyDescent="0.2">
      <c r="B65" s="193" t="s">
        <v>3353</v>
      </c>
      <c r="C65" s="194"/>
      <c r="D65" s="194"/>
      <c r="E65" s="194"/>
      <c r="F65" s="194"/>
      <c r="G65" s="194"/>
      <c r="H65" s="194"/>
      <c r="I65" s="194"/>
      <c r="J65" s="194"/>
    </row>
    <row r="66" spans="2:10" ht="13.5" thickBot="1" x14ac:dyDescent="0.25"/>
    <row r="67" spans="2:10" ht="13.5" thickTop="1" x14ac:dyDescent="0.2">
      <c r="E67" s="189" t="s">
        <v>2845</v>
      </c>
      <c r="F67" s="223" t="s">
        <v>2846</v>
      </c>
      <c r="G67" s="190" t="s">
        <v>2846</v>
      </c>
    </row>
    <row r="68" spans="2:10" ht="13.5" thickBot="1" x14ac:dyDescent="0.25">
      <c r="E68" s="191" t="s">
        <v>2853</v>
      </c>
      <c r="F68" s="224" t="s">
        <v>3215</v>
      </c>
      <c r="G68" s="192" t="s">
        <v>3216</v>
      </c>
    </row>
    <row r="69" spans="2:10" ht="13.5" thickTop="1" x14ac:dyDescent="0.2"/>
    <row r="70" spans="2:10" x14ac:dyDescent="0.2">
      <c r="D70" s="88" t="s">
        <v>3351</v>
      </c>
      <c r="E70" s="187">
        <f>DMIN(B3:I19,"Value Of Stock",E67:G68)</f>
        <v>12</v>
      </c>
      <c r="F70" s="13" t="s">
        <v>3354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8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L70"/>
  <sheetViews>
    <sheetView showGridLines="0" workbookViewId="0">
      <pane ySplit="1" topLeftCell="A2" activePane="bottomLeft" state="frozen"/>
      <selection activeCell="A3" sqref="A3"/>
      <selection pane="bottomLeft" activeCell="J5" sqref="J5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2" ht="45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  <c r="L1" s="478"/>
    </row>
    <row r="2" spans="1:12" ht="13.5" thickBot="1" x14ac:dyDescent="0.25">
      <c r="A2" s="149"/>
      <c r="B2" s="149"/>
      <c r="C2" s="149"/>
      <c r="D2" s="149"/>
      <c r="E2" s="149"/>
      <c r="F2" s="149"/>
      <c r="G2" s="149"/>
      <c r="H2" s="149"/>
      <c r="I2" s="220" t="s">
        <v>2658</v>
      </c>
    </row>
    <row r="3" spans="1:12" ht="26.25" thickTop="1" x14ac:dyDescent="0.2">
      <c r="A3" s="149"/>
      <c r="B3" s="175" t="s">
        <v>2845</v>
      </c>
      <c r="C3" s="176" t="s">
        <v>2846</v>
      </c>
      <c r="D3" s="176" t="s">
        <v>2847</v>
      </c>
      <c r="E3" s="176" t="s">
        <v>2848</v>
      </c>
      <c r="F3" s="176" t="s">
        <v>2849</v>
      </c>
      <c r="G3" s="176" t="s">
        <v>2850</v>
      </c>
      <c r="H3" s="176" t="s">
        <v>2851</v>
      </c>
      <c r="I3" s="177" t="s">
        <v>2852</v>
      </c>
    </row>
    <row r="4" spans="1:12" x14ac:dyDescent="0.2">
      <c r="B4" s="178" t="s">
        <v>2853</v>
      </c>
      <c r="C4" s="7">
        <v>200</v>
      </c>
      <c r="D4" s="7">
        <v>3000</v>
      </c>
      <c r="E4" s="7" t="s">
        <v>2854</v>
      </c>
      <c r="F4" s="85">
        <v>4.5</v>
      </c>
      <c r="G4" s="7">
        <v>4</v>
      </c>
      <c r="H4" s="7">
        <v>3</v>
      </c>
      <c r="I4" s="179">
        <f t="shared" ref="I4:I19" si="0">F4*G4*H4</f>
        <v>54</v>
      </c>
    </row>
    <row r="5" spans="1:12" x14ac:dyDescent="0.2">
      <c r="B5" s="178" t="s">
        <v>2855</v>
      </c>
      <c r="C5" s="7">
        <v>100</v>
      </c>
      <c r="D5" s="7">
        <v>2000</v>
      </c>
      <c r="E5" s="7" t="s">
        <v>2854</v>
      </c>
      <c r="F5" s="85">
        <v>2</v>
      </c>
      <c r="G5" s="7">
        <v>15</v>
      </c>
      <c r="H5" s="7">
        <v>2</v>
      </c>
      <c r="I5" s="179">
        <f t="shared" si="0"/>
        <v>60</v>
      </c>
    </row>
    <row r="6" spans="1:12" x14ac:dyDescent="0.2">
      <c r="B6" s="178" t="s">
        <v>2856</v>
      </c>
      <c r="C6" s="7">
        <v>60</v>
      </c>
      <c r="D6" s="7"/>
      <c r="E6" s="7"/>
      <c r="F6" s="85"/>
      <c r="G6" s="7"/>
      <c r="H6" s="7"/>
      <c r="I6" s="179">
        <f t="shared" si="0"/>
        <v>0</v>
      </c>
    </row>
    <row r="7" spans="1:12" x14ac:dyDescent="0.2">
      <c r="B7" s="178" t="s">
        <v>2857</v>
      </c>
      <c r="C7" s="7">
        <v>10</v>
      </c>
      <c r="D7" s="7">
        <v>8000</v>
      </c>
      <c r="E7" s="7" t="s">
        <v>2858</v>
      </c>
      <c r="F7" s="85">
        <v>0.8</v>
      </c>
      <c r="G7" s="7">
        <v>25</v>
      </c>
      <c r="H7" s="7">
        <v>6</v>
      </c>
      <c r="I7" s="179">
        <f t="shared" si="0"/>
        <v>120</v>
      </c>
    </row>
    <row r="8" spans="1:12" x14ac:dyDescent="0.2">
      <c r="B8" s="178" t="s">
        <v>2853</v>
      </c>
      <c r="C8" s="7">
        <v>80</v>
      </c>
      <c r="D8" s="7">
        <v>1000</v>
      </c>
      <c r="E8" s="7" t="s">
        <v>2854</v>
      </c>
      <c r="F8" s="85">
        <v>0.2</v>
      </c>
      <c r="G8" s="7">
        <v>40</v>
      </c>
      <c r="H8" s="7">
        <v>3</v>
      </c>
      <c r="I8" s="179">
        <f t="shared" si="0"/>
        <v>24</v>
      </c>
    </row>
    <row r="9" spans="1:12" x14ac:dyDescent="0.2">
      <c r="B9" s="178" t="s">
        <v>2856</v>
      </c>
      <c r="C9" s="7">
        <v>100</v>
      </c>
      <c r="D9" s="7" t="s">
        <v>2859</v>
      </c>
      <c r="E9" s="7" t="s">
        <v>2854</v>
      </c>
      <c r="F9" s="85">
        <v>1.25</v>
      </c>
      <c r="G9" s="7">
        <v>10</v>
      </c>
      <c r="H9" s="7">
        <v>4</v>
      </c>
      <c r="I9" s="179">
        <f t="shared" si="0"/>
        <v>50</v>
      </c>
    </row>
    <row r="10" spans="1:12" x14ac:dyDescent="0.2">
      <c r="B10" s="178" t="s">
        <v>2856</v>
      </c>
      <c r="C10" s="7">
        <v>200</v>
      </c>
      <c r="D10" s="7">
        <v>3000</v>
      </c>
      <c r="E10" s="7" t="s">
        <v>2854</v>
      </c>
      <c r="F10" s="85">
        <v>2.5</v>
      </c>
      <c r="G10" s="7">
        <v>15</v>
      </c>
      <c r="H10" s="7">
        <v>0</v>
      </c>
      <c r="I10" s="179">
        <f t="shared" si="0"/>
        <v>0</v>
      </c>
    </row>
    <row r="11" spans="1:12" x14ac:dyDescent="0.2">
      <c r="B11" s="178" t="s">
        <v>2857</v>
      </c>
      <c r="C11" s="7">
        <v>25</v>
      </c>
      <c r="D11" s="7" t="s">
        <v>2859</v>
      </c>
      <c r="E11" s="7" t="s">
        <v>2858</v>
      </c>
      <c r="F11" s="85">
        <v>0.5</v>
      </c>
      <c r="G11" s="7">
        <v>10</v>
      </c>
      <c r="H11" s="7">
        <v>3</v>
      </c>
      <c r="I11" s="179">
        <f t="shared" si="0"/>
        <v>15</v>
      </c>
    </row>
    <row r="12" spans="1:12" x14ac:dyDescent="0.2">
      <c r="B12" s="178" t="s">
        <v>2853</v>
      </c>
      <c r="C12" s="7">
        <v>200</v>
      </c>
      <c r="D12" s="7">
        <v>3000</v>
      </c>
      <c r="E12" s="7" t="s">
        <v>2858</v>
      </c>
      <c r="F12" s="85">
        <v>5</v>
      </c>
      <c r="G12" s="7">
        <v>3</v>
      </c>
      <c r="H12" s="7">
        <v>2</v>
      </c>
      <c r="I12" s="179">
        <f t="shared" si="0"/>
        <v>30</v>
      </c>
    </row>
    <row r="13" spans="1:12" x14ac:dyDescent="0.2">
      <c r="B13" s="178" t="s">
        <v>2855</v>
      </c>
      <c r="C13" s="7">
        <v>100</v>
      </c>
      <c r="D13" s="7">
        <v>2000</v>
      </c>
      <c r="E13" s="7" t="s">
        <v>2858</v>
      </c>
      <c r="F13" s="85">
        <v>1.8</v>
      </c>
      <c r="G13" s="7">
        <v>20</v>
      </c>
      <c r="H13" s="7">
        <v>5</v>
      </c>
      <c r="I13" s="179">
        <f t="shared" si="0"/>
        <v>180</v>
      </c>
    </row>
    <row r="14" spans="1:12" x14ac:dyDescent="0.2">
      <c r="B14" s="178" t="s">
        <v>2853</v>
      </c>
      <c r="C14" s="7">
        <v>100</v>
      </c>
      <c r="D14" s="7" t="s">
        <v>2859</v>
      </c>
      <c r="E14" s="7" t="s">
        <v>2858</v>
      </c>
      <c r="F14" s="85">
        <v>0.25</v>
      </c>
      <c r="G14" s="7">
        <v>10</v>
      </c>
      <c r="H14" s="7">
        <v>5</v>
      </c>
      <c r="I14" s="179">
        <f t="shared" si="0"/>
        <v>12.5</v>
      </c>
    </row>
    <row r="15" spans="1:12" x14ac:dyDescent="0.2">
      <c r="B15" s="178" t="s">
        <v>2853</v>
      </c>
      <c r="C15" s="7">
        <v>10</v>
      </c>
      <c r="D15" s="7">
        <v>800</v>
      </c>
      <c r="E15" s="7" t="s">
        <v>2854</v>
      </c>
      <c r="F15" s="85">
        <v>0.2</v>
      </c>
      <c r="G15" s="7">
        <v>25</v>
      </c>
      <c r="H15" s="7">
        <v>2</v>
      </c>
      <c r="I15" s="179">
        <f t="shared" si="0"/>
        <v>10</v>
      </c>
    </row>
    <row r="16" spans="1:12" x14ac:dyDescent="0.2">
      <c r="B16" s="178" t="s">
        <v>2853</v>
      </c>
      <c r="C16" s="7">
        <v>60</v>
      </c>
      <c r="D16" s="7">
        <v>1000</v>
      </c>
      <c r="E16" s="7" t="s">
        <v>2858</v>
      </c>
      <c r="F16" s="85">
        <v>0.15</v>
      </c>
      <c r="G16" s="7">
        <v>25</v>
      </c>
      <c r="H16" s="7">
        <v>0</v>
      </c>
      <c r="I16" s="179">
        <f t="shared" si="0"/>
        <v>0</v>
      </c>
    </row>
    <row r="17" spans="2:10" x14ac:dyDescent="0.2">
      <c r="B17" s="178" t="s">
        <v>2853</v>
      </c>
      <c r="C17" s="7">
        <v>80</v>
      </c>
      <c r="D17" s="7">
        <v>1000</v>
      </c>
      <c r="E17" s="7" t="s">
        <v>2858</v>
      </c>
      <c r="F17" s="85">
        <v>0.2</v>
      </c>
      <c r="G17" s="7">
        <v>30</v>
      </c>
      <c r="H17" s="7">
        <v>2</v>
      </c>
      <c r="I17" s="179">
        <f t="shared" si="0"/>
        <v>12</v>
      </c>
    </row>
    <row r="18" spans="2:10" x14ac:dyDescent="0.2">
      <c r="B18" s="178" t="s">
        <v>2853</v>
      </c>
      <c r="C18" s="7">
        <v>100</v>
      </c>
      <c r="D18" s="7">
        <v>2000</v>
      </c>
      <c r="E18" s="7" t="s">
        <v>2854</v>
      </c>
      <c r="F18" s="85">
        <v>0.8</v>
      </c>
      <c r="G18" s="7">
        <v>10</v>
      </c>
      <c r="H18" s="7">
        <v>5</v>
      </c>
      <c r="I18" s="179">
        <f t="shared" si="0"/>
        <v>40</v>
      </c>
    </row>
    <row r="19" spans="2:10" ht="13.5" thickBot="1" x14ac:dyDescent="0.25">
      <c r="B19" s="180" t="s">
        <v>2853</v>
      </c>
      <c r="C19" s="181">
        <v>40</v>
      </c>
      <c r="D19" s="181">
        <v>1000</v>
      </c>
      <c r="E19" s="181" t="s">
        <v>2854</v>
      </c>
      <c r="F19" s="182">
        <v>0.1</v>
      </c>
      <c r="G19" s="181">
        <v>20</v>
      </c>
      <c r="H19" s="181">
        <v>5</v>
      </c>
      <c r="I19" s="179">
        <f t="shared" si="0"/>
        <v>10</v>
      </c>
    </row>
    <row r="20" spans="2:10" ht="13.5" thickTop="1" x14ac:dyDescent="0.2"/>
    <row r="21" spans="2:10" x14ac:dyDescent="0.2">
      <c r="B21" t="s">
        <v>3327</v>
      </c>
    </row>
    <row r="22" spans="2:10" ht="13.5" thickBot="1" x14ac:dyDescent="0.25"/>
    <row r="23" spans="2:10" ht="13.5" thickTop="1" x14ac:dyDescent="0.2">
      <c r="E23" s="183" t="s">
        <v>2848</v>
      </c>
      <c r="F23" s="184" t="s">
        <v>710</v>
      </c>
    </row>
    <row r="24" spans="2:10" ht="13.5" thickBot="1" x14ac:dyDescent="0.25">
      <c r="D24" s="88" t="s">
        <v>2638</v>
      </c>
      <c r="E24" s="185" t="s">
        <v>2854</v>
      </c>
    </row>
    <row r="25" spans="2:10" ht="13.5" thickTop="1" x14ac:dyDescent="0.2"/>
    <row r="26" spans="2:10" x14ac:dyDescent="0.2">
      <c r="B26" s="149"/>
      <c r="C26" s="149"/>
      <c r="D26" s="186" t="str">
        <f>"The MAX value of "&amp;E24&amp;" is : "</f>
        <v xml:space="preserve">The MAX value of Horizon is : </v>
      </c>
      <c r="E26" s="187">
        <f>DMAX(B3:I19,I3,E23:E24)</f>
        <v>60</v>
      </c>
      <c r="F26" s="13" t="s">
        <v>3328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3329</v>
      </c>
    </row>
    <row r="31" spans="2:10" ht="13.5" thickBot="1" x14ac:dyDescent="0.25">
      <c r="B31" s="2" t="s">
        <v>998</v>
      </c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s="61" t="s">
        <v>3330</v>
      </c>
    </row>
    <row r="33" spans="2:10" ht="18" customHeight="1" x14ac:dyDescent="0.2">
      <c r="B33" t="s">
        <v>711</v>
      </c>
    </row>
    <row r="34" spans="2:10" x14ac:dyDescent="0.2">
      <c r="B34" t="s">
        <v>2643</v>
      </c>
    </row>
    <row r="35" spans="2:10" ht="18" customHeight="1" x14ac:dyDescent="0.2">
      <c r="B35" t="s">
        <v>3341</v>
      </c>
    </row>
    <row r="36" spans="2:10" ht="18" customHeight="1" x14ac:dyDescent="0.2">
      <c r="B36" t="s">
        <v>713</v>
      </c>
    </row>
    <row r="37" spans="2:10" x14ac:dyDescent="0.2">
      <c r="B37" t="s">
        <v>2644</v>
      </c>
    </row>
    <row r="38" spans="2:10" x14ac:dyDescent="0.2">
      <c r="B38" t="s">
        <v>2645</v>
      </c>
    </row>
    <row r="39" spans="2:10" ht="18" customHeight="1" x14ac:dyDescent="0.2">
      <c r="B39" t="s">
        <v>2646</v>
      </c>
    </row>
    <row r="40" spans="2:10" x14ac:dyDescent="0.2">
      <c r="B40" t="s">
        <v>2647</v>
      </c>
    </row>
    <row r="42" spans="2:10" ht="13.5" thickBot="1" x14ac:dyDescent="0.25">
      <c r="B42" s="2" t="s">
        <v>3355</v>
      </c>
      <c r="C42" s="2"/>
      <c r="D42" s="2"/>
      <c r="E42" s="2"/>
      <c r="F42" s="2"/>
      <c r="G42" s="2"/>
      <c r="H42" s="2"/>
      <c r="I42" s="2"/>
      <c r="J42" s="2"/>
    </row>
    <row r="43" spans="2:10" x14ac:dyDescent="0.2">
      <c r="B43" t="s">
        <v>2424</v>
      </c>
    </row>
    <row r="45" spans="2:10" ht="13.5" thickBot="1" x14ac:dyDescent="0.25">
      <c r="B45" s="2" t="s">
        <v>2648</v>
      </c>
      <c r="C45" s="2"/>
      <c r="D45" s="2"/>
      <c r="E45" s="2"/>
      <c r="F45" s="2"/>
      <c r="G45" s="2"/>
      <c r="H45" s="2"/>
      <c r="I45" s="2"/>
      <c r="J45" s="2"/>
    </row>
    <row r="47" spans="2:10" x14ac:dyDescent="0.2">
      <c r="B47" s="188" t="s">
        <v>3331</v>
      </c>
    </row>
    <row r="48" spans="2:10" ht="13.5" thickBot="1" x14ac:dyDescent="0.25"/>
    <row r="49" spans="2:10" ht="13.5" thickTop="1" x14ac:dyDescent="0.2">
      <c r="E49" s="189" t="s">
        <v>2845</v>
      </c>
      <c r="F49" s="190" t="s">
        <v>2848</v>
      </c>
    </row>
    <row r="50" spans="2:10" ht="13.5" thickBot="1" x14ac:dyDescent="0.25">
      <c r="E50" s="191" t="s">
        <v>2853</v>
      </c>
      <c r="F50" s="192" t="s">
        <v>2639</v>
      </c>
    </row>
    <row r="51" spans="2:10" ht="13.5" thickTop="1" x14ac:dyDescent="0.2"/>
    <row r="52" spans="2:10" x14ac:dyDescent="0.2">
      <c r="D52" s="88" t="s">
        <v>3332</v>
      </c>
      <c r="E52" s="187">
        <f>DMAX(B3:I19,I3,E49:F50)</f>
        <v>30</v>
      </c>
      <c r="F52" s="13" t="s">
        <v>3333</v>
      </c>
    </row>
    <row r="54" spans="2:10" x14ac:dyDescent="0.2">
      <c r="B54" t="s">
        <v>3334</v>
      </c>
    </row>
    <row r="56" spans="2:10" x14ac:dyDescent="0.2">
      <c r="E56" s="187">
        <f>DMAX(B3:I19,"Value Of Stock",E49:F50)</f>
        <v>30</v>
      </c>
      <c r="F56" s="13" t="s">
        <v>3335</v>
      </c>
    </row>
    <row r="58" spans="2:10" ht="18" customHeight="1" x14ac:dyDescent="0.2">
      <c r="B58" s="193" t="s">
        <v>3336</v>
      </c>
      <c r="C58" s="194"/>
      <c r="D58" s="194"/>
      <c r="E58" s="194"/>
      <c r="F58" s="194"/>
      <c r="G58" s="194"/>
      <c r="H58" s="194"/>
      <c r="I58" s="194"/>
      <c r="J58" s="194"/>
    </row>
    <row r="59" spans="2:10" ht="13.5" thickBot="1" x14ac:dyDescent="0.25"/>
    <row r="60" spans="2:10" ht="13.5" thickTop="1" x14ac:dyDescent="0.2">
      <c r="E60" s="189" t="s">
        <v>2845</v>
      </c>
      <c r="F60" s="190" t="s">
        <v>2846</v>
      </c>
    </row>
    <row r="61" spans="2:10" ht="13.5" thickBot="1" x14ac:dyDescent="0.25">
      <c r="E61" s="191" t="s">
        <v>2853</v>
      </c>
      <c r="F61" s="192">
        <v>100</v>
      </c>
    </row>
    <row r="62" spans="2:10" ht="13.5" thickTop="1" x14ac:dyDescent="0.2"/>
    <row r="63" spans="2:10" x14ac:dyDescent="0.2">
      <c r="D63" s="88" t="s">
        <v>3337</v>
      </c>
      <c r="E63" s="187">
        <f>DMAX(B3:I19,"Value Of Stock",E60:F61)</f>
        <v>40</v>
      </c>
      <c r="F63" s="13" t="s">
        <v>3338</v>
      </c>
    </row>
    <row r="65" spans="2:10" x14ac:dyDescent="0.2">
      <c r="B65" s="193" t="s">
        <v>3339</v>
      </c>
      <c r="C65" s="194"/>
      <c r="D65" s="194"/>
      <c r="E65" s="194"/>
      <c r="F65" s="194"/>
      <c r="G65" s="194"/>
      <c r="H65" s="194"/>
      <c r="I65" s="194"/>
      <c r="J65" s="194"/>
    </row>
    <row r="66" spans="2:10" ht="13.5" thickBot="1" x14ac:dyDescent="0.25"/>
    <row r="67" spans="2:10" ht="13.5" thickTop="1" x14ac:dyDescent="0.2">
      <c r="E67" s="189" t="s">
        <v>2845</v>
      </c>
      <c r="F67" s="190" t="s">
        <v>2846</v>
      </c>
    </row>
    <row r="68" spans="2:10" ht="13.5" thickBot="1" x14ac:dyDescent="0.25">
      <c r="E68" s="191" t="s">
        <v>2853</v>
      </c>
      <c r="F68" s="192" t="s">
        <v>2656</v>
      </c>
    </row>
    <row r="69" spans="2:10" ht="13.5" thickTop="1" x14ac:dyDescent="0.2"/>
    <row r="70" spans="2:10" x14ac:dyDescent="0.2">
      <c r="D70" s="88" t="s">
        <v>3337</v>
      </c>
      <c r="E70" s="187">
        <f>DMAX(B3:I19,"Value Of Stock",E67:F68)</f>
        <v>24</v>
      </c>
      <c r="F70" s="13" t="s">
        <v>3340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87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K91"/>
  <sheetViews>
    <sheetView showGridLines="0" workbookViewId="0">
      <pane ySplit="1" topLeftCell="A2" activePane="bottomLeft" state="frozen"/>
      <selection activeCell="A3" sqref="A3"/>
      <selection pane="bottomLeft" activeCell="F14" sqref="F14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8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2" spans="1:11" ht="13.5" thickBot="1" x14ac:dyDescent="0.25">
      <c r="A2" s="149"/>
      <c r="B2" s="149"/>
      <c r="C2" s="149"/>
      <c r="D2" s="149"/>
      <c r="E2" s="149"/>
      <c r="F2" s="149"/>
      <c r="G2" s="149"/>
      <c r="H2" s="149"/>
      <c r="I2" s="220" t="s">
        <v>2658</v>
      </c>
    </row>
    <row r="3" spans="1:11" ht="26.25" thickTop="1" x14ac:dyDescent="0.2">
      <c r="A3" s="149"/>
      <c r="B3" s="175" t="s">
        <v>2845</v>
      </c>
      <c r="C3" s="176" t="s">
        <v>2846</v>
      </c>
      <c r="D3" s="176" t="s">
        <v>2847</v>
      </c>
      <c r="E3" s="176" t="s">
        <v>2848</v>
      </c>
      <c r="F3" s="176" t="s">
        <v>2849</v>
      </c>
      <c r="G3" s="176" t="s">
        <v>2850</v>
      </c>
      <c r="H3" s="176" t="s">
        <v>2851</v>
      </c>
      <c r="I3" s="177" t="s">
        <v>2852</v>
      </c>
    </row>
    <row r="4" spans="1:11" x14ac:dyDescent="0.2">
      <c r="B4" s="178" t="s">
        <v>2853</v>
      </c>
      <c r="C4" s="7">
        <v>200</v>
      </c>
      <c r="D4" s="7">
        <v>3000</v>
      </c>
      <c r="E4" s="7" t="s">
        <v>2854</v>
      </c>
      <c r="F4" s="85">
        <v>4.5</v>
      </c>
      <c r="G4" s="7">
        <v>4</v>
      </c>
      <c r="H4" s="7">
        <v>3</v>
      </c>
      <c r="I4" s="179">
        <f t="shared" ref="I4:I19" si="0">F4*G4*H4</f>
        <v>54</v>
      </c>
    </row>
    <row r="5" spans="1:11" x14ac:dyDescent="0.2">
      <c r="B5" s="178" t="s">
        <v>2855</v>
      </c>
      <c r="C5" s="7">
        <v>100</v>
      </c>
      <c r="D5" s="7">
        <v>2000</v>
      </c>
      <c r="E5" s="7" t="s">
        <v>2854</v>
      </c>
      <c r="F5" s="85">
        <v>2</v>
      </c>
      <c r="G5" s="7">
        <v>15</v>
      </c>
      <c r="H5" s="7">
        <v>2</v>
      </c>
      <c r="I5" s="179">
        <f t="shared" si="0"/>
        <v>60</v>
      </c>
    </row>
    <row r="6" spans="1:11" x14ac:dyDescent="0.2">
      <c r="B6" s="178" t="s">
        <v>2856</v>
      </c>
      <c r="C6" s="7">
        <v>60</v>
      </c>
      <c r="D6" s="7"/>
      <c r="E6" s="7"/>
      <c r="F6" s="85"/>
      <c r="G6" s="7"/>
      <c r="H6" s="7"/>
      <c r="I6" s="179">
        <f t="shared" si="0"/>
        <v>0</v>
      </c>
    </row>
    <row r="7" spans="1:11" x14ac:dyDescent="0.2">
      <c r="B7" s="178" t="s">
        <v>2857</v>
      </c>
      <c r="C7" s="7">
        <v>10</v>
      </c>
      <c r="D7" s="7">
        <v>8000</v>
      </c>
      <c r="E7" s="7" t="s">
        <v>2858</v>
      </c>
      <c r="F7" s="85">
        <v>0.8</v>
      </c>
      <c r="G7" s="7">
        <v>25</v>
      </c>
      <c r="H7" s="7">
        <v>6</v>
      </c>
      <c r="I7" s="179">
        <f t="shared" si="0"/>
        <v>120</v>
      </c>
    </row>
    <row r="8" spans="1:11" x14ac:dyDescent="0.2">
      <c r="B8" s="178" t="s">
        <v>2853</v>
      </c>
      <c r="C8" s="7">
        <v>80</v>
      </c>
      <c r="D8" s="7">
        <v>1000</v>
      </c>
      <c r="E8" s="7" t="s">
        <v>2854</v>
      </c>
      <c r="F8" s="85">
        <v>0.2</v>
      </c>
      <c r="G8" s="7">
        <v>40</v>
      </c>
      <c r="H8" s="7">
        <v>3</v>
      </c>
      <c r="I8" s="179">
        <f t="shared" si="0"/>
        <v>24</v>
      </c>
    </row>
    <row r="9" spans="1:11" x14ac:dyDescent="0.2">
      <c r="B9" s="178" t="s">
        <v>2856</v>
      </c>
      <c r="C9" s="7">
        <v>100</v>
      </c>
      <c r="D9" s="7" t="s">
        <v>2859</v>
      </c>
      <c r="E9" s="7" t="s">
        <v>2854</v>
      </c>
      <c r="F9" s="85">
        <v>1.25</v>
      </c>
      <c r="G9" s="7">
        <v>10</v>
      </c>
      <c r="H9" s="7">
        <v>4</v>
      </c>
      <c r="I9" s="179">
        <f t="shared" si="0"/>
        <v>50</v>
      </c>
    </row>
    <row r="10" spans="1:11" x14ac:dyDescent="0.2">
      <c r="B10" s="178" t="s">
        <v>2856</v>
      </c>
      <c r="C10" s="7">
        <v>200</v>
      </c>
      <c r="D10" s="7">
        <v>3000</v>
      </c>
      <c r="E10" s="7" t="s">
        <v>2854</v>
      </c>
      <c r="F10" s="85">
        <v>2.5</v>
      </c>
      <c r="G10" s="7">
        <v>15</v>
      </c>
      <c r="H10" s="7">
        <v>1</v>
      </c>
      <c r="I10" s="179">
        <f t="shared" si="0"/>
        <v>37.5</v>
      </c>
    </row>
    <row r="11" spans="1:11" x14ac:dyDescent="0.2">
      <c r="B11" s="178" t="s">
        <v>2857</v>
      </c>
      <c r="C11" s="7">
        <v>25</v>
      </c>
      <c r="D11" s="7" t="s">
        <v>2859</v>
      </c>
      <c r="E11" s="7" t="s">
        <v>2858</v>
      </c>
      <c r="F11" s="85">
        <v>0.5</v>
      </c>
      <c r="G11" s="7">
        <v>10</v>
      </c>
      <c r="H11" s="7">
        <v>3</v>
      </c>
      <c r="I11" s="179">
        <f t="shared" si="0"/>
        <v>15</v>
      </c>
    </row>
    <row r="12" spans="1:11" x14ac:dyDescent="0.2">
      <c r="B12" s="178" t="s">
        <v>2853</v>
      </c>
      <c r="C12" s="7">
        <v>200</v>
      </c>
      <c r="D12" s="7">
        <v>3000</v>
      </c>
      <c r="E12" s="7" t="s">
        <v>2858</v>
      </c>
      <c r="F12" s="85">
        <v>5</v>
      </c>
      <c r="G12" s="7">
        <v>3</v>
      </c>
      <c r="H12" s="7">
        <v>2</v>
      </c>
      <c r="I12" s="179">
        <f t="shared" si="0"/>
        <v>30</v>
      </c>
    </row>
    <row r="13" spans="1:11" x14ac:dyDescent="0.2">
      <c r="B13" s="178" t="s">
        <v>2855</v>
      </c>
      <c r="C13" s="7">
        <v>100</v>
      </c>
      <c r="D13" s="7">
        <v>2000</v>
      </c>
      <c r="E13" s="7" t="s">
        <v>2858</v>
      </c>
      <c r="F13" s="85">
        <v>1.8</v>
      </c>
      <c r="G13" s="7">
        <v>20</v>
      </c>
      <c r="H13" s="7">
        <v>5</v>
      </c>
      <c r="I13" s="179">
        <f t="shared" si="0"/>
        <v>180</v>
      </c>
    </row>
    <row r="14" spans="1:11" x14ac:dyDescent="0.2">
      <c r="B14" s="178" t="s">
        <v>2853</v>
      </c>
      <c r="C14" s="7">
        <v>100</v>
      </c>
      <c r="D14" s="7" t="s">
        <v>2859</v>
      </c>
      <c r="E14" s="7" t="s">
        <v>2858</v>
      </c>
      <c r="F14" s="85">
        <v>0.25</v>
      </c>
      <c r="G14" s="7">
        <v>10</v>
      </c>
      <c r="H14" s="7">
        <v>5</v>
      </c>
      <c r="I14" s="179">
        <f t="shared" si="0"/>
        <v>12.5</v>
      </c>
    </row>
    <row r="15" spans="1:11" x14ac:dyDescent="0.2">
      <c r="B15" s="178" t="s">
        <v>2853</v>
      </c>
      <c r="C15" s="7">
        <v>10</v>
      </c>
      <c r="D15" s="7">
        <v>800</v>
      </c>
      <c r="E15" s="7" t="s">
        <v>2854</v>
      </c>
      <c r="F15" s="85">
        <v>0.2</v>
      </c>
      <c r="G15" s="7">
        <v>25</v>
      </c>
      <c r="H15" s="7">
        <v>2</v>
      </c>
      <c r="I15" s="179">
        <f t="shared" si="0"/>
        <v>10</v>
      </c>
    </row>
    <row r="16" spans="1:11" x14ac:dyDescent="0.2">
      <c r="B16" s="178" t="s">
        <v>2853</v>
      </c>
      <c r="C16" s="7">
        <v>60</v>
      </c>
      <c r="D16" s="7">
        <v>1000</v>
      </c>
      <c r="E16" s="7" t="s">
        <v>2858</v>
      </c>
      <c r="F16" s="85">
        <v>0.15</v>
      </c>
      <c r="G16" s="7">
        <v>25</v>
      </c>
      <c r="H16" s="7">
        <v>1</v>
      </c>
      <c r="I16" s="179">
        <f t="shared" si="0"/>
        <v>3.75</v>
      </c>
    </row>
    <row r="17" spans="2:10" x14ac:dyDescent="0.2">
      <c r="B17" s="178" t="s">
        <v>2853</v>
      </c>
      <c r="C17" s="7">
        <v>80</v>
      </c>
      <c r="D17" s="7">
        <v>1000</v>
      </c>
      <c r="E17" s="7" t="s">
        <v>2858</v>
      </c>
      <c r="F17" s="85">
        <v>0.2</v>
      </c>
      <c r="G17" s="7">
        <v>30</v>
      </c>
      <c r="H17" s="7">
        <v>2</v>
      </c>
      <c r="I17" s="179">
        <f t="shared" si="0"/>
        <v>12</v>
      </c>
    </row>
    <row r="18" spans="2:10" x14ac:dyDescent="0.2">
      <c r="B18" s="178" t="s">
        <v>2853</v>
      </c>
      <c r="C18" s="7">
        <v>100</v>
      </c>
      <c r="D18" s="7">
        <v>2000</v>
      </c>
      <c r="E18" s="7" t="s">
        <v>2854</v>
      </c>
      <c r="F18" s="85">
        <v>0.8</v>
      </c>
      <c r="G18" s="7">
        <v>10</v>
      </c>
      <c r="H18" s="7">
        <v>5</v>
      </c>
      <c r="I18" s="179">
        <f t="shared" si="0"/>
        <v>40</v>
      </c>
    </row>
    <row r="19" spans="2:10" ht="13.5" thickBot="1" x14ac:dyDescent="0.25">
      <c r="B19" s="180" t="s">
        <v>2853</v>
      </c>
      <c r="C19" s="181">
        <v>40</v>
      </c>
      <c r="D19" s="181">
        <v>1000</v>
      </c>
      <c r="E19" s="181" t="s">
        <v>2854</v>
      </c>
      <c r="F19" s="182">
        <v>0.1</v>
      </c>
      <c r="G19" s="181">
        <v>20</v>
      </c>
      <c r="H19" s="181">
        <v>5</v>
      </c>
      <c r="I19" s="179">
        <f t="shared" si="0"/>
        <v>10</v>
      </c>
    </row>
    <row r="20" spans="2:10" ht="13.5" thickTop="1" x14ac:dyDescent="0.2"/>
    <row r="21" spans="2:10" x14ac:dyDescent="0.2">
      <c r="B21" t="s">
        <v>3309</v>
      </c>
    </row>
    <row r="22" spans="2:10" ht="13.5" thickBot="1" x14ac:dyDescent="0.25"/>
    <row r="23" spans="2:10" ht="26.25" thickTop="1" x14ac:dyDescent="0.2">
      <c r="C23" s="229" t="s">
        <v>2845</v>
      </c>
      <c r="D23" s="230" t="s">
        <v>2846</v>
      </c>
      <c r="E23" s="230" t="s">
        <v>2847</v>
      </c>
      <c r="F23" s="231" t="s">
        <v>2848</v>
      </c>
    </row>
    <row r="24" spans="2:10" ht="13.5" thickBot="1" x14ac:dyDescent="0.25">
      <c r="C24" s="232" t="s">
        <v>2853</v>
      </c>
      <c r="D24" s="233">
        <v>100</v>
      </c>
      <c r="E24" s="233"/>
      <c r="F24" s="234" t="s">
        <v>2854</v>
      </c>
    </row>
    <row r="25" spans="2:10" ht="13.5" thickTop="1" x14ac:dyDescent="0.2"/>
    <row r="26" spans="2:10" x14ac:dyDescent="0.2">
      <c r="E26" s="88" t="s">
        <v>3310</v>
      </c>
      <c r="F26" s="8">
        <f>DGET(B3:I19,H3,C23:F24)</f>
        <v>5</v>
      </c>
      <c r="G26" s="13" t="s">
        <v>3311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3312</v>
      </c>
    </row>
    <row r="30" spans="2:10" x14ac:dyDescent="0.2">
      <c r="B30" t="s">
        <v>3313</v>
      </c>
    </row>
    <row r="31" spans="2:10" x14ac:dyDescent="0.2">
      <c r="B31" t="s">
        <v>3314</v>
      </c>
    </row>
    <row r="33" spans="2:10" ht="13.5" thickBot="1" x14ac:dyDescent="0.25">
      <c r="B33" s="2" t="s">
        <v>998</v>
      </c>
      <c r="C33" s="2"/>
      <c r="D33" s="2"/>
      <c r="E33" s="2"/>
      <c r="F33" s="2"/>
      <c r="G33" s="2"/>
      <c r="H33" s="2"/>
      <c r="I33" s="2"/>
      <c r="J33" s="2"/>
    </row>
    <row r="34" spans="2:10" x14ac:dyDescent="0.2">
      <c r="B34" s="61" t="s">
        <v>3315</v>
      </c>
    </row>
    <row r="35" spans="2:10" ht="18" customHeight="1" x14ac:dyDescent="0.2">
      <c r="B35" t="s">
        <v>711</v>
      </c>
    </row>
    <row r="36" spans="2:10" x14ac:dyDescent="0.2">
      <c r="B36" t="s">
        <v>2643</v>
      </c>
    </row>
    <row r="37" spans="2:10" ht="18" customHeight="1" x14ac:dyDescent="0.2">
      <c r="B37" t="s">
        <v>3325</v>
      </c>
    </row>
    <row r="38" spans="2:10" ht="18" customHeight="1" x14ac:dyDescent="0.2">
      <c r="B38" t="s">
        <v>713</v>
      </c>
    </row>
    <row r="39" spans="2:10" x14ac:dyDescent="0.2">
      <c r="B39" t="s">
        <v>2644</v>
      </c>
    </row>
    <row r="40" spans="2:10" x14ac:dyDescent="0.2">
      <c r="B40" t="s">
        <v>2645</v>
      </c>
    </row>
    <row r="41" spans="2:10" ht="18" customHeight="1" x14ac:dyDescent="0.2">
      <c r="B41" t="s">
        <v>3316</v>
      </c>
    </row>
    <row r="42" spans="2:10" x14ac:dyDescent="0.2">
      <c r="B42" t="s">
        <v>2647</v>
      </c>
    </row>
    <row r="44" spans="2:10" ht="13.5" thickBot="1" x14ac:dyDescent="0.25">
      <c r="B44" s="2" t="s">
        <v>3355</v>
      </c>
      <c r="C44" s="2"/>
      <c r="D44" s="2"/>
      <c r="E44" s="2"/>
      <c r="F44" s="2"/>
      <c r="G44" s="2"/>
      <c r="H44" s="2"/>
      <c r="I44" s="2"/>
      <c r="J44" s="2"/>
    </row>
    <row r="45" spans="2:10" x14ac:dyDescent="0.2">
      <c r="B45" t="s">
        <v>2424</v>
      </c>
    </row>
    <row r="47" spans="2:10" ht="13.5" thickBot="1" x14ac:dyDescent="0.25">
      <c r="B47" s="2" t="s">
        <v>1937</v>
      </c>
      <c r="C47" s="2"/>
      <c r="D47" s="2"/>
      <c r="E47" s="2"/>
      <c r="F47" s="2"/>
      <c r="G47" s="2"/>
      <c r="H47" s="2"/>
      <c r="I47" s="2"/>
      <c r="J47" s="2"/>
    </row>
    <row r="48" spans="2:10" x14ac:dyDescent="0.2">
      <c r="B48" s="235" t="s">
        <v>3317</v>
      </c>
      <c r="C48" s="236"/>
      <c r="D48" s="236"/>
      <c r="E48" s="236"/>
      <c r="F48" s="236"/>
      <c r="G48" s="236"/>
      <c r="H48" s="236"/>
      <c r="I48" s="236"/>
      <c r="J48" s="236"/>
    </row>
    <row r="50" spans="2:10" x14ac:dyDescent="0.2">
      <c r="B50" t="s">
        <v>3309</v>
      </c>
    </row>
    <row r="51" spans="2:10" ht="13.5" thickBot="1" x14ac:dyDescent="0.25"/>
    <row r="52" spans="2:10" ht="26.25" thickTop="1" x14ac:dyDescent="0.2">
      <c r="C52" s="229" t="s">
        <v>2845</v>
      </c>
      <c r="D52" s="230" t="s">
        <v>2846</v>
      </c>
      <c r="E52" s="230" t="s">
        <v>2847</v>
      </c>
      <c r="F52" s="231" t="s">
        <v>2848</v>
      </c>
    </row>
    <row r="53" spans="2:10" ht="13.5" thickBot="1" x14ac:dyDescent="0.25">
      <c r="C53" s="232" t="s">
        <v>2853</v>
      </c>
      <c r="D53" s="233">
        <v>100</v>
      </c>
      <c r="E53" s="233"/>
      <c r="F53" s="234" t="s">
        <v>2854</v>
      </c>
    </row>
    <row r="54" spans="2:10" ht="13.5" thickTop="1" x14ac:dyDescent="0.2"/>
    <row r="55" spans="2:10" x14ac:dyDescent="0.2">
      <c r="E55" s="88" t="s">
        <v>3310</v>
      </c>
      <c r="F55" s="8">
        <f>DGET(B3:I19,H3,C52:F53)</f>
        <v>5</v>
      </c>
      <c r="G55" s="13" t="s">
        <v>3318</v>
      </c>
    </row>
    <row r="58" spans="2:10" ht="13.5" thickBot="1" x14ac:dyDescent="0.25">
      <c r="B58" s="2" t="s">
        <v>1962</v>
      </c>
      <c r="C58" s="2"/>
      <c r="D58" s="2"/>
      <c r="E58" s="2"/>
      <c r="F58" s="2"/>
      <c r="G58" s="2"/>
      <c r="H58" s="2"/>
      <c r="I58" s="2"/>
      <c r="J58" s="2"/>
    </row>
    <row r="59" spans="2:10" x14ac:dyDescent="0.2">
      <c r="B59" s="235" t="s">
        <v>3326</v>
      </c>
      <c r="C59" s="236"/>
      <c r="D59" s="236"/>
      <c r="E59" s="236"/>
      <c r="F59" s="236"/>
      <c r="G59" s="236"/>
      <c r="H59" s="236"/>
      <c r="I59" s="236"/>
      <c r="J59" s="236"/>
    </row>
    <row r="61" spans="2:10" x14ac:dyDescent="0.2">
      <c r="B61" t="s">
        <v>3309</v>
      </c>
    </row>
    <row r="62" spans="2:10" ht="13.5" thickBot="1" x14ac:dyDescent="0.25"/>
    <row r="63" spans="2:10" ht="26.25" thickTop="1" x14ac:dyDescent="0.2">
      <c r="C63" s="229" t="s">
        <v>2845</v>
      </c>
      <c r="D63" s="230" t="s">
        <v>2846</v>
      </c>
      <c r="E63" s="230" t="s">
        <v>2847</v>
      </c>
      <c r="F63" s="231" t="s">
        <v>2848</v>
      </c>
    </row>
    <row r="64" spans="2:10" ht="13.5" thickBot="1" x14ac:dyDescent="0.25">
      <c r="C64" s="232" t="s">
        <v>2853</v>
      </c>
      <c r="D64" s="233">
        <v>100</v>
      </c>
      <c r="E64" s="233"/>
      <c r="F64" s="234"/>
    </row>
    <row r="65" spans="2:10" ht="13.5" thickTop="1" x14ac:dyDescent="0.2"/>
    <row r="66" spans="2:10" x14ac:dyDescent="0.2">
      <c r="E66" s="88" t="s">
        <v>3310</v>
      </c>
      <c r="F66" s="8" t="e">
        <f>DGET(B3:I19,H3,C63:F64)</f>
        <v>#NUM!</v>
      </c>
      <c r="G66" s="13" t="s">
        <v>3319</v>
      </c>
    </row>
    <row r="69" spans="2:10" ht="13.5" thickBot="1" x14ac:dyDescent="0.25">
      <c r="B69" s="2" t="s">
        <v>1977</v>
      </c>
      <c r="C69" s="2"/>
      <c r="D69" s="2"/>
      <c r="E69" s="2"/>
      <c r="F69" s="2"/>
      <c r="G69" s="2"/>
      <c r="H69" s="2"/>
      <c r="I69" s="2"/>
      <c r="J69" s="2"/>
    </row>
    <row r="70" spans="2:10" x14ac:dyDescent="0.2">
      <c r="B70" s="235" t="s">
        <v>3320</v>
      </c>
      <c r="C70" s="236"/>
      <c r="D70" s="236"/>
      <c r="E70" s="236"/>
      <c r="F70" s="236"/>
      <c r="G70" s="236"/>
      <c r="H70" s="236"/>
      <c r="I70" s="236"/>
      <c r="J70" s="236"/>
    </row>
    <row r="72" spans="2:10" x14ac:dyDescent="0.2">
      <c r="B72" t="s">
        <v>3309</v>
      </c>
    </row>
    <row r="73" spans="2:10" ht="13.5" thickBot="1" x14ac:dyDescent="0.25"/>
    <row r="74" spans="2:10" ht="26.25" thickTop="1" x14ac:dyDescent="0.2">
      <c r="C74" s="229" t="s">
        <v>2845</v>
      </c>
      <c r="D74" s="230" t="s">
        <v>2846</v>
      </c>
      <c r="E74" s="230" t="s">
        <v>2847</v>
      </c>
      <c r="F74" s="231" t="s">
        <v>2848</v>
      </c>
    </row>
    <row r="75" spans="2:10" ht="13.5" thickBot="1" x14ac:dyDescent="0.25">
      <c r="C75" s="232" t="s">
        <v>2853</v>
      </c>
      <c r="D75" s="233">
        <v>9999</v>
      </c>
      <c r="E75" s="233"/>
      <c r="F75" s="234"/>
    </row>
    <row r="76" spans="2:10" ht="13.5" thickTop="1" x14ac:dyDescent="0.2"/>
    <row r="77" spans="2:10" x14ac:dyDescent="0.2">
      <c r="E77" s="88" t="s">
        <v>3310</v>
      </c>
      <c r="F77" s="8" t="e">
        <f>DGET(B3:I19,H3,C74:F75)</f>
        <v>#VALUE!</v>
      </c>
      <c r="G77" s="13" t="s">
        <v>3321</v>
      </c>
    </row>
    <row r="80" spans="2:10" ht="13.5" thickBot="1" x14ac:dyDescent="0.25">
      <c r="B80" s="2" t="s">
        <v>2003</v>
      </c>
      <c r="C80" s="2"/>
      <c r="D80" s="2"/>
      <c r="E80" s="2"/>
      <c r="F80" s="2"/>
      <c r="G80" s="2"/>
      <c r="H80" s="2"/>
      <c r="I80" s="2"/>
      <c r="J80" s="2"/>
    </row>
    <row r="81" spans="2:10" x14ac:dyDescent="0.2">
      <c r="B81" s="235" t="s">
        <v>3322</v>
      </c>
      <c r="C81" s="236"/>
      <c r="D81" s="236"/>
      <c r="E81" s="236"/>
      <c r="F81" s="236"/>
      <c r="G81" s="236"/>
      <c r="H81" s="236"/>
      <c r="I81" s="236"/>
      <c r="J81" s="236"/>
    </row>
    <row r="83" spans="2:10" x14ac:dyDescent="0.2">
      <c r="B83" t="s">
        <v>3309</v>
      </c>
    </row>
    <row r="84" spans="2:10" ht="13.5" thickBot="1" x14ac:dyDescent="0.25"/>
    <row r="85" spans="2:10" ht="26.25" thickTop="1" x14ac:dyDescent="0.2">
      <c r="C85" s="229" t="s">
        <v>2845</v>
      </c>
      <c r="D85" s="230" t="s">
        <v>2846</v>
      </c>
      <c r="E85" s="230" t="s">
        <v>2847</v>
      </c>
      <c r="F85" s="231" t="s">
        <v>2848</v>
      </c>
    </row>
    <row r="86" spans="2:10" ht="13.5" thickBot="1" x14ac:dyDescent="0.25">
      <c r="C86" s="232" t="s">
        <v>2853</v>
      </c>
      <c r="D86" s="233">
        <v>9999</v>
      </c>
      <c r="E86" s="233"/>
      <c r="F86" s="234"/>
    </row>
    <row r="87" spans="2:10" ht="13.5" thickTop="1" x14ac:dyDescent="0.2"/>
    <row r="88" spans="2:10" x14ac:dyDescent="0.2">
      <c r="E88" s="88" t="s">
        <v>3310</v>
      </c>
      <c r="F88" s="8" t="e">
        <f>DGET(B3:I19,H3,C85:F86)</f>
        <v>#VALUE!</v>
      </c>
      <c r="G88" s="13" t="s">
        <v>3323</v>
      </c>
    </row>
    <row r="90" spans="2:10" x14ac:dyDescent="0.2">
      <c r="E90" s="237"/>
      <c r="F90" s="238" t="str">
        <f>IF(ISERR(F88),CHOOSE(ERROR.TYPE(F88)/3,"No such product.","Duplicates products found."),"One product found.")</f>
        <v>No such product.</v>
      </c>
      <c r="G90" s="239"/>
    </row>
    <row r="91" spans="2:10" x14ac:dyDescent="0.2">
      <c r="F91" s="240" t="s">
        <v>3324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L37"/>
  <sheetViews>
    <sheetView showGridLines="0" workbookViewId="0">
      <pane ySplit="1" topLeftCell="A12" activePane="bottomLeft" state="frozen"/>
      <selection activeCell="A3" sqref="A3"/>
      <selection pane="bottomLeft" activeCell="I28" sqref="I28"/>
    </sheetView>
  </sheetViews>
  <sheetFormatPr defaultRowHeight="12.75" x14ac:dyDescent="0.2"/>
  <cols>
    <col min="1" max="1" width="2.7109375" customWidth="1"/>
    <col min="4" max="4" width="9.85546875" customWidth="1"/>
    <col min="10" max="10" width="7.85546875" customWidth="1"/>
  </cols>
  <sheetData>
    <row r="1" spans="1:12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  <c r="L1" s="478"/>
    </row>
    <row r="3" spans="1:12" x14ac:dyDescent="0.2">
      <c r="C3" s="6" t="s">
        <v>3282</v>
      </c>
      <c r="D3" s="6" t="s">
        <v>3283</v>
      </c>
      <c r="E3" s="6" t="s">
        <v>3284</v>
      </c>
    </row>
    <row r="4" spans="1:12" x14ac:dyDescent="0.2">
      <c r="C4" s="7">
        <v>10</v>
      </c>
      <c r="D4" s="7">
        <v>20</v>
      </c>
      <c r="E4" s="8">
        <f t="shared" ref="E4:E10" si="0">DELTA(C4,D4)</f>
        <v>0</v>
      </c>
      <c r="F4" s="13" t="s">
        <v>3285</v>
      </c>
    </row>
    <row r="5" spans="1:12" x14ac:dyDescent="0.2">
      <c r="C5" s="7">
        <v>50</v>
      </c>
      <c r="D5" s="7">
        <v>50</v>
      </c>
      <c r="E5" s="8">
        <f t="shared" si="0"/>
        <v>1</v>
      </c>
      <c r="F5" s="13" t="s">
        <v>3286</v>
      </c>
    </row>
    <row r="6" spans="1:12" x14ac:dyDescent="0.2">
      <c r="C6" s="7">
        <v>17.5</v>
      </c>
      <c r="D6" s="7">
        <v>17.5</v>
      </c>
      <c r="E6" s="8">
        <f t="shared" si="0"/>
        <v>1</v>
      </c>
      <c r="F6" s="13" t="s">
        <v>3287</v>
      </c>
    </row>
    <row r="7" spans="1:12" x14ac:dyDescent="0.2">
      <c r="C7" s="7">
        <v>17.5</v>
      </c>
      <c r="D7" s="228">
        <v>17.5</v>
      </c>
      <c r="E7" s="8">
        <f t="shared" si="0"/>
        <v>1</v>
      </c>
      <c r="F7" s="13" t="s">
        <v>3288</v>
      </c>
    </row>
    <row r="8" spans="1:12" x14ac:dyDescent="0.2">
      <c r="C8" s="87">
        <v>0.17499999999999999</v>
      </c>
      <c r="D8" s="7">
        <v>0.17499999999999999</v>
      </c>
      <c r="E8" s="8">
        <f t="shared" si="0"/>
        <v>1</v>
      </c>
      <c r="F8" s="13" t="s">
        <v>3289</v>
      </c>
    </row>
    <row r="9" spans="1:12" x14ac:dyDescent="0.2">
      <c r="C9" s="7" t="s">
        <v>1029</v>
      </c>
      <c r="D9" s="7" t="s">
        <v>1029</v>
      </c>
      <c r="E9" s="8" t="e">
        <f t="shared" si="0"/>
        <v>#VALUE!</v>
      </c>
      <c r="F9" s="13" t="s">
        <v>3290</v>
      </c>
    </row>
    <row r="10" spans="1:12" x14ac:dyDescent="0.2">
      <c r="C10" s="7"/>
      <c r="D10" s="7"/>
      <c r="E10" s="8">
        <f t="shared" si="0"/>
        <v>1</v>
      </c>
      <c r="F10" s="13" t="s">
        <v>3291</v>
      </c>
    </row>
    <row r="12" spans="1:12" ht="13.5" thickBot="1" x14ac:dyDescent="0.25">
      <c r="B12" s="2" t="s">
        <v>2865</v>
      </c>
      <c r="C12" s="2"/>
      <c r="D12" s="2"/>
      <c r="E12" s="2"/>
      <c r="F12" s="2"/>
      <c r="G12" s="2"/>
      <c r="H12" s="2"/>
      <c r="I12" s="2"/>
      <c r="J12" s="2"/>
    </row>
    <row r="13" spans="1:12" x14ac:dyDescent="0.2">
      <c r="B13" t="s">
        <v>3292</v>
      </c>
    </row>
    <row r="14" spans="1:12" x14ac:dyDescent="0.2">
      <c r="B14" t="s">
        <v>3293</v>
      </c>
    </row>
    <row r="15" spans="1:12" x14ac:dyDescent="0.2">
      <c r="B15" t="s">
        <v>3294</v>
      </c>
    </row>
    <row r="16" spans="1:12" x14ac:dyDescent="0.2">
      <c r="B16" t="s">
        <v>3295</v>
      </c>
    </row>
    <row r="17" spans="2:10" x14ac:dyDescent="0.2">
      <c r="B17" t="s">
        <v>3296</v>
      </c>
    </row>
    <row r="19" spans="2:10" ht="13.5" thickBot="1" x14ac:dyDescent="0.25">
      <c r="B19" s="2" t="s">
        <v>998</v>
      </c>
      <c r="C19" s="2"/>
      <c r="D19" s="2"/>
      <c r="E19" s="2"/>
      <c r="F19" s="2"/>
      <c r="G19" s="2"/>
      <c r="H19" s="2"/>
      <c r="I19" s="2"/>
      <c r="J19" s="2"/>
    </row>
    <row r="20" spans="2:10" x14ac:dyDescent="0.2">
      <c r="B20" s="61" t="s">
        <v>3297</v>
      </c>
    </row>
    <row r="22" spans="2:10" ht="13.5" thickBot="1" x14ac:dyDescent="0.25">
      <c r="B22" s="2" t="s">
        <v>3355</v>
      </c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t="s">
        <v>2424</v>
      </c>
    </row>
    <row r="25" spans="2:10" ht="13.5" thickBot="1" x14ac:dyDescent="0.25">
      <c r="B25" s="2" t="s">
        <v>1001</v>
      </c>
      <c r="C25" s="2"/>
      <c r="D25" s="2"/>
      <c r="E25" s="2"/>
      <c r="F25" s="2"/>
      <c r="G25" s="2"/>
      <c r="H25" s="2"/>
      <c r="I25" s="2"/>
      <c r="J25" s="2"/>
    </row>
    <row r="26" spans="2:10" x14ac:dyDescent="0.2">
      <c r="B26" t="s">
        <v>3298</v>
      </c>
    </row>
    <row r="27" spans="2:10" x14ac:dyDescent="0.2">
      <c r="B27" t="s">
        <v>3299</v>
      </c>
    </row>
    <row r="29" spans="2:10" x14ac:dyDescent="0.2">
      <c r="C29" s="6" t="s">
        <v>3282</v>
      </c>
      <c r="D29" s="6" t="s">
        <v>3283</v>
      </c>
      <c r="E29" s="6" t="s">
        <v>3284</v>
      </c>
    </row>
    <row r="30" spans="2:10" x14ac:dyDescent="0.2">
      <c r="C30" s="7">
        <v>10</v>
      </c>
      <c r="D30" s="7">
        <v>20</v>
      </c>
      <c r="E30" s="8">
        <f t="shared" ref="E30:E36" si="1">DELTA(C30,D30)</f>
        <v>0</v>
      </c>
      <c r="F30" s="13" t="s">
        <v>3300</v>
      </c>
    </row>
    <row r="31" spans="2:10" x14ac:dyDescent="0.2">
      <c r="C31" s="7">
        <v>50</v>
      </c>
      <c r="D31" s="7">
        <v>50</v>
      </c>
      <c r="E31" s="8">
        <f t="shared" si="1"/>
        <v>1</v>
      </c>
      <c r="F31" s="13" t="s">
        <v>3301</v>
      </c>
    </row>
    <row r="32" spans="2:10" x14ac:dyDescent="0.2">
      <c r="C32" s="7">
        <v>30</v>
      </c>
      <c r="D32" s="7">
        <v>30</v>
      </c>
      <c r="E32" s="8">
        <f t="shared" si="1"/>
        <v>1</v>
      </c>
      <c r="F32" s="13" t="s">
        <v>3302</v>
      </c>
    </row>
    <row r="33" spans="3:6" x14ac:dyDescent="0.2">
      <c r="C33" s="7">
        <v>17.5</v>
      </c>
      <c r="D33" s="228">
        <v>17.5</v>
      </c>
      <c r="E33" s="8">
        <f t="shared" si="1"/>
        <v>1</v>
      </c>
      <c r="F33" s="13" t="s">
        <v>3303</v>
      </c>
    </row>
    <row r="34" spans="3:6" x14ac:dyDescent="0.2">
      <c r="C34" s="7">
        <v>12</v>
      </c>
      <c r="D34" s="7">
        <v>8</v>
      </c>
      <c r="E34" s="8">
        <f t="shared" si="1"/>
        <v>0</v>
      </c>
      <c r="F34" s="13" t="s">
        <v>3304</v>
      </c>
    </row>
    <row r="35" spans="3:6" x14ac:dyDescent="0.2">
      <c r="C35" s="7">
        <v>100</v>
      </c>
      <c r="D35" s="7">
        <v>100</v>
      </c>
      <c r="E35" s="8">
        <f t="shared" si="1"/>
        <v>1</v>
      </c>
      <c r="F35" s="13" t="s">
        <v>3305</v>
      </c>
    </row>
    <row r="36" spans="3:6" x14ac:dyDescent="0.2">
      <c r="C36" s="7">
        <v>150</v>
      </c>
      <c r="D36" s="7">
        <v>125</v>
      </c>
      <c r="E36" s="8">
        <f t="shared" si="1"/>
        <v>0</v>
      </c>
      <c r="F36" s="13" t="s">
        <v>3306</v>
      </c>
    </row>
    <row r="37" spans="3:6" x14ac:dyDescent="0.2">
      <c r="D37" s="79" t="s">
        <v>3307</v>
      </c>
      <c r="E37" s="8">
        <f>SUM(E30:E36)</f>
        <v>4</v>
      </c>
      <c r="F37" s="13" t="s">
        <v>3308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J39"/>
  <sheetViews>
    <sheetView showGridLines="0" workbookViewId="0">
      <pane ySplit="1" topLeftCell="A2" activePane="bottomLeft" state="frozen"/>
      <selection activeCell="A3" sqref="A3"/>
      <selection pane="bottomLeft" activeCell="D17" sqref="D17"/>
    </sheetView>
  </sheetViews>
  <sheetFormatPr defaultRowHeight="12.75" x14ac:dyDescent="0.2"/>
  <cols>
    <col min="1" max="1" width="2.7109375" customWidth="1"/>
    <col min="3" max="5" width="15.28515625" customWidth="1"/>
    <col min="8" max="8" width="8.42578125" customWidth="1"/>
  </cols>
  <sheetData>
    <row r="1" spans="1:10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  <c r="J1" s="478"/>
    </row>
    <row r="3" spans="1:10" x14ac:dyDescent="0.2">
      <c r="C3" s="6" t="s">
        <v>3232</v>
      </c>
      <c r="D3" s="6" t="s">
        <v>3256</v>
      </c>
    </row>
    <row r="4" spans="1:10" x14ac:dyDescent="0.2">
      <c r="C4" s="7">
        <v>0</v>
      </c>
      <c r="D4" s="136" t="str">
        <f t="shared" ref="D4:D20" si="0">DEC2HEX(C4)</f>
        <v>0</v>
      </c>
      <c r="E4" s="13" t="s">
        <v>3257</v>
      </c>
    </row>
    <row r="5" spans="1:10" x14ac:dyDescent="0.2">
      <c r="C5" s="7">
        <v>1</v>
      </c>
      <c r="D5" s="136" t="str">
        <f t="shared" si="0"/>
        <v>1</v>
      </c>
      <c r="E5" s="13" t="s">
        <v>3258</v>
      </c>
    </row>
    <row r="6" spans="1:10" x14ac:dyDescent="0.2">
      <c r="C6" s="7">
        <v>2</v>
      </c>
      <c r="D6" s="136" t="str">
        <f t="shared" si="0"/>
        <v>2</v>
      </c>
      <c r="E6" s="13" t="s">
        <v>3259</v>
      </c>
    </row>
    <row r="7" spans="1:10" x14ac:dyDescent="0.2">
      <c r="C7" s="7">
        <v>3</v>
      </c>
      <c r="D7" s="136" t="str">
        <f t="shared" si="0"/>
        <v>3</v>
      </c>
      <c r="E7" s="13" t="s">
        <v>3260</v>
      </c>
    </row>
    <row r="8" spans="1:10" x14ac:dyDescent="0.2">
      <c r="C8" s="7">
        <v>25</v>
      </c>
      <c r="D8" s="136" t="str">
        <f t="shared" si="0"/>
        <v>19</v>
      </c>
      <c r="E8" s="13" t="s">
        <v>3261</v>
      </c>
    </row>
    <row r="9" spans="1:10" x14ac:dyDescent="0.2">
      <c r="C9" s="7">
        <v>26</v>
      </c>
      <c r="D9" s="136" t="str">
        <f t="shared" si="0"/>
        <v>1A</v>
      </c>
      <c r="E9" s="13" t="s">
        <v>3262</v>
      </c>
    </row>
    <row r="10" spans="1:10" x14ac:dyDescent="0.2">
      <c r="C10" s="7">
        <v>27</v>
      </c>
      <c r="D10" s="136" t="str">
        <f t="shared" si="0"/>
        <v>1B</v>
      </c>
      <c r="E10" s="13" t="s">
        <v>3263</v>
      </c>
    </row>
    <row r="11" spans="1:10" x14ac:dyDescent="0.2">
      <c r="C11" s="7">
        <v>28</v>
      </c>
      <c r="D11" s="136" t="str">
        <f t="shared" si="0"/>
        <v>1C</v>
      </c>
      <c r="E11" s="13" t="s">
        <v>3264</v>
      </c>
    </row>
    <row r="12" spans="1:10" x14ac:dyDescent="0.2">
      <c r="C12" s="7">
        <v>-1</v>
      </c>
      <c r="D12" s="136" t="str">
        <f t="shared" si="0"/>
        <v>FFFFFFFFFF</v>
      </c>
      <c r="E12" s="13" t="s">
        <v>3265</v>
      </c>
    </row>
    <row r="13" spans="1:10" x14ac:dyDescent="0.2">
      <c r="C13" s="7">
        <v>-2</v>
      </c>
      <c r="D13" s="136" t="str">
        <f t="shared" si="0"/>
        <v>FFFFFFFFFE</v>
      </c>
      <c r="E13" s="13" t="s">
        <v>3266</v>
      </c>
    </row>
    <row r="14" spans="1:10" x14ac:dyDescent="0.2">
      <c r="C14" s="7">
        <v>-3</v>
      </c>
      <c r="D14" s="136" t="str">
        <f t="shared" si="0"/>
        <v>FFFFFFFFFD</v>
      </c>
      <c r="E14" s="13" t="s">
        <v>3267</v>
      </c>
    </row>
    <row r="15" spans="1:10" x14ac:dyDescent="0.2">
      <c r="C15" s="7">
        <v>-2</v>
      </c>
      <c r="D15" s="136" t="str">
        <f t="shared" si="0"/>
        <v>FFFFFFFFFE</v>
      </c>
      <c r="E15" s="13" t="s">
        <v>3268</v>
      </c>
    </row>
    <row r="16" spans="1:10" x14ac:dyDescent="0.2">
      <c r="C16" s="7">
        <v>-1</v>
      </c>
      <c r="D16" s="136" t="str">
        <f t="shared" si="0"/>
        <v>FFFFFFFFFF</v>
      </c>
      <c r="E16" s="13" t="s">
        <v>3269</v>
      </c>
    </row>
    <row r="17" spans="2:8" x14ac:dyDescent="0.2">
      <c r="C17" s="227">
        <v>549755813887</v>
      </c>
      <c r="D17" s="136" t="str">
        <f t="shared" si="0"/>
        <v>7FFFFFFFFF</v>
      </c>
      <c r="E17" s="13" t="s">
        <v>3270</v>
      </c>
    </row>
    <row r="18" spans="2:8" x14ac:dyDescent="0.2">
      <c r="C18" s="227">
        <v>-549755813888</v>
      </c>
      <c r="D18" s="136" t="str">
        <f t="shared" si="0"/>
        <v>8000000000</v>
      </c>
      <c r="E18" s="13" t="s">
        <v>3271</v>
      </c>
    </row>
    <row r="19" spans="2:8" x14ac:dyDescent="0.2">
      <c r="C19" s="227">
        <v>549755813888</v>
      </c>
      <c r="D19" s="136" t="e">
        <f t="shared" si="0"/>
        <v>#NUM!</v>
      </c>
      <c r="E19" s="13" t="s">
        <v>3272</v>
      </c>
    </row>
    <row r="20" spans="2:8" x14ac:dyDescent="0.2">
      <c r="C20" s="227">
        <v>-549755813889</v>
      </c>
      <c r="D20" s="136" t="e">
        <f t="shared" si="0"/>
        <v>#NUM!</v>
      </c>
      <c r="E20" s="13" t="s">
        <v>3273</v>
      </c>
    </row>
    <row r="22" spans="2:8" x14ac:dyDescent="0.2">
      <c r="C22" s="23" t="s">
        <v>3232</v>
      </c>
      <c r="D22" s="6" t="s">
        <v>3245</v>
      </c>
      <c r="E22" s="6" t="s">
        <v>3256</v>
      </c>
    </row>
    <row r="23" spans="2:8" x14ac:dyDescent="0.2">
      <c r="C23" s="7">
        <v>1</v>
      </c>
      <c r="D23" s="7">
        <v>1</v>
      </c>
      <c r="E23" s="136" t="str">
        <f>DEC2HEX(C23,D23)</f>
        <v>1</v>
      </c>
      <c r="F23" s="13" t="s">
        <v>3274</v>
      </c>
    </row>
    <row r="24" spans="2:8" x14ac:dyDescent="0.2">
      <c r="C24" s="7">
        <v>1</v>
      </c>
      <c r="D24" s="7">
        <v>2</v>
      </c>
      <c r="E24" s="136" t="str">
        <f>DEC2HEX(C24,D24)</f>
        <v>01</v>
      </c>
      <c r="F24" s="13" t="s">
        <v>3275</v>
      </c>
    </row>
    <row r="25" spans="2:8" x14ac:dyDescent="0.2">
      <c r="C25" s="7">
        <v>26</v>
      </c>
      <c r="D25" s="7">
        <v>3</v>
      </c>
      <c r="E25" s="136" t="str">
        <f>DEC2HEX(C25,D25)</f>
        <v>01A</v>
      </c>
      <c r="F25" s="13" t="s">
        <v>3276</v>
      </c>
    </row>
    <row r="26" spans="2:8" x14ac:dyDescent="0.2">
      <c r="C26" s="7">
        <v>26</v>
      </c>
      <c r="D26" s="7">
        <v>9</v>
      </c>
      <c r="E26" s="136" t="str">
        <f>DEC2HEX(C26,D26)</f>
        <v>00000001A</v>
      </c>
      <c r="F26" s="13" t="s">
        <v>3277</v>
      </c>
    </row>
    <row r="27" spans="2:8" x14ac:dyDescent="0.2">
      <c r="C27" s="7">
        <v>-26</v>
      </c>
      <c r="D27" s="7">
        <v>1</v>
      </c>
      <c r="E27" s="136" t="str">
        <f>DEC2HEX(C27,D27)</f>
        <v>FFFFFFFFE6</v>
      </c>
      <c r="F27" s="13" t="s">
        <v>3278</v>
      </c>
    </row>
    <row r="29" spans="2:8" ht="13.5" thickBot="1" x14ac:dyDescent="0.25">
      <c r="B29" s="2" t="s">
        <v>2865</v>
      </c>
      <c r="C29" s="2"/>
      <c r="D29" s="2"/>
      <c r="E29" s="2"/>
      <c r="F29" s="2"/>
      <c r="G29" s="2"/>
      <c r="H29" s="2"/>
    </row>
    <row r="30" spans="2:8" x14ac:dyDescent="0.2">
      <c r="B30" t="s">
        <v>3279</v>
      </c>
    </row>
    <row r="31" spans="2:8" x14ac:dyDescent="0.2">
      <c r="B31" t="s">
        <v>3280</v>
      </c>
    </row>
    <row r="32" spans="2:8" x14ac:dyDescent="0.2">
      <c r="B32" t="s">
        <v>3253</v>
      </c>
    </row>
    <row r="34" spans="2:8" ht="13.5" thickBot="1" x14ac:dyDescent="0.25">
      <c r="B34" s="2" t="s">
        <v>998</v>
      </c>
      <c r="C34" s="2"/>
      <c r="D34" s="2"/>
      <c r="E34" s="2"/>
      <c r="F34" s="2"/>
      <c r="G34" s="2"/>
      <c r="H34" s="2"/>
    </row>
    <row r="35" spans="2:8" x14ac:dyDescent="0.2">
      <c r="B35" s="61" t="s">
        <v>3281</v>
      </c>
    </row>
    <row r="36" spans="2:8" x14ac:dyDescent="0.2">
      <c r="B36" t="s">
        <v>3255</v>
      </c>
    </row>
    <row r="38" spans="2:8" ht="13.5" thickBot="1" x14ac:dyDescent="0.25">
      <c r="B38" s="2" t="s">
        <v>3355</v>
      </c>
      <c r="C38" s="2"/>
      <c r="D38" s="2"/>
      <c r="E38" s="2"/>
      <c r="F38" s="2"/>
      <c r="G38" s="2"/>
      <c r="H38" s="2"/>
    </row>
    <row r="39" spans="2:8" x14ac:dyDescent="0.2">
      <c r="B39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I33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4.7109375" customWidth="1"/>
    <col min="4" max="5" width="15.28515625" customWidth="1"/>
  </cols>
  <sheetData>
    <row r="1" spans="1:9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23" t="s">
        <v>3232</v>
      </c>
      <c r="D3" s="23" t="s">
        <v>3233</v>
      </c>
    </row>
    <row r="4" spans="1:9" x14ac:dyDescent="0.2">
      <c r="C4" s="7">
        <v>0</v>
      </c>
      <c r="D4" s="136" t="str">
        <f t="shared" ref="D4:D14" si="0">DEC2BIN(C4)</f>
        <v>0</v>
      </c>
      <c r="E4" s="13" t="s">
        <v>3234</v>
      </c>
    </row>
    <row r="5" spans="1:9" x14ac:dyDescent="0.2">
      <c r="C5" s="7">
        <v>1</v>
      </c>
      <c r="D5" s="136" t="str">
        <f t="shared" si="0"/>
        <v>1</v>
      </c>
      <c r="E5" s="13" t="s">
        <v>3235</v>
      </c>
    </row>
    <row r="6" spans="1:9" x14ac:dyDescent="0.2">
      <c r="C6" s="7">
        <v>2</v>
      </c>
      <c r="D6" s="136" t="str">
        <f t="shared" si="0"/>
        <v>10</v>
      </c>
      <c r="E6" s="13" t="s">
        <v>3236</v>
      </c>
    </row>
    <row r="7" spans="1:9" x14ac:dyDescent="0.2">
      <c r="C7" s="7">
        <v>3</v>
      </c>
      <c r="D7" s="136" t="str">
        <f t="shared" si="0"/>
        <v>11</v>
      </c>
      <c r="E7" s="13" t="s">
        <v>3237</v>
      </c>
    </row>
    <row r="8" spans="1:9" x14ac:dyDescent="0.2">
      <c r="C8" s="7">
        <v>511</v>
      </c>
      <c r="D8" s="136" t="str">
        <f t="shared" si="0"/>
        <v>111111111</v>
      </c>
      <c r="E8" s="13" t="s">
        <v>3238</v>
      </c>
    </row>
    <row r="9" spans="1:9" x14ac:dyDescent="0.2">
      <c r="C9" s="7">
        <v>512</v>
      </c>
      <c r="D9" s="136" t="e">
        <f t="shared" si="0"/>
        <v>#NUM!</v>
      </c>
      <c r="E9" s="13" t="s">
        <v>3239</v>
      </c>
    </row>
    <row r="10" spans="1:9" x14ac:dyDescent="0.2">
      <c r="C10" s="7">
        <v>-1</v>
      </c>
      <c r="D10" s="136" t="str">
        <f t="shared" si="0"/>
        <v>1111111111</v>
      </c>
      <c r="E10" s="13" t="s">
        <v>3240</v>
      </c>
    </row>
    <row r="11" spans="1:9" x14ac:dyDescent="0.2">
      <c r="C11" s="7">
        <v>-2</v>
      </c>
      <c r="D11" s="136" t="str">
        <f t="shared" si="0"/>
        <v>1111111110</v>
      </c>
      <c r="E11" s="13" t="s">
        <v>3241</v>
      </c>
    </row>
    <row r="12" spans="1:9" x14ac:dyDescent="0.2">
      <c r="C12" s="7">
        <v>-3</v>
      </c>
      <c r="D12" s="136" t="str">
        <f t="shared" si="0"/>
        <v>1111111101</v>
      </c>
      <c r="E12" s="13" t="s">
        <v>3242</v>
      </c>
    </row>
    <row r="13" spans="1:9" x14ac:dyDescent="0.2">
      <c r="C13" s="7">
        <v>-511</v>
      </c>
      <c r="D13" s="136" t="str">
        <f t="shared" si="0"/>
        <v>1000000001</v>
      </c>
      <c r="E13" s="13" t="s">
        <v>3243</v>
      </c>
    </row>
    <row r="14" spans="1:9" x14ac:dyDescent="0.2">
      <c r="C14" s="7">
        <v>-512</v>
      </c>
      <c r="D14" s="136" t="str">
        <f t="shared" si="0"/>
        <v>1000000000</v>
      </c>
      <c r="E14" s="13" t="s">
        <v>3244</v>
      </c>
    </row>
    <row r="16" spans="1:9" x14ac:dyDescent="0.2">
      <c r="C16" s="23" t="s">
        <v>3232</v>
      </c>
      <c r="D16" s="6" t="s">
        <v>3245</v>
      </c>
      <c r="E16" s="23" t="s">
        <v>3233</v>
      </c>
    </row>
    <row r="17" spans="2:8" x14ac:dyDescent="0.2">
      <c r="C17" s="7">
        <v>1</v>
      </c>
      <c r="D17" s="7">
        <v>1</v>
      </c>
      <c r="E17" s="136" t="str">
        <f>DEC2BIN(C17,D17)</f>
        <v>1</v>
      </c>
      <c r="F17" s="13" t="s">
        <v>3246</v>
      </c>
    </row>
    <row r="18" spans="2:8" x14ac:dyDescent="0.2">
      <c r="C18" s="7">
        <v>1</v>
      </c>
      <c r="D18" s="7">
        <v>2</v>
      </c>
      <c r="E18" s="136" t="str">
        <f>DEC2BIN(C18,D18)</f>
        <v>01</v>
      </c>
      <c r="F18" s="13" t="s">
        <v>3247</v>
      </c>
    </row>
    <row r="19" spans="2:8" x14ac:dyDescent="0.2">
      <c r="C19" s="7">
        <v>1</v>
      </c>
      <c r="D19" s="7">
        <v>3</v>
      </c>
      <c r="E19" s="136" t="str">
        <f>DEC2BIN(C19,D19)</f>
        <v>001</v>
      </c>
      <c r="F19" s="13" t="s">
        <v>3248</v>
      </c>
    </row>
    <row r="20" spans="2:8" x14ac:dyDescent="0.2">
      <c r="C20" s="7">
        <v>1</v>
      </c>
      <c r="D20" s="7">
        <v>9</v>
      </c>
      <c r="E20" s="136" t="str">
        <f>DEC2BIN(C20,D20)</f>
        <v>000000001</v>
      </c>
      <c r="F20" s="13" t="s">
        <v>3249</v>
      </c>
    </row>
    <row r="21" spans="2:8" x14ac:dyDescent="0.2">
      <c r="C21" s="7">
        <v>-1</v>
      </c>
      <c r="D21" s="7">
        <v>1</v>
      </c>
      <c r="E21" s="136" t="str">
        <f>DEC2BIN(C21,D21)</f>
        <v>1111111111</v>
      </c>
      <c r="F21" s="13" t="s">
        <v>3250</v>
      </c>
    </row>
    <row r="23" spans="2:8" ht="13.5" thickBot="1" x14ac:dyDescent="0.25">
      <c r="B23" s="2" t="s">
        <v>2865</v>
      </c>
      <c r="C23" s="2"/>
      <c r="D23" s="2"/>
      <c r="E23" s="2"/>
      <c r="F23" s="2"/>
      <c r="G23" s="2"/>
      <c r="H23" s="2"/>
    </row>
    <row r="24" spans="2:8" x14ac:dyDescent="0.2">
      <c r="B24" t="s">
        <v>3251</v>
      </c>
    </row>
    <row r="25" spans="2:8" x14ac:dyDescent="0.2">
      <c r="B25" t="s">
        <v>3252</v>
      </c>
    </row>
    <row r="26" spans="2:8" x14ac:dyDescent="0.2">
      <c r="B26" t="s">
        <v>3253</v>
      </c>
    </row>
    <row r="28" spans="2:8" ht="13.5" thickBot="1" x14ac:dyDescent="0.25">
      <c r="B28" s="2" t="s">
        <v>998</v>
      </c>
      <c r="C28" s="2"/>
      <c r="D28" s="2"/>
      <c r="E28" s="2"/>
      <c r="F28" s="2"/>
      <c r="G28" s="2"/>
      <c r="H28" s="2"/>
    </row>
    <row r="29" spans="2:8" x14ac:dyDescent="0.2">
      <c r="B29" s="61" t="s">
        <v>3254</v>
      </c>
    </row>
    <row r="30" spans="2:8" x14ac:dyDescent="0.2">
      <c r="B30" t="s">
        <v>3255</v>
      </c>
    </row>
    <row r="32" spans="2:8" ht="13.5" thickBot="1" x14ac:dyDescent="0.25">
      <c r="B32" s="2" t="s">
        <v>3355</v>
      </c>
      <c r="C32" s="2"/>
      <c r="D32" s="2"/>
      <c r="E32" s="2"/>
      <c r="F32" s="2"/>
      <c r="G32" s="2"/>
      <c r="H32" s="2"/>
    </row>
    <row r="33" spans="2:2" x14ac:dyDescent="0.2">
      <c r="B33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K72"/>
  <sheetViews>
    <sheetView showGridLines="0" workbookViewId="0">
      <pane ySplit="1" topLeftCell="A52" activePane="bottomLeft" state="frozen"/>
      <selection activeCell="A3" sqref="A3"/>
      <selection pane="bottomLeft" activeCell="H69" sqref="H69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2" spans="1:11" ht="13.5" thickBot="1" x14ac:dyDescent="0.25">
      <c r="A2" s="149"/>
      <c r="B2" s="149"/>
      <c r="C2" s="149"/>
      <c r="D2" s="149"/>
      <c r="E2" s="149"/>
      <c r="F2" s="149"/>
      <c r="G2" s="149"/>
      <c r="H2" s="149"/>
      <c r="I2" s="220" t="s">
        <v>2658</v>
      </c>
    </row>
    <row r="3" spans="1:11" ht="26.25" thickTop="1" x14ac:dyDescent="0.2">
      <c r="A3" s="149"/>
      <c r="B3" s="175" t="s">
        <v>2845</v>
      </c>
      <c r="C3" s="176" t="s">
        <v>2846</v>
      </c>
      <c r="D3" s="176" t="s">
        <v>2847</v>
      </c>
      <c r="E3" s="176" t="s">
        <v>2848</v>
      </c>
      <c r="F3" s="176" t="s">
        <v>2849</v>
      </c>
      <c r="G3" s="176" t="s">
        <v>2850</v>
      </c>
      <c r="H3" s="176" t="s">
        <v>2851</v>
      </c>
      <c r="I3" s="177" t="s">
        <v>2852</v>
      </c>
    </row>
    <row r="4" spans="1:11" x14ac:dyDescent="0.2">
      <c r="B4" s="178" t="s">
        <v>2853</v>
      </c>
      <c r="C4" s="7">
        <v>200</v>
      </c>
      <c r="D4" s="7">
        <v>3000</v>
      </c>
      <c r="E4" s="7" t="s">
        <v>2854</v>
      </c>
      <c r="F4" s="85">
        <v>4.5</v>
      </c>
      <c r="G4" s="7">
        <v>4</v>
      </c>
      <c r="H4" s="7">
        <v>3</v>
      </c>
      <c r="I4" s="179">
        <f t="shared" ref="I4:I19" si="0">F4*G4*H4</f>
        <v>54</v>
      </c>
    </row>
    <row r="5" spans="1:11" x14ac:dyDescent="0.2">
      <c r="B5" s="178" t="s">
        <v>2855</v>
      </c>
      <c r="C5" s="7">
        <v>100</v>
      </c>
      <c r="D5" s="7">
        <v>2000</v>
      </c>
      <c r="E5" s="7" t="s">
        <v>2854</v>
      </c>
      <c r="F5" s="85">
        <v>2</v>
      </c>
      <c r="G5" s="7">
        <v>15</v>
      </c>
      <c r="H5" s="7">
        <v>2</v>
      </c>
      <c r="I5" s="179">
        <f t="shared" si="0"/>
        <v>60</v>
      </c>
    </row>
    <row r="6" spans="1:11" x14ac:dyDescent="0.2">
      <c r="B6" s="178" t="s">
        <v>2856</v>
      </c>
      <c r="C6" s="7">
        <v>60</v>
      </c>
      <c r="D6" s="7"/>
      <c r="E6" s="7"/>
      <c r="F6" s="85"/>
      <c r="G6" s="7"/>
      <c r="H6" s="7"/>
      <c r="I6" s="179">
        <f t="shared" si="0"/>
        <v>0</v>
      </c>
    </row>
    <row r="7" spans="1:11" x14ac:dyDescent="0.2">
      <c r="B7" s="178" t="s">
        <v>2857</v>
      </c>
      <c r="C7" s="7">
        <v>10</v>
      </c>
      <c r="D7" s="7">
        <v>8000</v>
      </c>
      <c r="E7" s="7" t="s">
        <v>2858</v>
      </c>
      <c r="F7" s="85">
        <v>0.8</v>
      </c>
      <c r="G7" s="7">
        <v>25</v>
      </c>
      <c r="H7" s="7">
        <v>6</v>
      </c>
      <c r="I7" s="179">
        <f t="shared" si="0"/>
        <v>120</v>
      </c>
    </row>
    <row r="8" spans="1:11" x14ac:dyDescent="0.2">
      <c r="B8" s="178" t="s">
        <v>2853</v>
      </c>
      <c r="C8" s="7">
        <v>80</v>
      </c>
      <c r="D8" s="7">
        <v>1000</v>
      </c>
      <c r="E8" s="7" t="s">
        <v>2854</v>
      </c>
      <c r="F8" s="85">
        <v>0.2</v>
      </c>
      <c r="G8" s="7">
        <v>40</v>
      </c>
      <c r="H8" s="7">
        <v>3</v>
      </c>
      <c r="I8" s="179">
        <f t="shared" si="0"/>
        <v>24</v>
      </c>
    </row>
    <row r="9" spans="1:11" x14ac:dyDescent="0.2">
      <c r="B9" s="178" t="s">
        <v>2856</v>
      </c>
      <c r="C9" s="7">
        <v>100</v>
      </c>
      <c r="D9" s="7" t="s">
        <v>2859</v>
      </c>
      <c r="E9" s="7" t="s">
        <v>2854</v>
      </c>
      <c r="F9" s="85">
        <v>1.25</v>
      </c>
      <c r="G9" s="7">
        <v>10</v>
      </c>
      <c r="H9" s="7">
        <v>4</v>
      </c>
      <c r="I9" s="179">
        <f t="shared" si="0"/>
        <v>50</v>
      </c>
    </row>
    <row r="10" spans="1:11" x14ac:dyDescent="0.2">
      <c r="B10" s="178" t="s">
        <v>2856</v>
      </c>
      <c r="C10" s="7">
        <v>200</v>
      </c>
      <c r="D10" s="7">
        <v>3000</v>
      </c>
      <c r="E10" s="7" t="s">
        <v>2854</v>
      </c>
      <c r="F10" s="85">
        <v>2.5</v>
      </c>
      <c r="G10" s="7">
        <v>15</v>
      </c>
      <c r="H10" s="7">
        <v>1</v>
      </c>
      <c r="I10" s="179">
        <f t="shared" si="0"/>
        <v>37.5</v>
      </c>
    </row>
    <row r="11" spans="1:11" x14ac:dyDescent="0.2">
      <c r="B11" s="178" t="s">
        <v>2857</v>
      </c>
      <c r="C11" s="7">
        <v>25</v>
      </c>
      <c r="D11" s="7" t="s">
        <v>2859</v>
      </c>
      <c r="E11" s="7" t="s">
        <v>2858</v>
      </c>
      <c r="F11" s="85">
        <v>0.5</v>
      </c>
      <c r="G11" s="7">
        <v>10</v>
      </c>
      <c r="H11" s="7">
        <v>3</v>
      </c>
      <c r="I11" s="179">
        <f t="shared" si="0"/>
        <v>15</v>
      </c>
    </row>
    <row r="12" spans="1:11" x14ac:dyDescent="0.2">
      <c r="B12" s="178" t="s">
        <v>2853</v>
      </c>
      <c r="C12" s="7">
        <v>200</v>
      </c>
      <c r="D12" s="7">
        <v>3000</v>
      </c>
      <c r="E12" s="7" t="s">
        <v>2858</v>
      </c>
      <c r="F12" s="85">
        <v>5</v>
      </c>
      <c r="G12" s="7">
        <v>3</v>
      </c>
      <c r="H12" s="7">
        <v>2</v>
      </c>
      <c r="I12" s="179">
        <f t="shared" si="0"/>
        <v>30</v>
      </c>
    </row>
    <row r="13" spans="1:11" x14ac:dyDescent="0.2">
      <c r="B13" s="178" t="s">
        <v>2855</v>
      </c>
      <c r="C13" s="7">
        <v>100</v>
      </c>
      <c r="D13" s="7">
        <v>2000</v>
      </c>
      <c r="E13" s="7" t="s">
        <v>2858</v>
      </c>
      <c r="F13" s="85">
        <v>1.8</v>
      </c>
      <c r="G13" s="7">
        <v>20</v>
      </c>
      <c r="H13" s="7">
        <v>5</v>
      </c>
      <c r="I13" s="179">
        <f t="shared" si="0"/>
        <v>180</v>
      </c>
    </row>
    <row r="14" spans="1:11" x14ac:dyDescent="0.2">
      <c r="B14" s="178" t="s">
        <v>2853</v>
      </c>
      <c r="C14" s="7">
        <v>100</v>
      </c>
      <c r="D14" s="7" t="s">
        <v>2859</v>
      </c>
      <c r="E14" s="7" t="s">
        <v>2858</v>
      </c>
      <c r="F14" s="85">
        <v>0.25</v>
      </c>
      <c r="G14" s="7">
        <v>10</v>
      </c>
      <c r="H14" s="7">
        <v>5</v>
      </c>
      <c r="I14" s="179">
        <f t="shared" si="0"/>
        <v>12.5</v>
      </c>
    </row>
    <row r="15" spans="1:11" x14ac:dyDescent="0.2">
      <c r="B15" s="178" t="s">
        <v>2853</v>
      </c>
      <c r="C15" s="7">
        <v>10</v>
      </c>
      <c r="D15" s="7">
        <v>800</v>
      </c>
      <c r="E15" s="7" t="s">
        <v>2854</v>
      </c>
      <c r="F15" s="85">
        <v>0.2</v>
      </c>
      <c r="G15" s="7">
        <v>25</v>
      </c>
      <c r="H15" s="7">
        <v>2</v>
      </c>
      <c r="I15" s="179">
        <f t="shared" si="0"/>
        <v>10</v>
      </c>
    </row>
    <row r="16" spans="1:11" x14ac:dyDescent="0.2">
      <c r="B16" s="178" t="s">
        <v>2853</v>
      </c>
      <c r="C16" s="7">
        <v>60</v>
      </c>
      <c r="D16" s="7">
        <v>1000</v>
      </c>
      <c r="E16" s="7" t="s">
        <v>2858</v>
      </c>
      <c r="F16" s="85">
        <v>0.15</v>
      </c>
      <c r="G16" s="7">
        <v>25</v>
      </c>
      <c r="H16" s="7">
        <v>1</v>
      </c>
      <c r="I16" s="179">
        <f t="shared" si="0"/>
        <v>3.75</v>
      </c>
    </row>
    <row r="17" spans="2:10" x14ac:dyDescent="0.2">
      <c r="B17" s="178" t="s">
        <v>2853</v>
      </c>
      <c r="C17" s="7">
        <v>80</v>
      </c>
      <c r="D17" s="7">
        <v>1000</v>
      </c>
      <c r="E17" s="7" t="s">
        <v>2858</v>
      </c>
      <c r="F17" s="85">
        <v>0.2</v>
      </c>
      <c r="G17" s="7">
        <v>30</v>
      </c>
      <c r="H17" s="7">
        <v>2</v>
      </c>
      <c r="I17" s="179">
        <f t="shared" si="0"/>
        <v>12</v>
      </c>
    </row>
    <row r="18" spans="2:10" x14ac:dyDescent="0.2">
      <c r="B18" s="178" t="s">
        <v>2853</v>
      </c>
      <c r="C18" s="7">
        <v>100</v>
      </c>
      <c r="D18" s="7">
        <v>2000</v>
      </c>
      <c r="E18" s="7" t="s">
        <v>2854</v>
      </c>
      <c r="F18" s="85">
        <v>0.8</v>
      </c>
      <c r="G18" s="7">
        <v>10</v>
      </c>
      <c r="H18" s="7">
        <v>5</v>
      </c>
      <c r="I18" s="179">
        <f t="shared" si="0"/>
        <v>40</v>
      </c>
    </row>
    <row r="19" spans="2:10" ht="13.5" thickBot="1" x14ac:dyDescent="0.25">
      <c r="B19" s="180" t="s">
        <v>2853</v>
      </c>
      <c r="C19" s="181">
        <v>40</v>
      </c>
      <c r="D19" s="181">
        <v>1000</v>
      </c>
      <c r="E19" s="181" t="s">
        <v>2854</v>
      </c>
      <c r="F19" s="182">
        <v>0.1</v>
      </c>
      <c r="G19" s="181">
        <v>20</v>
      </c>
      <c r="H19" s="181">
        <v>5</v>
      </c>
      <c r="I19" s="179">
        <f t="shared" si="0"/>
        <v>10</v>
      </c>
    </row>
    <row r="20" spans="2:10" ht="13.5" thickTop="1" x14ac:dyDescent="0.2"/>
    <row r="21" spans="2:10" x14ac:dyDescent="0.2">
      <c r="B21" t="s">
        <v>3219</v>
      </c>
    </row>
    <row r="22" spans="2:10" ht="13.5" thickBot="1" x14ac:dyDescent="0.25"/>
    <row r="23" spans="2:10" ht="13.5" thickTop="1" x14ac:dyDescent="0.2">
      <c r="E23" s="183" t="s">
        <v>2848</v>
      </c>
      <c r="F23" s="184" t="s">
        <v>710</v>
      </c>
    </row>
    <row r="24" spans="2:10" ht="13.5" thickBot="1" x14ac:dyDescent="0.25">
      <c r="D24" s="88" t="s">
        <v>2638</v>
      </c>
      <c r="E24" s="185" t="s">
        <v>2854</v>
      </c>
    </row>
    <row r="25" spans="2:10" ht="13.5" thickTop="1" x14ac:dyDescent="0.2"/>
    <row r="26" spans="2:10" x14ac:dyDescent="0.2">
      <c r="B26" s="149"/>
      <c r="C26" s="149"/>
      <c r="D26" s="186" t="str">
        <f>"The COUNT value of "&amp;E24&amp;" is : "</f>
        <v xml:space="preserve">The COUNT value of Horizon is : </v>
      </c>
      <c r="E26" s="221">
        <f>DCOUNTA(B3:I19,E3,E23:E24)</f>
        <v>8</v>
      </c>
      <c r="F26" s="13" t="s">
        <v>3220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3221</v>
      </c>
    </row>
    <row r="30" spans="2:10" x14ac:dyDescent="0.2">
      <c r="B30" t="s">
        <v>3222</v>
      </c>
    </row>
    <row r="32" spans="2:10" ht="13.5" thickBot="1" x14ac:dyDescent="0.25">
      <c r="B32" s="2" t="s">
        <v>998</v>
      </c>
      <c r="C32" s="2"/>
      <c r="D32" s="2"/>
      <c r="E32" s="2"/>
      <c r="F32" s="2"/>
      <c r="G32" s="2"/>
      <c r="H32" s="2"/>
      <c r="I32" s="2"/>
      <c r="J32" s="2"/>
    </row>
    <row r="33" spans="2:10" x14ac:dyDescent="0.2">
      <c r="B33" s="61" t="s">
        <v>3223</v>
      </c>
    </row>
    <row r="34" spans="2:10" ht="18" customHeight="1" x14ac:dyDescent="0.2">
      <c r="B34" t="s">
        <v>711</v>
      </c>
    </row>
    <row r="35" spans="2:10" x14ac:dyDescent="0.2">
      <c r="B35" t="s">
        <v>2643</v>
      </c>
    </row>
    <row r="36" spans="2:10" ht="18" customHeight="1" x14ac:dyDescent="0.2">
      <c r="B36" t="s">
        <v>3218</v>
      </c>
    </row>
    <row r="37" spans="2:10" ht="18" customHeight="1" x14ac:dyDescent="0.2">
      <c r="B37" t="s">
        <v>713</v>
      </c>
    </row>
    <row r="38" spans="2:10" x14ac:dyDescent="0.2">
      <c r="B38" t="s">
        <v>2644</v>
      </c>
    </row>
    <row r="39" spans="2:10" x14ac:dyDescent="0.2">
      <c r="B39" t="s">
        <v>2645</v>
      </c>
    </row>
    <row r="40" spans="2:10" ht="18" customHeight="1" x14ac:dyDescent="0.2">
      <c r="B40" t="s">
        <v>2646</v>
      </c>
    </row>
    <row r="41" spans="2:10" x14ac:dyDescent="0.2">
      <c r="B41" t="s">
        <v>2647</v>
      </c>
    </row>
    <row r="43" spans="2:10" ht="13.5" thickBot="1" x14ac:dyDescent="0.25">
      <c r="B43" s="2" t="s">
        <v>3355</v>
      </c>
      <c r="C43" s="2"/>
      <c r="D43" s="2"/>
      <c r="E43" s="2"/>
      <c r="F43" s="2"/>
      <c r="G43" s="2"/>
      <c r="H43" s="2"/>
      <c r="I43" s="2"/>
      <c r="J43" s="2"/>
    </row>
    <row r="44" spans="2:10" x14ac:dyDescent="0.2">
      <c r="B44" t="s">
        <v>2424</v>
      </c>
    </row>
    <row r="46" spans="2:10" ht="13.5" thickBot="1" x14ac:dyDescent="0.25">
      <c r="B46" s="2" t="s">
        <v>2648</v>
      </c>
      <c r="C46" s="2"/>
      <c r="D46" s="2"/>
      <c r="E46" s="2"/>
      <c r="F46" s="2"/>
      <c r="G46" s="2"/>
      <c r="H46" s="2"/>
      <c r="I46" s="2"/>
      <c r="J46" s="2"/>
    </row>
    <row r="48" spans="2:10" x14ac:dyDescent="0.2">
      <c r="B48" s="188" t="s">
        <v>3224</v>
      </c>
    </row>
    <row r="49" spans="2:10" ht="13.5" thickBot="1" x14ac:dyDescent="0.25"/>
    <row r="50" spans="2:10" ht="26.25" thickTop="1" x14ac:dyDescent="0.2">
      <c r="E50" s="189" t="s">
        <v>2845</v>
      </c>
      <c r="F50" s="222" t="s">
        <v>2847</v>
      </c>
    </row>
    <row r="51" spans="2:10" ht="13.5" thickBot="1" x14ac:dyDescent="0.25">
      <c r="E51" s="191" t="s">
        <v>2853</v>
      </c>
      <c r="F51" s="192" t="s">
        <v>2859</v>
      </c>
    </row>
    <row r="52" spans="2:10" ht="13.5" thickTop="1" x14ac:dyDescent="0.2"/>
    <row r="53" spans="2:10" x14ac:dyDescent="0.2">
      <c r="D53" s="88" t="s">
        <v>3207</v>
      </c>
      <c r="E53" s="221">
        <f>DCOUNTA(B3:I19,D3,E50:F51)</f>
        <v>1</v>
      </c>
      <c r="F53" s="13" t="s">
        <v>3225</v>
      </c>
    </row>
    <row r="55" spans="2:10" x14ac:dyDescent="0.2">
      <c r="B55" t="s">
        <v>3226</v>
      </c>
    </row>
    <row r="57" spans="2:10" x14ac:dyDescent="0.2">
      <c r="E57" s="221">
        <f>DCOUNTA(B3:I19,"Life Hours",E50:F51)</f>
        <v>1</v>
      </c>
      <c r="F57" s="13" t="s">
        <v>3227</v>
      </c>
    </row>
    <row r="59" spans="2:10" ht="18" customHeight="1" x14ac:dyDescent="0.2">
      <c r="B59" s="193" t="s">
        <v>3228</v>
      </c>
      <c r="C59" s="194"/>
      <c r="D59" s="194"/>
      <c r="E59" s="194"/>
      <c r="F59" s="194"/>
      <c r="G59" s="194"/>
      <c r="H59" s="194"/>
      <c r="I59" s="194"/>
      <c r="J59" s="194"/>
    </row>
    <row r="60" spans="2:10" ht="13.5" thickBot="1" x14ac:dyDescent="0.25"/>
    <row r="61" spans="2:10" ht="13.5" thickTop="1" x14ac:dyDescent="0.2">
      <c r="E61" s="189" t="s">
        <v>2845</v>
      </c>
      <c r="F61" s="190" t="s">
        <v>2848</v>
      </c>
    </row>
    <row r="62" spans="2:10" ht="13.5" thickBot="1" x14ac:dyDescent="0.25">
      <c r="E62" s="191" t="s">
        <v>2853</v>
      </c>
      <c r="F62" s="192" t="s">
        <v>2854</v>
      </c>
    </row>
    <row r="63" spans="2:10" ht="13.5" thickTop="1" x14ac:dyDescent="0.2"/>
    <row r="64" spans="2:10" x14ac:dyDescent="0.2">
      <c r="D64" s="88" t="s">
        <v>3212</v>
      </c>
      <c r="E64" s="221">
        <f>DCOUNTA(B3:I19,"Product",E61:F62)</f>
        <v>5</v>
      </c>
      <c r="F64" s="13" t="s">
        <v>3229</v>
      </c>
    </row>
    <row r="66" spans="2:10" x14ac:dyDescent="0.2">
      <c r="B66" s="193" t="s">
        <v>3230</v>
      </c>
      <c r="C66" s="194"/>
      <c r="D66" s="194"/>
      <c r="E66" s="194"/>
      <c r="F66" s="194"/>
      <c r="G66" s="194"/>
      <c r="H66" s="194"/>
      <c r="I66" s="194"/>
      <c r="J66" s="194"/>
    </row>
    <row r="67" spans="2:10" ht="13.5" thickBot="1" x14ac:dyDescent="0.25"/>
    <row r="68" spans="2:10" ht="13.5" thickTop="1" x14ac:dyDescent="0.2">
      <c r="E68" s="189" t="s">
        <v>2845</v>
      </c>
      <c r="F68" s="190" t="s">
        <v>2848</v>
      </c>
    </row>
    <row r="69" spans="2:10" x14ac:dyDescent="0.2">
      <c r="E69" s="225" t="s">
        <v>2856</v>
      </c>
      <c r="F69" s="226" t="s">
        <v>2854</v>
      </c>
    </row>
    <row r="70" spans="2:10" ht="13.5" thickBot="1" x14ac:dyDescent="0.25">
      <c r="E70" s="191" t="s">
        <v>2855</v>
      </c>
      <c r="F70" s="192" t="s">
        <v>2858</v>
      </c>
    </row>
    <row r="71" spans="2:10" ht="13.5" thickTop="1" x14ac:dyDescent="0.2"/>
    <row r="72" spans="2:10" x14ac:dyDescent="0.2">
      <c r="D72" s="88" t="s">
        <v>3212</v>
      </c>
      <c r="E72" s="221">
        <f>DCOUNTA(B3:I19,"Product",E68:F70)</f>
        <v>3</v>
      </c>
      <c r="F72" s="13" t="s">
        <v>3231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K71"/>
  <sheetViews>
    <sheetView showGridLines="0" workbookViewId="0">
      <pane ySplit="1" topLeftCell="A48" activePane="bottomLeft" state="frozen"/>
      <selection activeCell="A3" sqref="A3"/>
      <selection pane="bottomLeft" activeCell="C1" sqref="C1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2" spans="1:11" ht="13.5" thickBot="1" x14ac:dyDescent="0.25">
      <c r="A2" s="149"/>
      <c r="B2" s="149"/>
      <c r="C2" s="149"/>
      <c r="D2" s="149"/>
      <c r="E2" s="149"/>
      <c r="F2" s="149"/>
      <c r="G2" s="149"/>
      <c r="H2" s="149"/>
      <c r="I2" s="220" t="s">
        <v>2658</v>
      </c>
    </row>
    <row r="3" spans="1:11" ht="26.25" thickTop="1" x14ac:dyDescent="0.2">
      <c r="A3" s="149"/>
      <c r="B3" s="175" t="s">
        <v>2845</v>
      </c>
      <c r="C3" s="176" t="s">
        <v>2846</v>
      </c>
      <c r="D3" s="176" t="s">
        <v>2847</v>
      </c>
      <c r="E3" s="176" t="s">
        <v>2848</v>
      </c>
      <c r="F3" s="176" t="s">
        <v>2849</v>
      </c>
      <c r="G3" s="176" t="s">
        <v>2850</v>
      </c>
      <c r="H3" s="176" t="s">
        <v>2851</v>
      </c>
      <c r="I3" s="177" t="s">
        <v>2852</v>
      </c>
    </row>
    <row r="4" spans="1:11" x14ac:dyDescent="0.2">
      <c r="B4" s="178" t="s">
        <v>2853</v>
      </c>
      <c r="C4" s="7">
        <v>200</v>
      </c>
      <c r="D4" s="7">
        <v>3000</v>
      </c>
      <c r="E4" s="7" t="s">
        <v>2854</v>
      </c>
      <c r="F4" s="85">
        <v>4.5</v>
      </c>
      <c r="G4" s="7">
        <v>4</v>
      </c>
      <c r="H4" s="7">
        <v>3</v>
      </c>
      <c r="I4" s="179">
        <f t="shared" ref="I4:I19" si="0">F4*G4*H4</f>
        <v>54</v>
      </c>
    </row>
    <row r="5" spans="1:11" x14ac:dyDescent="0.2">
      <c r="B5" s="178" t="s">
        <v>2855</v>
      </c>
      <c r="C5" s="7">
        <v>100</v>
      </c>
      <c r="D5" s="7">
        <v>2000</v>
      </c>
      <c r="E5" s="7" t="s">
        <v>2854</v>
      </c>
      <c r="F5" s="85">
        <v>2</v>
      </c>
      <c r="G5" s="7">
        <v>15</v>
      </c>
      <c r="H5" s="7">
        <v>2</v>
      </c>
      <c r="I5" s="179">
        <f t="shared" si="0"/>
        <v>60</v>
      </c>
    </row>
    <row r="6" spans="1:11" x14ac:dyDescent="0.2">
      <c r="B6" s="178" t="s">
        <v>2856</v>
      </c>
      <c r="C6" s="7">
        <v>60</v>
      </c>
      <c r="D6" s="7"/>
      <c r="E6" s="7"/>
      <c r="F6" s="85"/>
      <c r="G6" s="7"/>
      <c r="H6" s="7"/>
      <c r="I6" s="179">
        <f t="shared" si="0"/>
        <v>0</v>
      </c>
    </row>
    <row r="7" spans="1:11" x14ac:dyDescent="0.2">
      <c r="B7" s="178" t="s">
        <v>2857</v>
      </c>
      <c r="C7" s="7">
        <v>10</v>
      </c>
      <c r="D7" s="7">
        <v>8000</v>
      </c>
      <c r="E7" s="7" t="s">
        <v>2858</v>
      </c>
      <c r="F7" s="85">
        <v>0.8</v>
      </c>
      <c r="G7" s="7">
        <v>25</v>
      </c>
      <c r="H7" s="7">
        <v>6</v>
      </c>
      <c r="I7" s="179">
        <f t="shared" si="0"/>
        <v>120</v>
      </c>
    </row>
    <row r="8" spans="1:11" x14ac:dyDescent="0.2">
      <c r="B8" s="178" t="s">
        <v>2853</v>
      </c>
      <c r="C8" s="7">
        <v>80</v>
      </c>
      <c r="D8" s="7">
        <v>1000</v>
      </c>
      <c r="E8" s="7" t="s">
        <v>2854</v>
      </c>
      <c r="F8" s="85">
        <v>0.2</v>
      </c>
      <c r="G8" s="7">
        <v>40</v>
      </c>
      <c r="H8" s="7">
        <v>3</v>
      </c>
      <c r="I8" s="179">
        <f t="shared" si="0"/>
        <v>24</v>
      </c>
    </row>
    <row r="9" spans="1:11" x14ac:dyDescent="0.2">
      <c r="B9" s="178" t="s">
        <v>2856</v>
      </c>
      <c r="C9" s="7">
        <v>100</v>
      </c>
      <c r="D9" s="7" t="s">
        <v>2859</v>
      </c>
      <c r="E9" s="7" t="s">
        <v>2854</v>
      </c>
      <c r="F9" s="85">
        <v>1.25</v>
      </c>
      <c r="G9" s="7">
        <v>10</v>
      </c>
      <c r="H9" s="7">
        <v>4</v>
      </c>
      <c r="I9" s="179">
        <f t="shared" si="0"/>
        <v>50</v>
      </c>
    </row>
    <row r="10" spans="1:11" x14ac:dyDescent="0.2">
      <c r="B10" s="178" t="s">
        <v>2856</v>
      </c>
      <c r="C10" s="7">
        <v>200</v>
      </c>
      <c r="D10" s="7">
        <v>3000</v>
      </c>
      <c r="E10" s="7" t="s">
        <v>2854</v>
      </c>
      <c r="F10" s="85">
        <v>2.5</v>
      </c>
      <c r="G10" s="7">
        <v>15</v>
      </c>
      <c r="H10" s="7">
        <v>1</v>
      </c>
      <c r="I10" s="179">
        <f t="shared" si="0"/>
        <v>37.5</v>
      </c>
    </row>
    <row r="11" spans="1:11" x14ac:dyDescent="0.2">
      <c r="B11" s="178" t="s">
        <v>2857</v>
      </c>
      <c r="C11" s="7">
        <v>25</v>
      </c>
      <c r="D11" s="7" t="s">
        <v>2859</v>
      </c>
      <c r="E11" s="7" t="s">
        <v>2858</v>
      </c>
      <c r="F11" s="85">
        <v>0.5</v>
      </c>
      <c r="G11" s="7">
        <v>10</v>
      </c>
      <c r="H11" s="7">
        <v>3</v>
      </c>
      <c r="I11" s="179">
        <f t="shared" si="0"/>
        <v>15</v>
      </c>
    </row>
    <row r="12" spans="1:11" x14ac:dyDescent="0.2">
      <c r="B12" s="178" t="s">
        <v>2853</v>
      </c>
      <c r="C12" s="7">
        <v>200</v>
      </c>
      <c r="D12" s="7">
        <v>3000</v>
      </c>
      <c r="E12" s="7" t="s">
        <v>2858</v>
      </c>
      <c r="F12" s="85">
        <v>5</v>
      </c>
      <c r="G12" s="7">
        <v>3</v>
      </c>
      <c r="H12" s="7">
        <v>2</v>
      </c>
      <c r="I12" s="179">
        <f t="shared" si="0"/>
        <v>30</v>
      </c>
    </row>
    <row r="13" spans="1:11" x14ac:dyDescent="0.2">
      <c r="B13" s="178" t="s">
        <v>2855</v>
      </c>
      <c r="C13" s="7">
        <v>100</v>
      </c>
      <c r="D13" s="7">
        <v>2000</v>
      </c>
      <c r="E13" s="7" t="s">
        <v>2858</v>
      </c>
      <c r="F13" s="85">
        <v>1.8</v>
      </c>
      <c r="G13" s="7">
        <v>20</v>
      </c>
      <c r="H13" s="7">
        <v>5</v>
      </c>
      <c r="I13" s="179">
        <f t="shared" si="0"/>
        <v>180</v>
      </c>
    </row>
    <row r="14" spans="1:11" x14ac:dyDescent="0.2">
      <c r="B14" s="178" t="s">
        <v>2853</v>
      </c>
      <c r="C14" s="7">
        <v>100</v>
      </c>
      <c r="D14" s="7" t="s">
        <v>2859</v>
      </c>
      <c r="E14" s="7" t="s">
        <v>2858</v>
      </c>
      <c r="F14" s="85">
        <v>0.25</v>
      </c>
      <c r="G14" s="7">
        <v>10</v>
      </c>
      <c r="H14" s="7">
        <v>5</v>
      </c>
      <c r="I14" s="179">
        <f t="shared" si="0"/>
        <v>12.5</v>
      </c>
    </row>
    <row r="15" spans="1:11" x14ac:dyDescent="0.2">
      <c r="B15" s="178" t="s">
        <v>2853</v>
      </c>
      <c r="C15" s="7">
        <v>10</v>
      </c>
      <c r="D15" s="7">
        <v>800</v>
      </c>
      <c r="E15" s="7" t="s">
        <v>2854</v>
      </c>
      <c r="F15" s="85">
        <v>0.2</v>
      </c>
      <c r="G15" s="7">
        <v>25</v>
      </c>
      <c r="H15" s="7">
        <v>2</v>
      </c>
      <c r="I15" s="179">
        <f t="shared" si="0"/>
        <v>10</v>
      </c>
    </row>
    <row r="16" spans="1:11" x14ac:dyDescent="0.2">
      <c r="B16" s="178" t="s">
        <v>2853</v>
      </c>
      <c r="C16" s="7">
        <v>60</v>
      </c>
      <c r="D16" s="7">
        <v>1000</v>
      </c>
      <c r="E16" s="7" t="s">
        <v>2858</v>
      </c>
      <c r="F16" s="85">
        <v>0.15</v>
      </c>
      <c r="G16" s="7">
        <v>25</v>
      </c>
      <c r="H16" s="7">
        <v>1</v>
      </c>
      <c r="I16" s="179">
        <f t="shared" si="0"/>
        <v>3.75</v>
      </c>
    </row>
    <row r="17" spans="2:10" x14ac:dyDescent="0.2">
      <c r="B17" s="178" t="s">
        <v>2853</v>
      </c>
      <c r="C17" s="7">
        <v>80</v>
      </c>
      <c r="D17" s="7">
        <v>1000</v>
      </c>
      <c r="E17" s="7" t="s">
        <v>2858</v>
      </c>
      <c r="F17" s="85">
        <v>0.2</v>
      </c>
      <c r="G17" s="7">
        <v>30</v>
      </c>
      <c r="H17" s="7">
        <v>2</v>
      </c>
      <c r="I17" s="179">
        <f t="shared" si="0"/>
        <v>12</v>
      </c>
    </row>
    <row r="18" spans="2:10" x14ac:dyDescent="0.2">
      <c r="B18" s="178" t="s">
        <v>2853</v>
      </c>
      <c r="C18" s="7">
        <v>100</v>
      </c>
      <c r="D18" s="7">
        <v>2000</v>
      </c>
      <c r="E18" s="7" t="s">
        <v>2854</v>
      </c>
      <c r="F18" s="85">
        <v>0.8</v>
      </c>
      <c r="G18" s="7">
        <v>10</v>
      </c>
      <c r="H18" s="7">
        <v>5</v>
      </c>
      <c r="I18" s="179">
        <f t="shared" si="0"/>
        <v>40</v>
      </c>
    </row>
    <row r="19" spans="2:10" ht="13.5" thickBot="1" x14ac:dyDescent="0.25">
      <c r="B19" s="180" t="s">
        <v>2853</v>
      </c>
      <c r="C19" s="181">
        <v>40</v>
      </c>
      <c r="D19" s="181">
        <v>1000</v>
      </c>
      <c r="E19" s="181" t="s">
        <v>2854</v>
      </c>
      <c r="F19" s="182">
        <v>0.1</v>
      </c>
      <c r="G19" s="181">
        <v>20</v>
      </c>
      <c r="H19" s="181">
        <v>5</v>
      </c>
      <c r="I19" s="179">
        <f t="shared" si="0"/>
        <v>10</v>
      </c>
    </row>
    <row r="20" spans="2:10" ht="13.5" thickTop="1" x14ac:dyDescent="0.2"/>
    <row r="21" spans="2:10" x14ac:dyDescent="0.2">
      <c r="B21" t="s">
        <v>3201</v>
      </c>
    </row>
    <row r="22" spans="2:10" ht="13.5" thickBot="1" x14ac:dyDescent="0.25"/>
    <row r="23" spans="2:10" ht="13.5" thickTop="1" x14ac:dyDescent="0.2">
      <c r="E23" s="183" t="s">
        <v>2848</v>
      </c>
      <c r="F23" s="184" t="s">
        <v>710</v>
      </c>
    </row>
    <row r="24" spans="2:10" ht="13.5" thickBot="1" x14ac:dyDescent="0.25">
      <c r="D24" s="88" t="s">
        <v>2638</v>
      </c>
      <c r="E24" s="185" t="s">
        <v>2854</v>
      </c>
    </row>
    <row r="25" spans="2:10" ht="13.5" thickTop="1" x14ac:dyDescent="0.2"/>
    <row r="26" spans="2:10" x14ac:dyDescent="0.2">
      <c r="B26" s="149"/>
      <c r="C26" s="149"/>
      <c r="D26" s="186" t="str">
        <f>"The COUNT value of "&amp;E24&amp;" is : "</f>
        <v xml:space="preserve">The COUNT value of Horizon is : </v>
      </c>
      <c r="E26" s="221">
        <f>DCOUNT(B3:I19,D3,E23:E24)</f>
        <v>7</v>
      </c>
      <c r="F26" s="13" t="s">
        <v>3202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3203</v>
      </c>
    </row>
    <row r="30" spans="2:10" x14ac:dyDescent="0.2">
      <c r="B30" t="s">
        <v>3204</v>
      </c>
    </row>
    <row r="32" spans="2:10" ht="13.5" thickBot="1" x14ac:dyDescent="0.25">
      <c r="B32" s="2" t="s">
        <v>998</v>
      </c>
      <c r="C32" s="2"/>
      <c r="D32" s="2"/>
      <c r="E32" s="2"/>
      <c r="F32" s="2"/>
      <c r="G32" s="2"/>
      <c r="H32" s="2"/>
      <c r="I32" s="2"/>
      <c r="J32" s="2"/>
    </row>
    <row r="33" spans="2:10" x14ac:dyDescent="0.2">
      <c r="B33" s="61" t="s">
        <v>3205</v>
      </c>
    </row>
    <row r="34" spans="2:10" ht="18" customHeight="1" x14ac:dyDescent="0.2">
      <c r="B34" t="s">
        <v>711</v>
      </c>
    </row>
    <row r="35" spans="2:10" x14ac:dyDescent="0.2">
      <c r="B35" t="s">
        <v>2643</v>
      </c>
    </row>
    <row r="36" spans="2:10" ht="18" customHeight="1" x14ac:dyDescent="0.2">
      <c r="B36" t="s">
        <v>3218</v>
      </c>
    </row>
    <row r="37" spans="2:10" ht="18" customHeight="1" x14ac:dyDescent="0.2">
      <c r="B37" t="s">
        <v>713</v>
      </c>
    </row>
    <row r="38" spans="2:10" x14ac:dyDescent="0.2">
      <c r="B38" t="s">
        <v>2644</v>
      </c>
    </row>
    <row r="39" spans="2:10" x14ac:dyDescent="0.2">
      <c r="B39" t="s">
        <v>2645</v>
      </c>
    </row>
    <row r="40" spans="2:10" ht="18" customHeight="1" x14ac:dyDescent="0.2">
      <c r="B40" t="s">
        <v>2646</v>
      </c>
    </row>
    <row r="41" spans="2:10" x14ac:dyDescent="0.2">
      <c r="B41" t="s">
        <v>2647</v>
      </c>
    </row>
    <row r="43" spans="2:10" ht="13.5" thickBot="1" x14ac:dyDescent="0.25">
      <c r="B43" s="2" t="s">
        <v>3355</v>
      </c>
      <c r="C43" s="2"/>
      <c r="D43" s="2"/>
      <c r="E43" s="2"/>
      <c r="F43" s="2"/>
      <c r="G43" s="2"/>
      <c r="H43" s="2"/>
      <c r="I43" s="2"/>
      <c r="J43" s="2"/>
    </row>
    <row r="44" spans="2:10" x14ac:dyDescent="0.2">
      <c r="B44" t="s">
        <v>2424</v>
      </c>
    </row>
    <row r="46" spans="2:10" ht="13.5" thickBot="1" x14ac:dyDescent="0.25">
      <c r="B46" s="2" t="s">
        <v>2648</v>
      </c>
      <c r="C46" s="2"/>
      <c r="D46" s="2"/>
      <c r="E46" s="2"/>
      <c r="F46" s="2"/>
      <c r="G46" s="2"/>
      <c r="H46" s="2"/>
      <c r="I46" s="2"/>
      <c r="J46" s="2"/>
    </row>
    <row r="48" spans="2:10" x14ac:dyDescent="0.2">
      <c r="B48" s="188" t="s">
        <v>3206</v>
      </c>
    </row>
    <row r="49" spans="2:10" ht="13.5" thickBot="1" x14ac:dyDescent="0.25"/>
    <row r="50" spans="2:10" ht="26.25" thickTop="1" x14ac:dyDescent="0.2">
      <c r="E50" s="189" t="s">
        <v>2845</v>
      </c>
      <c r="F50" s="222" t="s">
        <v>2851</v>
      </c>
    </row>
    <row r="51" spans="2:10" ht="13.5" thickBot="1" x14ac:dyDescent="0.25">
      <c r="E51" s="191" t="s">
        <v>2853</v>
      </c>
      <c r="F51" s="192">
        <v>5</v>
      </c>
    </row>
    <row r="52" spans="2:10" ht="13.5" thickTop="1" x14ac:dyDescent="0.2"/>
    <row r="53" spans="2:10" x14ac:dyDescent="0.2">
      <c r="D53" s="88" t="s">
        <v>3207</v>
      </c>
      <c r="E53" s="221">
        <f>DCOUNT(B3:I19,H3,E50:F51)</f>
        <v>3</v>
      </c>
      <c r="F53" s="13" t="s">
        <v>3208</v>
      </c>
    </row>
    <row r="55" spans="2:10" x14ac:dyDescent="0.2">
      <c r="B55" t="s">
        <v>3209</v>
      </c>
    </row>
    <row r="57" spans="2:10" x14ac:dyDescent="0.2">
      <c r="E57" s="221">
        <f>DCOUNT(B3:I19,"Boxes In Stock",E50:F51)</f>
        <v>3</v>
      </c>
      <c r="F57" s="13" t="s">
        <v>3210</v>
      </c>
    </row>
    <row r="59" spans="2:10" ht="18" customHeight="1" x14ac:dyDescent="0.2">
      <c r="B59" s="193" t="s">
        <v>3211</v>
      </c>
      <c r="C59" s="194"/>
      <c r="D59" s="194"/>
      <c r="E59" s="194"/>
      <c r="F59" s="194"/>
      <c r="G59" s="194"/>
      <c r="H59" s="194"/>
      <c r="I59" s="194"/>
      <c r="J59" s="194"/>
    </row>
    <row r="60" spans="2:10" ht="13.5" thickBot="1" x14ac:dyDescent="0.25"/>
    <row r="61" spans="2:10" ht="13.5" thickTop="1" x14ac:dyDescent="0.2">
      <c r="E61" s="189" t="s">
        <v>2845</v>
      </c>
      <c r="F61" s="190" t="s">
        <v>2846</v>
      </c>
    </row>
    <row r="62" spans="2:10" ht="13.5" thickBot="1" x14ac:dyDescent="0.25">
      <c r="E62" s="191" t="s">
        <v>2853</v>
      </c>
      <c r="F62" s="192">
        <v>100</v>
      </c>
    </row>
    <row r="63" spans="2:10" ht="13.5" thickTop="1" x14ac:dyDescent="0.2"/>
    <row r="64" spans="2:10" x14ac:dyDescent="0.2">
      <c r="D64" s="88" t="s">
        <v>3212</v>
      </c>
      <c r="E64" s="221">
        <f>DCOUNT(B3:I19,"Boxes In Stock",E61:F62)</f>
        <v>2</v>
      </c>
      <c r="F64" s="13" t="s">
        <v>3213</v>
      </c>
    </row>
    <row r="66" spans="2:10" x14ac:dyDescent="0.2">
      <c r="B66" s="193" t="s">
        <v>3214</v>
      </c>
      <c r="C66" s="194"/>
      <c r="D66" s="194"/>
      <c r="E66" s="194"/>
      <c r="F66" s="194"/>
      <c r="G66" s="194"/>
      <c r="H66" s="194"/>
      <c r="I66" s="194"/>
      <c r="J66" s="194"/>
    </row>
    <row r="67" spans="2:10" ht="13.5" thickBot="1" x14ac:dyDescent="0.25"/>
    <row r="68" spans="2:10" ht="13.5" thickTop="1" x14ac:dyDescent="0.2">
      <c r="E68" s="189" t="s">
        <v>2845</v>
      </c>
      <c r="F68" s="223" t="s">
        <v>2846</v>
      </c>
      <c r="G68" s="190" t="s">
        <v>2846</v>
      </c>
    </row>
    <row r="69" spans="2:10" ht="13.5" thickBot="1" x14ac:dyDescent="0.25">
      <c r="E69" s="191" t="s">
        <v>2853</v>
      </c>
      <c r="F69" s="224" t="s">
        <v>3215</v>
      </c>
      <c r="G69" s="192" t="s">
        <v>3216</v>
      </c>
    </row>
    <row r="70" spans="2:10" ht="13.5" thickTop="1" x14ac:dyDescent="0.2"/>
    <row r="71" spans="2:10" x14ac:dyDescent="0.2">
      <c r="D71" s="88" t="s">
        <v>3212</v>
      </c>
      <c r="E71" s="221">
        <f>DCOUNT(B3:I19,"Boxes In Stock",E68:G69)</f>
        <v>4</v>
      </c>
      <c r="F71" s="13" t="s">
        <v>3217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I129"/>
  <sheetViews>
    <sheetView showGridLines="0" workbookViewId="0">
      <pane ySplit="1" topLeftCell="A2" activePane="bottomLeft" state="frozen"/>
      <selection activeCell="A3" sqref="A3"/>
      <selection pane="bottomLeft" activeCell="E4" sqref="E4"/>
    </sheetView>
  </sheetViews>
  <sheetFormatPr defaultRowHeight="12.75" x14ac:dyDescent="0.2"/>
  <cols>
    <col min="1" max="1" width="2.7109375" customWidth="1"/>
    <col min="4" max="4" width="10.5703125" customWidth="1"/>
    <col min="5" max="5" width="12.42578125" customWidth="1"/>
    <col min="6" max="6" width="14.42578125" customWidth="1"/>
    <col min="7" max="7" width="12" customWidth="1"/>
    <col min="8" max="8" width="11.140625" customWidth="1"/>
    <col min="9" max="9" width="3" customWidth="1"/>
  </cols>
  <sheetData>
    <row r="1" spans="1:9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</row>
    <row r="3" spans="1:9" x14ac:dyDescent="0.2">
      <c r="C3" s="20"/>
      <c r="D3" s="21" t="s">
        <v>742</v>
      </c>
      <c r="E3" s="203">
        <v>5000</v>
      </c>
    </row>
    <row r="4" spans="1:9" x14ac:dyDescent="0.2">
      <c r="C4" s="20"/>
      <c r="D4" s="21" t="s">
        <v>743</v>
      </c>
      <c r="E4" s="42">
        <v>5</v>
      </c>
    </row>
    <row r="5" spans="1:9" x14ac:dyDescent="0.2">
      <c r="C5" s="20"/>
      <c r="D5" s="204" t="s">
        <v>744</v>
      </c>
      <c r="E5" s="203">
        <v>200</v>
      </c>
    </row>
    <row r="6" spans="1:9" x14ac:dyDescent="0.2">
      <c r="D6" s="88"/>
    </row>
    <row r="7" spans="1:9" x14ac:dyDescent="0.2">
      <c r="D7" s="6" t="s">
        <v>1626</v>
      </c>
      <c r="E7" s="6" t="s">
        <v>745</v>
      </c>
    </row>
    <row r="8" spans="1:9" x14ac:dyDescent="0.2">
      <c r="D8" s="7">
        <v>1</v>
      </c>
      <c r="E8" s="205">
        <f>DB($E$3,$E$5,$E$4,D8)</f>
        <v>2375</v>
      </c>
      <c r="F8" s="13" t="s">
        <v>746</v>
      </c>
    </row>
    <row r="9" spans="1:9" x14ac:dyDescent="0.2">
      <c r="D9" s="7">
        <v>2</v>
      </c>
      <c r="E9" s="205">
        <f>DB($E$3,$E$5,$E$4,D9)</f>
        <v>1246.875</v>
      </c>
      <c r="F9" s="13" t="s">
        <v>747</v>
      </c>
    </row>
    <row r="10" spans="1:9" x14ac:dyDescent="0.2">
      <c r="D10" s="7">
        <v>3</v>
      </c>
      <c r="E10" s="205">
        <f>DB($E$3,$E$5,$E$4,D10)</f>
        <v>654.609375</v>
      </c>
      <c r="F10" s="13" t="s">
        <v>748</v>
      </c>
    </row>
    <row r="11" spans="1:9" x14ac:dyDescent="0.2">
      <c r="D11" s="7">
        <v>4</v>
      </c>
      <c r="E11" s="205">
        <f>DB($E$3,$E$5,$E$4,D11)</f>
        <v>343.669921875</v>
      </c>
      <c r="F11" s="13" t="s">
        <v>749</v>
      </c>
    </row>
    <row r="12" spans="1:9" x14ac:dyDescent="0.2">
      <c r="D12" s="7">
        <v>5</v>
      </c>
      <c r="E12" s="205">
        <f>DB($E$3,$E$5,$E$4,D12)</f>
        <v>180.42670898437498</v>
      </c>
      <c r="F12" s="13" t="s">
        <v>750</v>
      </c>
    </row>
    <row r="14" spans="1:9" x14ac:dyDescent="0.2">
      <c r="C14" s="20"/>
      <c r="D14" s="21" t="s">
        <v>751</v>
      </c>
      <c r="E14" s="205">
        <f>SUM(E8:E12)</f>
        <v>4800.5810058593752</v>
      </c>
      <c r="F14" s="184" t="s">
        <v>752</v>
      </c>
    </row>
    <row r="16" spans="1:9" ht="13.5" thickBot="1" x14ac:dyDescent="0.25">
      <c r="B16" s="2" t="s">
        <v>2865</v>
      </c>
      <c r="C16" s="2"/>
      <c r="D16" s="2"/>
      <c r="E16" s="2"/>
      <c r="F16" s="2"/>
      <c r="G16" s="2"/>
      <c r="H16" s="2"/>
      <c r="I16" s="2"/>
    </row>
    <row r="17" spans="2:9" x14ac:dyDescent="0.2">
      <c r="B17" t="s">
        <v>753</v>
      </c>
    </row>
    <row r="18" spans="2:9" x14ac:dyDescent="0.2">
      <c r="B18" t="s">
        <v>754</v>
      </c>
    </row>
    <row r="19" spans="2:9" x14ac:dyDescent="0.2">
      <c r="B19" t="s">
        <v>755</v>
      </c>
    </row>
    <row r="20" spans="2:9" x14ac:dyDescent="0.2">
      <c r="B20" t="s">
        <v>756</v>
      </c>
    </row>
    <row r="21" spans="2:9" x14ac:dyDescent="0.2">
      <c r="B21" t="s">
        <v>757</v>
      </c>
    </row>
    <row r="22" spans="2:9" x14ac:dyDescent="0.2">
      <c r="B22" t="s">
        <v>758</v>
      </c>
    </row>
    <row r="23" spans="2:9" x14ac:dyDescent="0.2">
      <c r="B23" t="s">
        <v>759</v>
      </c>
    </row>
    <row r="24" spans="2:9" x14ac:dyDescent="0.2">
      <c r="B24" t="s">
        <v>760</v>
      </c>
    </row>
    <row r="26" spans="2:9" x14ac:dyDescent="0.2">
      <c r="B26" t="s">
        <v>761</v>
      </c>
    </row>
    <row r="27" spans="2:9" x14ac:dyDescent="0.2">
      <c r="B27" t="s">
        <v>762</v>
      </c>
    </row>
    <row r="28" spans="2:9" x14ac:dyDescent="0.2">
      <c r="B28" t="s">
        <v>763</v>
      </c>
    </row>
    <row r="29" spans="2:9" x14ac:dyDescent="0.2">
      <c r="B29" t="s">
        <v>764</v>
      </c>
    </row>
    <row r="31" spans="2:9" ht="13.5" thickBot="1" x14ac:dyDescent="0.25">
      <c r="B31" s="2" t="s">
        <v>998</v>
      </c>
      <c r="C31" s="2"/>
      <c r="D31" s="2"/>
      <c r="E31" s="2"/>
      <c r="F31" s="2"/>
      <c r="G31" s="2"/>
      <c r="H31" s="2"/>
      <c r="I31" s="2"/>
    </row>
    <row r="32" spans="2:9" x14ac:dyDescent="0.2">
      <c r="B32" s="61" t="s">
        <v>765</v>
      </c>
    </row>
    <row r="33" spans="2:9" x14ac:dyDescent="0.2">
      <c r="B33" t="s">
        <v>766</v>
      </c>
    </row>
    <row r="34" spans="2:9" x14ac:dyDescent="0.2">
      <c r="B34" t="s">
        <v>767</v>
      </c>
    </row>
    <row r="35" spans="2:9" x14ac:dyDescent="0.2">
      <c r="B35" t="s">
        <v>768</v>
      </c>
    </row>
    <row r="37" spans="2:9" ht="13.5" thickBot="1" x14ac:dyDescent="0.25">
      <c r="B37" s="2" t="s">
        <v>3355</v>
      </c>
      <c r="C37" s="2"/>
      <c r="D37" s="2"/>
      <c r="E37" s="2"/>
      <c r="F37" s="2"/>
      <c r="G37" s="2"/>
      <c r="H37" s="2"/>
      <c r="I37" s="2"/>
    </row>
    <row r="38" spans="2:9" x14ac:dyDescent="0.2">
      <c r="B38" t="s">
        <v>2424</v>
      </c>
    </row>
    <row r="40" spans="2:9" ht="13.5" thickBot="1" x14ac:dyDescent="0.25">
      <c r="B40" s="2" t="s">
        <v>1937</v>
      </c>
      <c r="C40" s="2"/>
      <c r="D40" s="2"/>
      <c r="E40" s="2"/>
      <c r="F40" s="2"/>
      <c r="G40" s="2"/>
      <c r="H40" s="2"/>
      <c r="I40" s="2"/>
    </row>
    <row r="41" spans="2:9" x14ac:dyDescent="0.2">
      <c r="B41" t="s">
        <v>769</v>
      </c>
    </row>
    <row r="42" spans="2:9" x14ac:dyDescent="0.2">
      <c r="B42" t="s">
        <v>770</v>
      </c>
    </row>
    <row r="43" spans="2:9" x14ac:dyDescent="0.2">
      <c r="B43" t="s">
        <v>771</v>
      </c>
    </row>
    <row r="44" spans="2:9" x14ac:dyDescent="0.2">
      <c r="B44" t="s">
        <v>772</v>
      </c>
    </row>
    <row r="45" spans="2:9" x14ac:dyDescent="0.2">
      <c r="B45" t="s">
        <v>773</v>
      </c>
    </row>
    <row r="47" spans="2:9" x14ac:dyDescent="0.2">
      <c r="C47" s="20"/>
      <c r="D47" s="21" t="s">
        <v>742</v>
      </c>
      <c r="E47" s="203">
        <v>5000</v>
      </c>
    </row>
    <row r="48" spans="2:9" x14ac:dyDescent="0.2">
      <c r="C48" s="20"/>
      <c r="D48" s="204" t="s">
        <v>744</v>
      </c>
      <c r="E48" s="203">
        <v>1000</v>
      </c>
    </row>
    <row r="49" spans="2:9" x14ac:dyDescent="0.2">
      <c r="C49" s="20"/>
      <c r="D49" s="21" t="s">
        <v>743</v>
      </c>
      <c r="E49" s="42">
        <v>5</v>
      </c>
    </row>
    <row r="50" spans="2:9" x14ac:dyDescent="0.2">
      <c r="D50" s="88"/>
    </row>
    <row r="51" spans="2:9" x14ac:dyDescent="0.2">
      <c r="D51" s="6" t="s">
        <v>1626</v>
      </c>
      <c r="E51" s="6" t="s">
        <v>745</v>
      </c>
      <c r="G51" s="6" t="s">
        <v>774</v>
      </c>
    </row>
    <row r="52" spans="2:9" x14ac:dyDescent="0.2">
      <c r="D52" s="7">
        <v>1</v>
      </c>
      <c r="E52" s="205">
        <f>DB($E$47,$E$48,$E$49,D52)</f>
        <v>1375</v>
      </c>
      <c r="G52" s="206">
        <f>E52/E47</f>
        <v>0.27500000000000002</v>
      </c>
    </row>
    <row r="53" spans="2:9" x14ac:dyDescent="0.2">
      <c r="D53" s="7">
        <v>2</v>
      </c>
      <c r="E53" s="205">
        <f>DB($E$47,$E$48,$E$49,D53)</f>
        <v>996.87500000000011</v>
      </c>
      <c r="G53" s="206">
        <f>E53/($E$47-SUM($E$52:E52))</f>
        <v>0.27500000000000002</v>
      </c>
    </row>
    <row r="54" spans="2:9" x14ac:dyDescent="0.2">
      <c r="D54" s="7">
        <v>3</v>
      </c>
      <c r="E54" s="205">
        <f>DB($E$47,$E$48,$E$49,D54)</f>
        <v>722.73437500000011</v>
      </c>
      <c r="G54" s="206">
        <f>E54/($E$47-SUM($E$52:E53))</f>
        <v>0.27500000000000002</v>
      </c>
    </row>
    <row r="55" spans="2:9" x14ac:dyDescent="0.2">
      <c r="D55" s="7">
        <v>4</v>
      </c>
      <c r="E55" s="205">
        <f>DB($E$47,$E$48,$E$49,D55)</f>
        <v>523.982421875</v>
      </c>
      <c r="G55" s="206">
        <f>E55/($E$47-SUM($E$52:E54))</f>
        <v>0.27500000000000002</v>
      </c>
    </row>
    <row r="56" spans="2:9" x14ac:dyDescent="0.2">
      <c r="D56" s="7">
        <v>5</v>
      </c>
      <c r="E56" s="205">
        <f>DB($E$47,$E$48,$E$49,D56)</f>
        <v>379.88725585937505</v>
      </c>
      <c r="G56" s="206">
        <f>E56/($E$47-SUM($E$52:E55))</f>
        <v>0.27500000000000002</v>
      </c>
    </row>
    <row r="57" spans="2:9" x14ac:dyDescent="0.2">
      <c r="E57" s="13" t="s">
        <v>775</v>
      </c>
    </row>
    <row r="59" spans="2:9" x14ac:dyDescent="0.2">
      <c r="C59" s="20"/>
      <c r="D59" s="21" t="s">
        <v>751</v>
      </c>
      <c r="E59" s="205">
        <f>SUM(E52:E56)</f>
        <v>3998.4790527343748</v>
      </c>
    </row>
    <row r="62" spans="2:9" ht="13.5" thickBot="1" x14ac:dyDescent="0.25">
      <c r="B62" s="2" t="s">
        <v>1962</v>
      </c>
      <c r="C62" s="2"/>
      <c r="D62" s="2"/>
      <c r="E62" s="2"/>
      <c r="F62" s="2"/>
      <c r="G62" s="2"/>
      <c r="H62" s="2"/>
      <c r="I62" s="2"/>
    </row>
    <row r="63" spans="2:9" x14ac:dyDescent="0.2">
      <c r="B63" t="s">
        <v>776</v>
      </c>
    </row>
    <row r="64" spans="2:9" x14ac:dyDescent="0.2">
      <c r="B64" t="s">
        <v>777</v>
      </c>
    </row>
    <row r="66" spans="2:9" x14ac:dyDescent="0.2">
      <c r="C66" s="20"/>
      <c r="D66" s="21" t="s">
        <v>742</v>
      </c>
      <c r="E66" s="203">
        <v>5000</v>
      </c>
    </row>
    <row r="67" spans="2:9" x14ac:dyDescent="0.2">
      <c r="C67" s="20"/>
      <c r="D67" s="21" t="s">
        <v>743</v>
      </c>
      <c r="E67" s="203">
        <v>5</v>
      </c>
    </row>
    <row r="68" spans="2:9" x14ac:dyDescent="0.2">
      <c r="C68" s="20"/>
      <c r="D68" s="204" t="s">
        <v>744</v>
      </c>
      <c r="E68" s="42">
        <v>100</v>
      </c>
    </row>
    <row r="69" spans="2:9" x14ac:dyDescent="0.2">
      <c r="C69" s="88"/>
    </row>
    <row r="70" spans="2:9" x14ac:dyDescent="0.2">
      <c r="D70" s="6" t="s">
        <v>1722</v>
      </c>
      <c r="E70" s="6" t="s">
        <v>745</v>
      </c>
    </row>
    <row r="71" spans="2:9" x14ac:dyDescent="0.2">
      <c r="D71" s="7">
        <v>56</v>
      </c>
      <c r="E71" s="205">
        <f>DB($E$66,$E$68,$E$67*12,D71)</f>
        <v>8.7899833537267433</v>
      </c>
    </row>
    <row r="72" spans="2:9" x14ac:dyDescent="0.2">
      <c r="D72" s="7">
        <v>57</v>
      </c>
      <c r="E72" s="205">
        <f>DB($E$66,$E$68,$E$67*12,D72)</f>
        <v>8.2362144024419575</v>
      </c>
    </row>
    <row r="73" spans="2:9" x14ac:dyDescent="0.2">
      <c r="D73" s="7">
        <v>58</v>
      </c>
      <c r="E73" s="205">
        <f>DB($E$66,$E$68,$E$67*12,D73)</f>
        <v>7.7173328950881146</v>
      </c>
    </row>
    <row r="74" spans="2:9" x14ac:dyDescent="0.2">
      <c r="D74" s="7">
        <v>59</v>
      </c>
      <c r="E74" s="205">
        <f>DB($E$66,$E$68,$E$67*12,D74)</f>
        <v>7.2311409226975627</v>
      </c>
    </row>
    <row r="75" spans="2:9" x14ac:dyDescent="0.2">
      <c r="D75" s="7">
        <v>60</v>
      </c>
      <c r="E75" s="205">
        <f>DB($E$66,$E$68,$E$67*12,D75)</f>
        <v>6.7755790445676167</v>
      </c>
    </row>
    <row r="76" spans="2:9" x14ac:dyDescent="0.2">
      <c r="E76" s="13" t="s">
        <v>778</v>
      </c>
    </row>
    <row r="79" spans="2:9" ht="13.5" thickBot="1" x14ac:dyDescent="0.25">
      <c r="B79" s="2" t="s">
        <v>1977</v>
      </c>
      <c r="C79" s="2"/>
      <c r="D79" s="2"/>
      <c r="E79" s="2"/>
      <c r="F79" s="2"/>
      <c r="G79" s="2"/>
      <c r="H79" s="2"/>
      <c r="I79" s="2"/>
    </row>
    <row r="80" spans="2:9" x14ac:dyDescent="0.2">
      <c r="B80" t="s">
        <v>779</v>
      </c>
    </row>
    <row r="81" spans="2:7" x14ac:dyDescent="0.2">
      <c r="D81" s="88"/>
      <c r="E81" s="207"/>
    </row>
    <row r="82" spans="2:7" x14ac:dyDescent="0.2">
      <c r="B82" s="20"/>
      <c r="C82" s="162"/>
      <c r="D82" s="21" t="s">
        <v>742</v>
      </c>
      <c r="E82" s="203">
        <v>5000</v>
      </c>
    </row>
    <row r="83" spans="2:7" x14ac:dyDescent="0.2">
      <c r="B83" s="20"/>
      <c r="C83" s="162"/>
      <c r="D83" s="21" t="s">
        <v>743</v>
      </c>
      <c r="E83" s="42">
        <v>5</v>
      </c>
    </row>
    <row r="84" spans="2:7" x14ac:dyDescent="0.2">
      <c r="B84" s="20"/>
      <c r="C84" s="162"/>
      <c r="D84" s="204" t="s">
        <v>744</v>
      </c>
      <c r="E84" s="203">
        <v>1000</v>
      </c>
    </row>
    <row r="85" spans="2:7" x14ac:dyDescent="0.2">
      <c r="B85" s="20"/>
      <c r="C85" s="162"/>
      <c r="D85" s="21" t="s">
        <v>780</v>
      </c>
      <c r="E85" s="42">
        <v>6</v>
      </c>
    </row>
    <row r="86" spans="2:7" x14ac:dyDescent="0.2">
      <c r="C86" s="88"/>
    </row>
    <row r="87" spans="2:7" x14ac:dyDescent="0.2">
      <c r="D87" s="6" t="s">
        <v>1626</v>
      </c>
      <c r="E87" s="6" t="s">
        <v>745</v>
      </c>
      <c r="G87" s="6" t="s">
        <v>774</v>
      </c>
    </row>
    <row r="88" spans="2:7" x14ac:dyDescent="0.2">
      <c r="D88" s="7">
        <v>1</v>
      </c>
      <c r="E88" s="205">
        <f>DB($E$82,$E$84,$E$83,D88,$E$85)</f>
        <v>687.5</v>
      </c>
      <c r="G88" s="208">
        <f>E88/E82</f>
        <v>0.13750000000000001</v>
      </c>
    </row>
    <row r="89" spans="2:7" x14ac:dyDescent="0.2">
      <c r="D89" s="7">
        <v>2</v>
      </c>
      <c r="E89" s="205">
        <f>DB($E$82,$E$84,$E$83,D89,$E$85)</f>
        <v>1185.9375</v>
      </c>
      <c r="G89" s="208">
        <f>E89/($E$82-SUM($E$88:E88))</f>
        <v>0.27500000000000002</v>
      </c>
    </row>
    <row r="90" spans="2:7" x14ac:dyDescent="0.2">
      <c r="D90" s="7">
        <v>3</v>
      </c>
      <c r="E90" s="205">
        <f>DB($E$82,$E$84,$E$83,D90,$E$85)</f>
        <v>859.80468750000011</v>
      </c>
      <c r="G90" s="208">
        <f>E90/($E$82-SUM($E$88:E89))</f>
        <v>0.27500000000000002</v>
      </c>
    </row>
    <row r="91" spans="2:7" x14ac:dyDescent="0.2">
      <c r="D91" s="7">
        <v>4</v>
      </c>
      <c r="E91" s="205">
        <f>DB($E$82,$E$84,$E$83,D91,$E$85)</f>
        <v>623.3583984375</v>
      </c>
      <c r="G91" s="208">
        <f>E91/($E$82-SUM($E$88:E90))</f>
        <v>0.27500000000000002</v>
      </c>
    </row>
    <row r="92" spans="2:7" x14ac:dyDescent="0.2">
      <c r="D92" s="7">
        <v>5</v>
      </c>
      <c r="E92" s="205">
        <f>DB($E$82,$E$84,$E$83,D92,$E$85)</f>
        <v>451.93483886718752</v>
      </c>
      <c r="G92" s="208">
        <f>E92/($E$82-SUM($E$88:E91))</f>
        <v>0.27500000000000002</v>
      </c>
    </row>
    <row r="93" spans="2:7" x14ac:dyDescent="0.2">
      <c r="E93" s="13" t="s">
        <v>781</v>
      </c>
    </row>
    <row r="95" spans="2:7" x14ac:dyDescent="0.2">
      <c r="C95" s="20"/>
      <c r="D95" s="21" t="s">
        <v>751</v>
      </c>
      <c r="E95" s="205">
        <f>SUM(E88:E92)</f>
        <v>3808.5354248046874</v>
      </c>
    </row>
    <row r="98" spans="2:9" ht="13.5" thickBot="1" x14ac:dyDescent="0.25">
      <c r="B98" s="2" t="s">
        <v>782</v>
      </c>
      <c r="C98" s="2"/>
      <c r="D98" s="2"/>
      <c r="E98" s="2"/>
      <c r="F98" s="2"/>
      <c r="G98" s="2"/>
      <c r="H98" s="2"/>
      <c r="I98" s="2"/>
    </row>
    <row r="99" spans="2:9" x14ac:dyDescent="0.2">
      <c r="B99" t="s">
        <v>783</v>
      </c>
    </row>
    <row r="100" spans="2:9" x14ac:dyDescent="0.2">
      <c r="B100" t="s">
        <v>784</v>
      </c>
    </row>
    <row r="101" spans="2:9" x14ac:dyDescent="0.2">
      <c r="B101" t="s">
        <v>785</v>
      </c>
    </row>
    <row r="102" spans="2:9" x14ac:dyDescent="0.2">
      <c r="B102" t="s">
        <v>786</v>
      </c>
    </row>
    <row r="103" spans="2:9" x14ac:dyDescent="0.2">
      <c r="B103" t="s">
        <v>787</v>
      </c>
      <c r="D103" s="61"/>
    </row>
    <row r="104" spans="2:9" x14ac:dyDescent="0.2">
      <c r="B104" t="s">
        <v>788</v>
      </c>
      <c r="D104" s="61"/>
    </row>
    <row r="105" spans="2:9" x14ac:dyDescent="0.2">
      <c r="B105" t="s">
        <v>789</v>
      </c>
      <c r="D105" s="61"/>
    </row>
    <row r="106" spans="2:9" x14ac:dyDescent="0.2">
      <c r="B106" t="s">
        <v>790</v>
      </c>
      <c r="D106" s="61"/>
    </row>
    <row r="108" spans="2:9" ht="13.5" thickBot="1" x14ac:dyDescent="0.25">
      <c r="B108" s="2" t="s">
        <v>2003</v>
      </c>
      <c r="C108" s="2"/>
      <c r="D108" s="2"/>
      <c r="E108" s="2"/>
      <c r="F108" s="2"/>
      <c r="G108" s="2"/>
      <c r="H108" s="2"/>
    </row>
    <row r="109" spans="2:9" x14ac:dyDescent="0.2">
      <c r="B109" t="s">
        <v>3190</v>
      </c>
    </row>
    <row r="110" spans="2:9" x14ac:dyDescent="0.2">
      <c r="B110" t="s">
        <v>3191</v>
      </c>
    </row>
    <row r="111" spans="2:9" x14ac:dyDescent="0.2">
      <c r="B111" t="s">
        <v>3192</v>
      </c>
    </row>
    <row r="112" spans="2:9" x14ac:dyDescent="0.2">
      <c r="B112" t="s">
        <v>3193</v>
      </c>
    </row>
    <row r="113" spans="2:8" ht="13.5" thickBot="1" x14ac:dyDescent="0.25"/>
    <row r="114" spans="2:8" ht="14.25" thickTop="1" thickBot="1" x14ac:dyDescent="0.25">
      <c r="B114" s="209"/>
      <c r="C114" s="210"/>
      <c r="D114" s="210"/>
      <c r="E114" s="210"/>
      <c r="F114" s="211" t="s">
        <v>3194</v>
      </c>
      <c r="G114" s="212">
        <f>1-((E117/E116)^(1/E118))</f>
        <v>0.27522033632230447</v>
      </c>
    </row>
    <row r="115" spans="2:8" ht="13.5" thickTop="1" x14ac:dyDescent="0.2">
      <c r="G115" s="4" t="s">
        <v>3195</v>
      </c>
    </row>
    <row r="116" spans="2:8" x14ac:dyDescent="0.2">
      <c r="C116" s="20"/>
      <c r="D116" s="21" t="s">
        <v>742</v>
      </c>
      <c r="E116" s="203">
        <v>5000</v>
      </c>
      <c r="G116" s="213" t="s">
        <v>3196</v>
      </c>
    </row>
    <row r="117" spans="2:8" x14ac:dyDescent="0.2">
      <c r="C117" s="20"/>
      <c r="D117" s="204" t="s">
        <v>744</v>
      </c>
      <c r="E117" s="203">
        <v>1000</v>
      </c>
    </row>
    <row r="118" spans="2:8" x14ac:dyDescent="0.2">
      <c r="C118" s="20"/>
      <c r="D118" s="21" t="s">
        <v>743</v>
      </c>
      <c r="E118" s="42">
        <v>5</v>
      </c>
    </row>
    <row r="119" spans="2:8" ht="13.5" thickBot="1" x14ac:dyDescent="0.25">
      <c r="D119" s="88"/>
    </row>
    <row r="120" spans="2:8" ht="26.25" thickTop="1" x14ac:dyDescent="0.2">
      <c r="D120" s="6" t="s">
        <v>1626</v>
      </c>
      <c r="E120" s="78" t="s">
        <v>3197</v>
      </c>
      <c r="F120" s="214" t="s">
        <v>3198</v>
      </c>
      <c r="H120" s="78" t="s">
        <v>3199</v>
      </c>
    </row>
    <row r="121" spans="2:8" x14ac:dyDescent="0.2">
      <c r="D121" s="7">
        <v>1</v>
      </c>
      <c r="E121" s="215">
        <f>DB($E$116,$E$117,$E$118,D121)</f>
        <v>1375</v>
      </c>
      <c r="F121" s="216">
        <f>E116*G114</f>
        <v>1376.1016816115223</v>
      </c>
      <c r="H121" s="217">
        <f>E121/E116</f>
        <v>0.27500000000000002</v>
      </c>
    </row>
    <row r="122" spans="2:8" x14ac:dyDescent="0.2">
      <c r="D122" s="7">
        <v>2</v>
      </c>
      <c r="E122" s="215">
        <f>DB($E$116,$E$117,$E$118,D122)</f>
        <v>996.87500000000011</v>
      </c>
      <c r="F122" s="216">
        <f>($E$116-SUM($F$121:F121))*$G$114</f>
        <v>997.37051398471033</v>
      </c>
      <c r="H122" s="217">
        <f>E122/($E$116-SUM($E$121:E121))</f>
        <v>0.27500000000000002</v>
      </c>
    </row>
    <row r="123" spans="2:8" x14ac:dyDescent="0.2">
      <c r="D123" s="7">
        <v>3</v>
      </c>
      <c r="E123" s="215">
        <f>DB($E$116,$E$117,$E$118,D123)</f>
        <v>722.73437500000011</v>
      </c>
      <c r="F123" s="216">
        <f>($E$116-SUM($F$121:F122))*$G$114</f>
        <v>722.87386568788872</v>
      </c>
      <c r="H123" s="217">
        <f>E123/($E$116-SUM($E$121:E122))</f>
        <v>0.27500000000000002</v>
      </c>
    </row>
    <row r="124" spans="2:8" x14ac:dyDescent="0.2">
      <c r="D124" s="7">
        <v>4</v>
      </c>
      <c r="E124" s="215">
        <f>DB($E$116,$E$117,$E$118,D124)</f>
        <v>523.982421875</v>
      </c>
      <c r="F124" s="216">
        <f>($E$116-SUM($F$121:F123))*$G$114</f>
        <v>523.92427725466371</v>
      </c>
      <c r="H124" s="217">
        <f>E124/($E$116-SUM($E$121:E123))</f>
        <v>0.27500000000000002</v>
      </c>
    </row>
    <row r="125" spans="2:8" ht="13.5" thickBot="1" x14ac:dyDescent="0.25">
      <c r="D125" s="7">
        <v>5</v>
      </c>
      <c r="E125" s="215">
        <f>DB($E$116,$E$117,$E$118,D125)</f>
        <v>379.88725585937505</v>
      </c>
      <c r="F125" s="218">
        <f>($E$116-SUM($F$121:F124))*$G$114</f>
        <v>379.7296614612149</v>
      </c>
      <c r="H125" s="217">
        <f>E125/($E$116-SUM($E$121:E124))</f>
        <v>0.27500000000000002</v>
      </c>
    </row>
    <row r="126" spans="2:8" ht="14.25" thickTop="1" thickBot="1" x14ac:dyDescent="0.25"/>
    <row r="127" spans="2:8" ht="14.25" thickTop="1" thickBot="1" x14ac:dyDescent="0.25">
      <c r="C127" s="20"/>
      <c r="D127" s="21" t="s">
        <v>751</v>
      </c>
      <c r="E127" s="205">
        <f>SUM(E121:E125)</f>
        <v>3998.4790527343748</v>
      </c>
      <c r="F127" s="219">
        <f>SUM(F121:F125)</f>
        <v>4000</v>
      </c>
    </row>
    <row r="128" spans="2:8" ht="13.5" thickTop="1" x14ac:dyDescent="0.2"/>
    <row r="129" spans="4:6" x14ac:dyDescent="0.2">
      <c r="D129" s="20"/>
      <c r="E129" s="21" t="s">
        <v>3200</v>
      </c>
      <c r="F129" s="187">
        <f>F127-E127</f>
        <v>1.5209472656251819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G23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2" max="2" width="10.85546875" customWidth="1"/>
    <col min="3" max="3" width="12.7109375" customWidth="1"/>
    <col min="4" max="4" width="12.140625" customWidth="1"/>
    <col min="5" max="5" width="13.7109375" customWidth="1"/>
    <col min="6" max="6" width="30.140625" customWidth="1"/>
  </cols>
  <sheetData>
    <row r="1" spans="1:7" ht="44.25" customHeight="1" x14ac:dyDescent="0.25">
      <c r="A1" s="476"/>
      <c r="B1" s="476"/>
      <c r="C1" s="476"/>
      <c r="D1" s="476"/>
      <c r="E1" s="476"/>
      <c r="F1" s="476"/>
      <c r="G1" s="478"/>
    </row>
    <row r="3" spans="1:7" x14ac:dyDescent="0.2">
      <c r="C3" s="6" t="s">
        <v>727</v>
      </c>
      <c r="D3" s="6" t="s">
        <v>728</v>
      </c>
      <c r="E3" s="6" t="s">
        <v>729</v>
      </c>
      <c r="F3" s="202" t="s">
        <v>730</v>
      </c>
    </row>
    <row r="4" spans="1:7" x14ac:dyDescent="0.2">
      <c r="C4" s="161">
        <v>35796</v>
      </c>
      <c r="D4" s="161">
        <v>35800</v>
      </c>
      <c r="E4" s="8">
        <f>DAYS360(C4,D4,TRUE)</f>
        <v>4</v>
      </c>
      <c r="F4" s="63" t="s">
        <v>731</v>
      </c>
    </row>
    <row r="5" spans="1:7" x14ac:dyDescent="0.2">
      <c r="C5" s="161">
        <v>35796</v>
      </c>
      <c r="D5" s="161">
        <v>35827</v>
      </c>
      <c r="E5" s="8">
        <f>DAYS360(C5,D5,TRUE)</f>
        <v>30</v>
      </c>
      <c r="F5" s="63" t="s">
        <v>732</v>
      </c>
    </row>
    <row r="6" spans="1:7" x14ac:dyDescent="0.2">
      <c r="C6" s="161">
        <v>35796</v>
      </c>
      <c r="D6" s="161">
        <v>35885</v>
      </c>
      <c r="E6" s="8">
        <f>DAYS360(C6,D6,TRUE)</f>
        <v>89</v>
      </c>
      <c r="F6" s="63" t="s">
        <v>733</v>
      </c>
    </row>
    <row r="7" spans="1:7" x14ac:dyDescent="0.2">
      <c r="C7" s="161">
        <v>35796</v>
      </c>
      <c r="D7" s="161">
        <v>36160</v>
      </c>
      <c r="E7" s="8">
        <f>DAYS360(C7,D7,TRUE)</f>
        <v>359</v>
      </c>
      <c r="F7" s="63" t="s">
        <v>734</v>
      </c>
    </row>
    <row r="9" spans="1:7" ht="13.5" thickBot="1" x14ac:dyDescent="0.25">
      <c r="B9" s="2" t="s">
        <v>3118</v>
      </c>
      <c r="C9" s="2"/>
      <c r="D9" s="2"/>
      <c r="E9" s="2"/>
      <c r="F9" s="2"/>
    </row>
    <row r="10" spans="1:7" x14ac:dyDescent="0.2">
      <c r="B10" t="s">
        <v>735</v>
      </c>
    </row>
    <row r="11" spans="1:7" x14ac:dyDescent="0.2">
      <c r="B11" t="s">
        <v>736</v>
      </c>
    </row>
    <row r="13" spans="1:7" ht="13.5" thickBot="1" x14ac:dyDescent="0.25">
      <c r="B13" s="2" t="s">
        <v>998</v>
      </c>
      <c r="C13" s="2"/>
      <c r="D13" s="2"/>
      <c r="E13" s="2"/>
      <c r="F13" s="2"/>
    </row>
    <row r="14" spans="1:7" x14ac:dyDescent="0.2">
      <c r="B14" t="s">
        <v>737</v>
      </c>
    </row>
    <row r="15" spans="1:7" x14ac:dyDescent="0.2">
      <c r="B15" t="s">
        <v>738</v>
      </c>
    </row>
    <row r="16" spans="1:7" x14ac:dyDescent="0.2">
      <c r="B16" t="s">
        <v>739</v>
      </c>
    </row>
    <row r="18" spans="2:6" ht="13.5" thickBot="1" x14ac:dyDescent="0.25">
      <c r="B18" s="2" t="s">
        <v>3355</v>
      </c>
      <c r="C18" s="2"/>
      <c r="D18" s="2"/>
      <c r="E18" s="2"/>
      <c r="F18" s="2"/>
    </row>
    <row r="19" spans="2:6" x14ac:dyDescent="0.2">
      <c r="B19" t="s">
        <v>3153</v>
      </c>
    </row>
    <row r="21" spans="2:6" ht="13.5" thickBot="1" x14ac:dyDescent="0.25">
      <c r="B21" s="2" t="s">
        <v>2659</v>
      </c>
      <c r="C21" s="2"/>
      <c r="D21" s="2"/>
      <c r="E21" s="2"/>
      <c r="F21" s="2"/>
    </row>
    <row r="22" spans="2:6" x14ac:dyDescent="0.2">
      <c r="B22" t="s">
        <v>740</v>
      </c>
    </row>
    <row r="23" spans="2:6" x14ac:dyDescent="0.2">
      <c r="B23" t="s">
        <v>741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H22"/>
  <sheetViews>
    <sheetView showGridLines="0" workbookViewId="0">
      <pane ySplit="1" topLeftCell="A2" activePane="bottomLeft" state="frozen"/>
      <selection activeCell="A3" sqref="A3"/>
      <selection pane="bottomLeft" activeCell="F22" sqref="F22"/>
    </sheetView>
  </sheetViews>
  <sheetFormatPr defaultRowHeight="12.75" x14ac:dyDescent="0.2"/>
  <cols>
    <col min="1" max="1" width="2.7109375" customWidth="1"/>
    <col min="2" max="2" width="4.7109375" customWidth="1"/>
    <col min="3" max="3" width="14.7109375" customWidth="1"/>
    <col min="4" max="4" width="14" customWidth="1"/>
    <col min="5" max="5" width="14.140625" customWidth="1"/>
    <col min="6" max="6" width="16.7109375" customWidth="1"/>
    <col min="7" max="7" width="10.5703125" customWidth="1"/>
  </cols>
  <sheetData>
    <row r="1" spans="1:8" ht="43.5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714</v>
      </c>
      <c r="D3" s="6" t="s">
        <v>715</v>
      </c>
    </row>
    <row r="4" spans="1:8" x14ac:dyDescent="0.2">
      <c r="C4" s="198">
        <v>36154</v>
      </c>
      <c r="D4" s="8">
        <f>DAY(C4)</f>
        <v>25</v>
      </c>
      <c r="E4" s="63" t="s">
        <v>716</v>
      </c>
    </row>
    <row r="5" spans="1:8" x14ac:dyDescent="0.2">
      <c r="C5" s="198">
        <f ca="1">TODAY()</f>
        <v>45434</v>
      </c>
      <c r="D5" s="199">
        <f ca="1">DAY(C5)</f>
        <v>22</v>
      </c>
      <c r="E5" s="63" t="s">
        <v>717</v>
      </c>
    </row>
    <row r="6" spans="1:8" x14ac:dyDescent="0.2">
      <c r="C6" s="198">
        <f ca="1">TODAY()</f>
        <v>45434</v>
      </c>
      <c r="D6" s="8">
        <f ca="1">DAY(C6)</f>
        <v>22</v>
      </c>
      <c r="E6" s="63" t="s">
        <v>718</v>
      </c>
    </row>
    <row r="8" spans="1:8" ht="13.5" thickBot="1" x14ac:dyDescent="0.25">
      <c r="B8" s="2" t="s">
        <v>3118</v>
      </c>
      <c r="C8" s="2"/>
      <c r="D8" s="2"/>
      <c r="E8" s="2"/>
      <c r="F8" s="2"/>
      <c r="G8" s="2"/>
    </row>
    <row r="9" spans="1:8" x14ac:dyDescent="0.2">
      <c r="B9" t="s">
        <v>719</v>
      </c>
    </row>
    <row r="11" spans="1:8" ht="13.5" thickBot="1" x14ac:dyDescent="0.25">
      <c r="B11" s="2" t="s">
        <v>998</v>
      </c>
      <c r="C11" s="2"/>
      <c r="D11" s="2"/>
      <c r="E11" s="2"/>
      <c r="F11" s="2"/>
      <c r="G11" s="2"/>
    </row>
    <row r="12" spans="1:8" x14ac:dyDescent="0.2">
      <c r="B12" t="s">
        <v>720</v>
      </c>
    </row>
    <row r="14" spans="1:8" ht="13.5" thickBot="1" x14ac:dyDescent="0.25">
      <c r="B14" s="2" t="s">
        <v>3355</v>
      </c>
      <c r="C14" s="2"/>
      <c r="D14" s="2"/>
      <c r="E14" s="2"/>
      <c r="F14" s="2"/>
      <c r="G14" s="2"/>
    </row>
    <row r="15" spans="1:8" x14ac:dyDescent="0.2">
      <c r="B15" t="s">
        <v>721</v>
      </c>
    </row>
    <row r="16" spans="1:8" x14ac:dyDescent="0.2">
      <c r="B16" t="s">
        <v>722</v>
      </c>
    </row>
    <row r="18" spans="2:7" ht="13.5" thickBot="1" x14ac:dyDescent="0.25">
      <c r="B18" s="2" t="s">
        <v>1001</v>
      </c>
      <c r="C18" s="2"/>
      <c r="D18" s="2"/>
      <c r="E18" s="2"/>
      <c r="F18" s="2"/>
      <c r="G18" s="2"/>
    </row>
    <row r="19" spans="2:7" x14ac:dyDescent="0.2">
      <c r="B19" t="s">
        <v>723</v>
      </c>
    </row>
    <row r="21" spans="2:7" x14ac:dyDescent="0.2">
      <c r="B21" s="20"/>
      <c r="C21" s="162"/>
      <c r="D21" s="162"/>
      <c r="E21" s="21" t="s">
        <v>724</v>
      </c>
      <c r="F21" s="200">
        <v>22730</v>
      </c>
    </row>
    <row r="22" spans="2:7" x14ac:dyDescent="0.2">
      <c r="B22" s="20"/>
      <c r="C22" s="162"/>
      <c r="D22" s="162"/>
      <c r="E22" s="21" t="s">
        <v>725</v>
      </c>
      <c r="F22" s="201">
        <f>DAY(F21)</f>
        <v>25</v>
      </c>
      <c r="G22" s="13" t="s">
        <v>726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K70"/>
  <sheetViews>
    <sheetView showGridLines="0" workbookViewId="0">
      <pane ySplit="1" topLeftCell="A100" activePane="bottomLeft" state="frozen"/>
      <selection activeCell="M6" sqref="M6"/>
      <selection pane="bottomLeft" activeCell="E117" sqref="D117:E117"/>
    </sheetView>
  </sheetViews>
  <sheetFormatPr defaultRowHeight="12.75" x14ac:dyDescent="0.2"/>
  <cols>
    <col min="1" max="1" width="2.7109375" customWidth="1"/>
    <col min="10" max="10" width="8.42578125" customWidth="1"/>
  </cols>
  <sheetData>
    <row r="1" spans="1:11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2" spans="1:11" ht="13.5" thickBot="1" x14ac:dyDescent="0.25">
      <c r="I2" s="174" t="s">
        <v>2658</v>
      </c>
    </row>
    <row r="3" spans="1:11" ht="26.25" thickTop="1" x14ac:dyDescent="0.2">
      <c r="B3" s="175" t="s">
        <v>2845</v>
      </c>
      <c r="C3" s="176" t="s">
        <v>2846</v>
      </c>
      <c r="D3" s="176" t="s">
        <v>2847</v>
      </c>
      <c r="E3" s="176" t="s">
        <v>2848</v>
      </c>
      <c r="F3" s="176" t="s">
        <v>2849</v>
      </c>
      <c r="G3" s="176" t="s">
        <v>2850</v>
      </c>
      <c r="H3" s="176" t="s">
        <v>2851</v>
      </c>
      <c r="I3" s="177" t="s">
        <v>2852</v>
      </c>
    </row>
    <row r="4" spans="1:11" x14ac:dyDescent="0.2">
      <c r="B4" s="178" t="s">
        <v>2853</v>
      </c>
      <c r="C4" s="7">
        <v>200</v>
      </c>
      <c r="D4" s="7">
        <v>3000</v>
      </c>
      <c r="E4" s="7" t="s">
        <v>2854</v>
      </c>
      <c r="F4" s="85">
        <v>4.5</v>
      </c>
      <c r="G4" s="7">
        <v>4</v>
      </c>
      <c r="H4" s="7">
        <v>3</v>
      </c>
      <c r="I4" s="179">
        <f t="shared" ref="I4:I19" si="0">F4*G4*H4</f>
        <v>54</v>
      </c>
    </row>
    <row r="5" spans="1:11" x14ac:dyDescent="0.2">
      <c r="B5" s="178" t="s">
        <v>2855</v>
      </c>
      <c r="C5" s="7">
        <v>100</v>
      </c>
      <c r="D5" s="7">
        <v>2000</v>
      </c>
      <c r="E5" s="7" t="s">
        <v>2854</v>
      </c>
      <c r="F5" s="85">
        <v>2</v>
      </c>
      <c r="G5" s="7">
        <v>15</v>
      </c>
      <c r="H5" s="7">
        <v>2</v>
      </c>
      <c r="I5" s="179">
        <f t="shared" si="0"/>
        <v>60</v>
      </c>
    </row>
    <row r="6" spans="1:11" x14ac:dyDescent="0.2">
      <c r="B6" s="178" t="s">
        <v>2856</v>
      </c>
      <c r="C6" s="7">
        <v>60</v>
      </c>
      <c r="D6" s="7"/>
      <c r="E6" s="7"/>
      <c r="F6" s="85"/>
      <c r="G6" s="7"/>
      <c r="H6" s="7"/>
      <c r="I6" s="179">
        <f t="shared" si="0"/>
        <v>0</v>
      </c>
    </row>
    <row r="7" spans="1:11" x14ac:dyDescent="0.2">
      <c r="B7" s="178" t="s">
        <v>2857</v>
      </c>
      <c r="C7" s="7">
        <v>10</v>
      </c>
      <c r="D7" s="7">
        <v>8000</v>
      </c>
      <c r="E7" s="7" t="s">
        <v>2858</v>
      </c>
      <c r="F7" s="85">
        <v>0.8</v>
      </c>
      <c r="G7" s="7">
        <v>25</v>
      </c>
      <c r="H7" s="7">
        <v>6</v>
      </c>
      <c r="I7" s="179">
        <f t="shared" si="0"/>
        <v>120</v>
      </c>
    </row>
    <row r="8" spans="1:11" x14ac:dyDescent="0.2">
      <c r="B8" s="178" t="s">
        <v>2853</v>
      </c>
      <c r="C8" s="7">
        <v>80</v>
      </c>
      <c r="D8" s="7">
        <v>1000</v>
      </c>
      <c r="E8" s="7" t="s">
        <v>2854</v>
      </c>
      <c r="F8" s="85">
        <v>0.2</v>
      </c>
      <c r="G8" s="7">
        <v>40</v>
      </c>
      <c r="H8" s="7">
        <v>3</v>
      </c>
      <c r="I8" s="179">
        <f t="shared" si="0"/>
        <v>24</v>
      </c>
    </row>
    <row r="9" spans="1:11" x14ac:dyDescent="0.2">
      <c r="B9" s="178" t="s">
        <v>2856</v>
      </c>
      <c r="C9" s="7">
        <v>100</v>
      </c>
      <c r="D9" s="7" t="s">
        <v>2859</v>
      </c>
      <c r="E9" s="7" t="s">
        <v>2854</v>
      </c>
      <c r="F9" s="85">
        <v>1.25</v>
      </c>
      <c r="G9" s="7">
        <v>10</v>
      </c>
      <c r="H9" s="7">
        <v>4</v>
      </c>
      <c r="I9" s="179">
        <f t="shared" si="0"/>
        <v>50</v>
      </c>
    </row>
    <row r="10" spans="1:11" x14ac:dyDescent="0.2">
      <c r="B10" s="178" t="s">
        <v>2856</v>
      </c>
      <c r="C10" s="7">
        <v>200</v>
      </c>
      <c r="D10" s="7">
        <v>3000</v>
      </c>
      <c r="E10" s="7" t="s">
        <v>2854</v>
      </c>
      <c r="F10" s="85">
        <v>2.5</v>
      </c>
      <c r="G10" s="7">
        <v>15</v>
      </c>
      <c r="H10" s="7">
        <v>0</v>
      </c>
      <c r="I10" s="179">
        <f t="shared" si="0"/>
        <v>0</v>
      </c>
    </row>
    <row r="11" spans="1:11" x14ac:dyDescent="0.2">
      <c r="B11" s="178" t="s">
        <v>2857</v>
      </c>
      <c r="C11" s="7">
        <v>25</v>
      </c>
      <c r="D11" s="7" t="s">
        <v>2859</v>
      </c>
      <c r="E11" s="7" t="s">
        <v>2858</v>
      </c>
      <c r="F11" s="85">
        <v>0.5</v>
      </c>
      <c r="G11" s="7">
        <v>10</v>
      </c>
      <c r="H11" s="7">
        <v>3</v>
      </c>
      <c r="I11" s="179">
        <f t="shared" si="0"/>
        <v>15</v>
      </c>
    </row>
    <row r="12" spans="1:11" x14ac:dyDescent="0.2">
      <c r="B12" s="178" t="s">
        <v>2853</v>
      </c>
      <c r="C12" s="7">
        <v>200</v>
      </c>
      <c r="D12" s="7">
        <v>3000</v>
      </c>
      <c r="E12" s="7" t="s">
        <v>2858</v>
      </c>
      <c r="F12" s="85">
        <v>5</v>
      </c>
      <c r="G12" s="7">
        <v>3</v>
      </c>
      <c r="H12" s="7">
        <v>2</v>
      </c>
      <c r="I12" s="179">
        <f t="shared" si="0"/>
        <v>30</v>
      </c>
    </row>
    <row r="13" spans="1:11" x14ac:dyDescent="0.2">
      <c r="B13" s="178" t="s">
        <v>2855</v>
      </c>
      <c r="C13" s="7">
        <v>100</v>
      </c>
      <c r="D13" s="7">
        <v>2000</v>
      </c>
      <c r="E13" s="7" t="s">
        <v>2858</v>
      </c>
      <c r="F13" s="85">
        <v>1.8</v>
      </c>
      <c r="G13" s="7">
        <v>20</v>
      </c>
      <c r="H13" s="7">
        <v>5</v>
      </c>
      <c r="I13" s="179">
        <f t="shared" si="0"/>
        <v>180</v>
      </c>
    </row>
    <row r="14" spans="1:11" x14ac:dyDescent="0.2">
      <c r="B14" s="178" t="s">
        <v>2853</v>
      </c>
      <c r="C14" s="7">
        <v>100</v>
      </c>
      <c r="D14" s="7" t="s">
        <v>2859</v>
      </c>
      <c r="E14" s="7" t="s">
        <v>2858</v>
      </c>
      <c r="F14" s="85">
        <v>0.25</v>
      </c>
      <c r="G14" s="7">
        <v>10</v>
      </c>
      <c r="H14" s="7">
        <v>5</v>
      </c>
      <c r="I14" s="179">
        <f t="shared" si="0"/>
        <v>12.5</v>
      </c>
    </row>
    <row r="15" spans="1:11" x14ac:dyDescent="0.2">
      <c r="B15" s="178" t="s">
        <v>2853</v>
      </c>
      <c r="C15" s="7">
        <v>10</v>
      </c>
      <c r="D15" s="7">
        <v>800</v>
      </c>
      <c r="E15" s="7" t="s">
        <v>2854</v>
      </c>
      <c r="F15" s="85">
        <v>0.2</v>
      </c>
      <c r="G15" s="7">
        <v>25</v>
      </c>
      <c r="H15" s="7">
        <v>2</v>
      </c>
      <c r="I15" s="179">
        <f t="shared" si="0"/>
        <v>10</v>
      </c>
    </row>
    <row r="16" spans="1:11" x14ac:dyDescent="0.2">
      <c r="B16" s="178" t="s">
        <v>2853</v>
      </c>
      <c r="C16" s="7">
        <v>60</v>
      </c>
      <c r="D16" s="7">
        <v>1000</v>
      </c>
      <c r="E16" s="7" t="s">
        <v>2858</v>
      </c>
      <c r="F16" s="85">
        <v>0.15</v>
      </c>
      <c r="G16" s="7">
        <v>25</v>
      </c>
      <c r="H16" s="7">
        <v>0</v>
      </c>
      <c r="I16" s="179">
        <f t="shared" si="0"/>
        <v>0</v>
      </c>
    </row>
    <row r="17" spans="2:10" x14ac:dyDescent="0.2">
      <c r="B17" s="178" t="s">
        <v>2853</v>
      </c>
      <c r="C17" s="7">
        <v>80</v>
      </c>
      <c r="D17" s="7">
        <v>1000</v>
      </c>
      <c r="E17" s="7" t="s">
        <v>2858</v>
      </c>
      <c r="F17" s="85">
        <v>0.2</v>
      </c>
      <c r="G17" s="7">
        <v>30</v>
      </c>
      <c r="H17" s="7">
        <v>2</v>
      </c>
      <c r="I17" s="179">
        <f t="shared" si="0"/>
        <v>12</v>
      </c>
    </row>
    <row r="18" spans="2:10" x14ac:dyDescent="0.2">
      <c r="B18" s="178" t="s">
        <v>2853</v>
      </c>
      <c r="C18" s="7">
        <v>100</v>
      </c>
      <c r="D18" s="7">
        <v>2000</v>
      </c>
      <c r="E18" s="7" t="s">
        <v>2854</v>
      </c>
      <c r="F18" s="85">
        <v>0.8</v>
      </c>
      <c r="G18" s="7">
        <v>10</v>
      </c>
      <c r="H18" s="7">
        <v>5</v>
      </c>
      <c r="I18" s="179">
        <f t="shared" si="0"/>
        <v>40</v>
      </c>
    </row>
    <row r="19" spans="2:10" ht="13.5" thickBot="1" x14ac:dyDescent="0.25">
      <c r="B19" s="180" t="s">
        <v>2853</v>
      </c>
      <c r="C19" s="181">
        <v>40</v>
      </c>
      <c r="D19" s="181">
        <v>1000</v>
      </c>
      <c r="E19" s="181" t="s">
        <v>2854</v>
      </c>
      <c r="F19" s="182">
        <v>0.1</v>
      </c>
      <c r="G19" s="181">
        <v>20</v>
      </c>
      <c r="H19" s="181">
        <v>5</v>
      </c>
      <c r="I19" s="179">
        <f t="shared" si="0"/>
        <v>10</v>
      </c>
    </row>
    <row r="20" spans="2:10" ht="13.5" thickTop="1" x14ac:dyDescent="0.2"/>
    <row r="21" spans="2:10" x14ac:dyDescent="0.2">
      <c r="B21" t="s">
        <v>2860</v>
      </c>
    </row>
    <row r="22" spans="2:10" ht="13.5" thickBot="1" x14ac:dyDescent="0.25"/>
    <row r="23" spans="2:10" ht="13.5" thickTop="1" x14ac:dyDescent="0.2">
      <c r="E23" s="183" t="s">
        <v>2848</v>
      </c>
      <c r="F23" s="184" t="s">
        <v>710</v>
      </c>
    </row>
    <row r="24" spans="2:10" ht="13.5" thickBot="1" x14ac:dyDescent="0.25">
      <c r="D24" s="88" t="s">
        <v>2638</v>
      </c>
      <c r="E24" s="185" t="s">
        <v>2639</v>
      </c>
    </row>
    <row r="25" spans="2:10" ht="13.5" thickTop="1" x14ac:dyDescent="0.2"/>
    <row r="26" spans="2:10" x14ac:dyDescent="0.2">
      <c r="B26" s="149"/>
      <c r="C26" s="149"/>
      <c r="D26" s="186" t="str">
        <f>"The Average cost of "&amp;E24&amp;" is : "</f>
        <v xml:space="preserve">The Average cost of sunbeam is : </v>
      </c>
      <c r="E26" s="187">
        <f>DAVERAGE(B3:I19,F3,E23:E24)</f>
        <v>1.2428571428571427</v>
      </c>
      <c r="F26" s="13" t="s">
        <v>2640</v>
      </c>
    </row>
    <row r="28" spans="2:10" ht="13.5" thickBot="1" x14ac:dyDescent="0.25">
      <c r="B28" s="2" t="s">
        <v>2865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t="s">
        <v>2641</v>
      </c>
    </row>
    <row r="31" spans="2:10" ht="13.5" thickBot="1" x14ac:dyDescent="0.25">
      <c r="B31" s="2" t="s">
        <v>998</v>
      </c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s="61" t="s">
        <v>2642</v>
      </c>
    </row>
    <row r="33" spans="2:10" ht="18" customHeight="1" x14ac:dyDescent="0.2">
      <c r="B33" t="s">
        <v>711</v>
      </c>
    </row>
    <row r="34" spans="2:10" x14ac:dyDescent="0.2">
      <c r="B34" t="s">
        <v>2643</v>
      </c>
    </row>
    <row r="35" spans="2:10" ht="18" customHeight="1" x14ac:dyDescent="0.2">
      <c r="B35" t="s">
        <v>712</v>
      </c>
    </row>
    <row r="36" spans="2:10" ht="18" customHeight="1" x14ac:dyDescent="0.2">
      <c r="B36" t="s">
        <v>713</v>
      </c>
    </row>
    <row r="37" spans="2:10" x14ac:dyDescent="0.2">
      <c r="B37" t="s">
        <v>2644</v>
      </c>
    </row>
    <row r="38" spans="2:10" x14ac:dyDescent="0.2">
      <c r="B38" t="s">
        <v>2645</v>
      </c>
    </row>
    <row r="39" spans="2:10" ht="18" customHeight="1" x14ac:dyDescent="0.2">
      <c r="B39" t="s">
        <v>2646</v>
      </c>
    </row>
    <row r="40" spans="2:10" x14ac:dyDescent="0.2">
      <c r="B40" t="s">
        <v>2647</v>
      </c>
    </row>
    <row r="42" spans="2:10" ht="13.5" thickBot="1" x14ac:dyDescent="0.25">
      <c r="B42" s="2" t="s">
        <v>3355</v>
      </c>
      <c r="C42" s="2"/>
      <c r="D42" s="2"/>
      <c r="E42" s="2"/>
      <c r="F42" s="2"/>
      <c r="G42" s="2"/>
      <c r="H42" s="2"/>
      <c r="I42" s="2"/>
      <c r="J42" s="2"/>
    </row>
    <row r="43" spans="2:10" x14ac:dyDescent="0.2">
      <c r="B43" t="s">
        <v>2424</v>
      </c>
    </row>
    <row r="45" spans="2:10" ht="13.5" thickBot="1" x14ac:dyDescent="0.25">
      <c r="B45" s="2" t="s">
        <v>2648</v>
      </c>
      <c r="C45" s="2"/>
      <c r="D45" s="2"/>
      <c r="E45" s="2"/>
      <c r="F45" s="2"/>
      <c r="G45" s="2"/>
      <c r="H45" s="2"/>
      <c r="I45" s="2"/>
      <c r="J45" s="2"/>
    </row>
    <row r="47" spans="2:10" x14ac:dyDescent="0.2">
      <c r="B47" s="188" t="s">
        <v>2649</v>
      </c>
    </row>
    <row r="48" spans="2:10" ht="13.5" thickBot="1" x14ac:dyDescent="0.25"/>
    <row r="49" spans="2:10" ht="13.5" thickTop="1" x14ac:dyDescent="0.2">
      <c r="E49" s="189" t="s">
        <v>2845</v>
      </c>
      <c r="F49" s="190" t="s">
        <v>2848</v>
      </c>
    </row>
    <row r="50" spans="2:10" ht="13.5" thickBot="1" x14ac:dyDescent="0.25">
      <c r="E50" s="191" t="s">
        <v>2853</v>
      </c>
      <c r="F50" s="192" t="s">
        <v>2854</v>
      </c>
    </row>
    <row r="51" spans="2:10" ht="13.5" thickTop="1" x14ac:dyDescent="0.2"/>
    <row r="52" spans="2:10" x14ac:dyDescent="0.2">
      <c r="D52" s="88" t="str">
        <f>"The average of "&amp;F50&amp;" "&amp;E50&amp;" is : "</f>
        <v xml:space="preserve">The average of Horizon Bulb is : </v>
      </c>
      <c r="E52" s="187">
        <f>DAVERAGE(B3:I19,F3,E49:F50)</f>
        <v>1.1599999999999999</v>
      </c>
      <c r="F52" s="13" t="s">
        <v>2650</v>
      </c>
    </row>
    <row r="54" spans="2:10" x14ac:dyDescent="0.2">
      <c r="B54" t="s">
        <v>2651</v>
      </c>
    </row>
    <row r="56" spans="2:10" x14ac:dyDescent="0.2">
      <c r="E56" s="187">
        <f>DAVERAGE(B3:I19,"Unit Cost",E49:F50)</f>
        <v>1.1599999999999999</v>
      </c>
      <c r="F56" s="13" t="s">
        <v>2652</v>
      </c>
    </row>
    <row r="58" spans="2:10" ht="18" customHeight="1" x14ac:dyDescent="0.2">
      <c r="B58" s="193" t="s">
        <v>2653</v>
      </c>
      <c r="C58" s="194"/>
      <c r="D58" s="194"/>
      <c r="E58" s="194"/>
      <c r="F58" s="194"/>
      <c r="G58" s="194"/>
      <c r="H58" s="194"/>
      <c r="I58" s="194"/>
      <c r="J58" s="194"/>
    </row>
    <row r="59" spans="2:10" ht="13.5" thickBot="1" x14ac:dyDescent="0.25"/>
    <row r="60" spans="2:10" ht="13.5" thickTop="1" x14ac:dyDescent="0.2">
      <c r="E60" s="189" t="s">
        <v>2845</v>
      </c>
      <c r="F60" s="190" t="s">
        <v>2846</v>
      </c>
    </row>
    <row r="61" spans="2:10" ht="13.5" thickBot="1" x14ac:dyDescent="0.25">
      <c r="E61" s="191" t="s">
        <v>2853</v>
      </c>
      <c r="F61" s="192">
        <v>100</v>
      </c>
    </row>
    <row r="62" spans="2:10" ht="13.5" thickTop="1" x14ac:dyDescent="0.2"/>
    <row r="63" spans="2:10" x14ac:dyDescent="0.2">
      <c r="D63" s="88" t="str">
        <f>"Average of "&amp;E61&amp;" "&amp;F61&amp;" is : "</f>
        <v xml:space="preserve">Average of Bulb 100 is : </v>
      </c>
      <c r="E63" s="187">
        <f>DAVERAGE(B3:I19,"Unit Cost",E60:F61)</f>
        <v>0.52500000000000002</v>
      </c>
      <c r="F63" t="s">
        <v>2654</v>
      </c>
    </row>
    <row r="65" spans="2:10" x14ac:dyDescent="0.2">
      <c r="B65" s="193" t="s">
        <v>2655</v>
      </c>
      <c r="C65" s="194"/>
      <c r="D65" s="194"/>
      <c r="E65" s="194"/>
      <c r="F65" s="194"/>
      <c r="G65" s="194"/>
      <c r="H65" s="194"/>
      <c r="I65" s="194"/>
      <c r="J65" s="194"/>
    </row>
    <row r="66" spans="2:10" ht="13.5" thickBot="1" x14ac:dyDescent="0.25"/>
    <row r="67" spans="2:10" ht="13.5" thickTop="1" x14ac:dyDescent="0.2">
      <c r="E67" s="189" t="s">
        <v>2845</v>
      </c>
      <c r="F67" s="190" t="s">
        <v>2846</v>
      </c>
    </row>
    <row r="68" spans="2:10" ht="13.5" thickBot="1" x14ac:dyDescent="0.25">
      <c r="E68" s="195" t="s">
        <v>2853</v>
      </c>
      <c r="F68" s="196" t="s">
        <v>2656</v>
      </c>
    </row>
    <row r="69" spans="2:10" ht="13.5" thickTop="1" x14ac:dyDescent="0.2"/>
    <row r="70" spans="2:10" x14ac:dyDescent="0.2">
      <c r="D70" s="88" t="str">
        <f>"Average of "&amp;E68&amp;" "&amp;F68&amp;" is : "</f>
        <v xml:space="preserve">Average of Bulb &lt;100 is : </v>
      </c>
      <c r="E70" s="197">
        <f>DAVERAGE(B3:I19,"Unit Cost",E67:F68)</f>
        <v>0.16999999999999998</v>
      </c>
      <c r="F70" s="13" t="s">
        <v>2657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H33"/>
  <sheetViews>
    <sheetView showGridLines="0" workbookViewId="0">
      <pane ySplit="1" topLeftCell="A2" activePane="bottomLeft" state="frozen"/>
      <selection activeCell="M6" sqref="M6"/>
      <selection pane="bottomLeft"/>
    </sheetView>
  </sheetViews>
  <sheetFormatPr defaultRowHeight="12.75" x14ac:dyDescent="0.2"/>
  <cols>
    <col min="1" max="1" width="2.7109375" customWidth="1"/>
    <col min="2" max="2" width="4.7109375" customWidth="1"/>
    <col min="3" max="3" width="17" customWidth="1"/>
    <col min="4" max="4" width="17.140625" customWidth="1"/>
    <col min="5" max="5" width="19.7109375" customWidth="1"/>
    <col min="6" max="6" width="13.140625" customWidth="1"/>
    <col min="7" max="7" width="7.28515625" customWidth="1"/>
  </cols>
  <sheetData>
    <row r="1" spans="1:8" ht="43.5" customHeight="1" x14ac:dyDescent="0.25">
      <c r="A1" s="476"/>
      <c r="B1" s="476"/>
      <c r="C1" s="476"/>
      <c r="D1" s="476"/>
      <c r="E1" s="476"/>
      <c r="F1" s="476"/>
      <c r="G1" s="476"/>
      <c r="H1" s="478"/>
    </row>
    <row r="2" spans="1:8" x14ac:dyDescent="0.2">
      <c r="B2" s="1"/>
      <c r="C2" s="1"/>
    </row>
    <row r="3" spans="1:8" x14ac:dyDescent="0.2">
      <c r="B3" s="1"/>
      <c r="C3" s="6" t="s">
        <v>1463</v>
      </c>
      <c r="D3" s="6" t="s">
        <v>2817</v>
      </c>
    </row>
    <row r="4" spans="1:8" x14ac:dyDescent="0.2">
      <c r="C4" s="173" t="s">
        <v>2818</v>
      </c>
      <c r="D4" s="8">
        <f>DATEVALUE(C4)</f>
        <v>36519</v>
      </c>
      <c r="E4" s="13" t="s">
        <v>2819</v>
      </c>
    </row>
    <row r="5" spans="1:8" x14ac:dyDescent="0.2">
      <c r="C5" s="173" t="s">
        <v>2820</v>
      </c>
      <c r="D5" s="8" t="e">
        <f>DATEVALUE(C5)</f>
        <v>#VALUE!</v>
      </c>
      <c r="E5" s="13" t="s">
        <v>2821</v>
      </c>
    </row>
    <row r="6" spans="1:8" x14ac:dyDescent="0.2">
      <c r="C6" s="173" t="s">
        <v>2818</v>
      </c>
      <c r="D6" s="8">
        <f>DATEVALUE(C6)</f>
        <v>36519</v>
      </c>
      <c r="E6" s="13" t="s">
        <v>2822</v>
      </c>
    </row>
    <row r="7" spans="1:8" x14ac:dyDescent="0.2">
      <c r="C7" s="173" t="s">
        <v>2820</v>
      </c>
      <c r="D7" s="8" t="e">
        <f>DATEVALUE(C7)</f>
        <v>#VALUE!</v>
      </c>
      <c r="E7" s="13" t="s">
        <v>2823</v>
      </c>
    </row>
    <row r="9" spans="1:8" ht="13.5" thickBot="1" x14ac:dyDescent="0.25">
      <c r="B9" s="2" t="s">
        <v>3118</v>
      </c>
      <c r="C9" s="2"/>
      <c r="D9" s="2"/>
      <c r="E9" s="2"/>
      <c r="F9" s="2"/>
      <c r="G9" s="2"/>
    </row>
    <row r="10" spans="1:8" x14ac:dyDescent="0.2">
      <c r="B10" t="s">
        <v>2824</v>
      </c>
    </row>
    <row r="11" spans="1:8" x14ac:dyDescent="0.2">
      <c r="B11" t="s">
        <v>2825</v>
      </c>
    </row>
    <row r="12" spans="1:8" x14ac:dyDescent="0.2">
      <c r="B12" t="s">
        <v>2826</v>
      </c>
    </row>
    <row r="14" spans="1:8" ht="13.5" thickBot="1" x14ac:dyDescent="0.25">
      <c r="B14" s="2" t="s">
        <v>998</v>
      </c>
      <c r="C14" s="2"/>
      <c r="D14" s="2"/>
      <c r="E14" s="2"/>
      <c r="F14" s="2"/>
      <c r="G14" s="2"/>
    </row>
    <row r="15" spans="1:8" x14ac:dyDescent="0.2">
      <c r="B15" t="s">
        <v>2827</v>
      </c>
    </row>
    <row r="17" spans="2:7" ht="13.5" thickBot="1" x14ac:dyDescent="0.25">
      <c r="B17" s="2" t="s">
        <v>3355</v>
      </c>
      <c r="C17" s="2"/>
      <c r="D17" s="2"/>
      <c r="E17" s="2"/>
      <c r="F17" s="2"/>
      <c r="G17" s="2"/>
    </row>
    <row r="18" spans="2:7" x14ac:dyDescent="0.2">
      <c r="B18" t="s">
        <v>2828</v>
      </c>
    </row>
    <row r="19" spans="2:7" x14ac:dyDescent="0.2">
      <c r="B19" t="s">
        <v>2829</v>
      </c>
    </row>
    <row r="21" spans="2:7" ht="13.5" thickBot="1" x14ac:dyDescent="0.25">
      <c r="B21" s="2" t="s">
        <v>1001</v>
      </c>
      <c r="C21" s="2"/>
      <c r="D21" s="2"/>
      <c r="E21" s="2"/>
      <c r="F21" s="2"/>
      <c r="G21" s="2"/>
    </row>
    <row r="22" spans="2:7" x14ac:dyDescent="0.2">
      <c r="B22" t="s">
        <v>2830</v>
      </c>
    </row>
    <row r="23" spans="2:7" x14ac:dyDescent="0.2">
      <c r="B23" t="s">
        <v>2831</v>
      </c>
    </row>
    <row r="25" spans="2:7" x14ac:dyDescent="0.2">
      <c r="B25" t="s">
        <v>2832</v>
      </c>
    </row>
    <row r="26" spans="2:7" x14ac:dyDescent="0.2">
      <c r="B26" t="s">
        <v>2833</v>
      </c>
    </row>
    <row r="28" spans="2:7" ht="25.5" x14ac:dyDescent="0.2">
      <c r="D28" s="6" t="s">
        <v>2834</v>
      </c>
      <c r="E28" s="57" t="s">
        <v>2835</v>
      </c>
      <c r="F28" s="57" t="s">
        <v>2836</v>
      </c>
    </row>
    <row r="29" spans="2:7" x14ac:dyDescent="0.2">
      <c r="D29" s="50" t="s">
        <v>2837</v>
      </c>
      <c r="E29" s="173" t="s">
        <v>2818</v>
      </c>
      <c r="F29" s="8">
        <f ca="1">DATEVALUE(E29)-TODAY()</f>
        <v>-8915</v>
      </c>
    </row>
    <row r="30" spans="2:7" x14ac:dyDescent="0.2">
      <c r="D30" s="50" t="s">
        <v>2838</v>
      </c>
      <c r="E30" s="173" t="s">
        <v>2839</v>
      </c>
      <c r="F30" s="8">
        <f ca="1">DATEVALUE(E30)-TODAY()</f>
        <v>-9083</v>
      </c>
    </row>
    <row r="31" spans="2:7" x14ac:dyDescent="0.2">
      <c r="D31" s="50" t="s">
        <v>2840</v>
      </c>
      <c r="E31" s="173" t="s">
        <v>2841</v>
      </c>
      <c r="F31" s="8">
        <f ca="1">DATEVALUE(E31)-TODAY()</f>
        <v>-9383</v>
      </c>
    </row>
    <row r="32" spans="2:7" x14ac:dyDescent="0.2">
      <c r="D32" s="50" t="s">
        <v>2842</v>
      </c>
      <c r="E32" s="173" t="s">
        <v>2843</v>
      </c>
      <c r="F32" s="8" t="e">
        <f ca="1">DATEVALUE(E32)-TODAY()</f>
        <v>#VALUE!</v>
      </c>
    </row>
    <row r="33" spans="6:6" x14ac:dyDescent="0.2">
      <c r="F33" s="66" t="s">
        <v>2844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I42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9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2783</v>
      </c>
      <c r="D3" s="6" t="s">
        <v>2784</v>
      </c>
      <c r="E3" s="6" t="s">
        <v>2785</v>
      </c>
      <c r="F3" s="6" t="s">
        <v>1017</v>
      </c>
    </row>
    <row r="4" spans="1:9" x14ac:dyDescent="0.2">
      <c r="C4" s="161">
        <v>21916</v>
      </c>
      <c r="D4" s="161">
        <v>25698</v>
      </c>
      <c r="E4" s="171" t="s">
        <v>2786</v>
      </c>
      <c r="F4" s="8">
        <f>DATEDIF(C4,D4,"d")</f>
        <v>3782</v>
      </c>
      <c r="G4" s="13" t="s">
        <v>2787</v>
      </c>
    </row>
    <row r="5" spans="1:9" x14ac:dyDescent="0.2">
      <c r="C5" s="161">
        <v>21916</v>
      </c>
      <c r="D5" s="161">
        <v>25698</v>
      </c>
      <c r="E5" s="171" t="s">
        <v>2788</v>
      </c>
      <c r="F5" s="8">
        <f>DATEDIF(C5,D5,"m")</f>
        <v>124</v>
      </c>
      <c r="G5" s="13" t="s">
        <v>2789</v>
      </c>
    </row>
    <row r="6" spans="1:9" x14ac:dyDescent="0.2">
      <c r="C6" s="161">
        <v>21916</v>
      </c>
      <c r="D6" s="161">
        <v>25698</v>
      </c>
      <c r="E6" s="171" t="s">
        <v>2790</v>
      </c>
      <c r="F6" s="8">
        <f>DATEDIF(C6,D6,"y")</f>
        <v>10</v>
      </c>
      <c r="G6" s="13" t="s">
        <v>2791</v>
      </c>
    </row>
    <row r="7" spans="1:9" x14ac:dyDescent="0.2">
      <c r="C7" s="161">
        <v>21916</v>
      </c>
      <c r="D7" s="161">
        <v>25698</v>
      </c>
      <c r="E7" s="171" t="s">
        <v>2792</v>
      </c>
      <c r="F7" s="8">
        <f>DATEDIF(C7,D7,"yd")</f>
        <v>130</v>
      </c>
      <c r="G7" s="13" t="s">
        <v>2793</v>
      </c>
    </row>
    <row r="8" spans="1:9" x14ac:dyDescent="0.2">
      <c r="C8" s="161">
        <v>21916</v>
      </c>
      <c r="D8" s="161">
        <v>25698</v>
      </c>
      <c r="E8" s="171" t="s">
        <v>2794</v>
      </c>
      <c r="F8" s="8">
        <f>DATEDIF(C8,D8,"ym")</f>
        <v>4</v>
      </c>
      <c r="G8" s="13" t="s">
        <v>2795</v>
      </c>
    </row>
    <row r="9" spans="1:9" x14ac:dyDescent="0.2">
      <c r="C9" s="161">
        <v>21916</v>
      </c>
      <c r="D9" s="161">
        <v>25698</v>
      </c>
      <c r="E9" s="171" t="s">
        <v>2796</v>
      </c>
      <c r="F9" s="8">
        <f>DATEDIF(C9,D9,"md")</f>
        <v>9</v>
      </c>
      <c r="G9" s="13" t="s">
        <v>2797</v>
      </c>
    </row>
    <row r="11" spans="1:9" ht="13.5" thickBot="1" x14ac:dyDescent="0.25">
      <c r="B11" s="172" t="s">
        <v>3118</v>
      </c>
      <c r="C11" s="53"/>
      <c r="D11" s="53"/>
      <c r="E11" s="53"/>
      <c r="F11" s="53"/>
      <c r="G11" s="53"/>
      <c r="H11" s="53"/>
    </row>
    <row r="12" spans="1:9" x14ac:dyDescent="0.2">
      <c r="B12" s="167" t="s">
        <v>2798</v>
      </c>
    </row>
    <row r="13" spans="1:9" x14ac:dyDescent="0.2">
      <c r="B13" s="167" t="s">
        <v>2799</v>
      </c>
    </row>
    <row r="15" spans="1:9" ht="13.5" thickBot="1" x14ac:dyDescent="0.25">
      <c r="B15" s="172" t="s">
        <v>998</v>
      </c>
      <c r="C15" s="53"/>
      <c r="D15" s="53"/>
      <c r="E15" s="53"/>
      <c r="F15" s="53"/>
      <c r="G15" s="53"/>
      <c r="H15" s="53"/>
    </row>
    <row r="16" spans="1:9" x14ac:dyDescent="0.2">
      <c r="B16" t="s">
        <v>2800</v>
      </c>
    </row>
    <row r="17" spans="2:8" x14ac:dyDescent="0.2">
      <c r="B17" s="167" t="s">
        <v>2801</v>
      </c>
    </row>
    <row r="18" spans="2:8" x14ac:dyDescent="0.2">
      <c r="B18" t="s">
        <v>2802</v>
      </c>
    </row>
    <row r="19" spans="2:8" x14ac:dyDescent="0.2">
      <c r="B19" t="s">
        <v>2803</v>
      </c>
    </row>
    <row r="20" spans="2:8" x14ac:dyDescent="0.2">
      <c r="B20" t="s">
        <v>2804</v>
      </c>
    </row>
    <row r="21" spans="2:8" x14ac:dyDescent="0.2">
      <c r="C21" s="49" t="s">
        <v>2805</v>
      </c>
      <c r="D21" t="s">
        <v>2806</v>
      </c>
    </row>
    <row r="22" spans="2:8" x14ac:dyDescent="0.2">
      <c r="C22" s="49" t="s">
        <v>2807</v>
      </c>
      <c r="D22" t="s">
        <v>2808</v>
      </c>
    </row>
    <row r="23" spans="2:8" x14ac:dyDescent="0.2">
      <c r="C23" s="49" t="s">
        <v>2809</v>
      </c>
      <c r="D23" t="s">
        <v>2810</v>
      </c>
    </row>
    <row r="24" spans="2:8" x14ac:dyDescent="0.2">
      <c r="C24" s="49" t="s">
        <v>2811</v>
      </c>
      <c r="D24" t="s">
        <v>2812</v>
      </c>
    </row>
    <row r="25" spans="2:8" x14ac:dyDescent="0.2">
      <c r="C25" s="49" t="s">
        <v>2813</v>
      </c>
      <c r="D25" t="s">
        <v>2814</v>
      </c>
    </row>
    <row r="26" spans="2:8" x14ac:dyDescent="0.2">
      <c r="C26" s="49" t="s">
        <v>2815</v>
      </c>
      <c r="D26" t="s">
        <v>2816</v>
      </c>
    </row>
    <row r="28" spans="2:8" ht="13.5" thickBot="1" x14ac:dyDescent="0.25">
      <c r="B28" s="172" t="s">
        <v>3355</v>
      </c>
      <c r="C28" s="53"/>
      <c r="D28" s="53"/>
      <c r="E28" s="53"/>
      <c r="F28" s="53"/>
      <c r="G28" s="53"/>
      <c r="H28" s="53"/>
    </row>
    <row r="29" spans="2:8" x14ac:dyDescent="0.2">
      <c r="B29" s="149" t="s">
        <v>2424</v>
      </c>
      <c r="C29" s="149"/>
      <c r="D29" s="149"/>
      <c r="E29" s="149"/>
      <c r="F29" s="149"/>
      <c r="G29" s="149"/>
      <c r="H29" s="149"/>
    </row>
    <row r="34" spans="3:5" x14ac:dyDescent="0.2">
      <c r="C34" s="23" t="s">
        <v>969</v>
      </c>
      <c r="D34" s="54">
        <v>21916</v>
      </c>
    </row>
    <row r="36" spans="3:5" x14ac:dyDescent="0.2">
      <c r="C36" s="23" t="s">
        <v>970</v>
      </c>
      <c r="D36" s="25">
        <f ca="1">DATEDIF(D34,TODAY(),"y")</f>
        <v>64</v>
      </c>
      <c r="E36" s="13" t="s">
        <v>971</v>
      </c>
    </row>
    <row r="37" spans="3:5" x14ac:dyDescent="0.2">
      <c r="C37" s="23" t="s">
        <v>972</v>
      </c>
      <c r="D37" s="25">
        <f ca="1">DATEDIF(D34,TODAY(),"ym")</f>
        <v>4</v>
      </c>
      <c r="E37" s="13" t="s">
        <v>973</v>
      </c>
    </row>
    <row r="38" spans="3:5" x14ac:dyDescent="0.2">
      <c r="C38" s="23" t="s">
        <v>974</v>
      </c>
      <c r="D38" s="25">
        <f ca="1">DATEDIF(D34,TODAY(),"md")</f>
        <v>21</v>
      </c>
      <c r="E38" s="13" t="s">
        <v>975</v>
      </c>
    </row>
    <row r="40" spans="3:5" x14ac:dyDescent="0.2">
      <c r="C40" t="s">
        <v>976</v>
      </c>
    </row>
    <row r="41" spans="3:5" x14ac:dyDescent="0.2">
      <c r="C41" s="55" t="str">
        <f ca="1">"Age is "&amp;DATEDIF(D34,TODAY(),"y")&amp;" Years, "&amp;DATEDIF(D34,TODAY(),"ym")&amp;" Months and "&amp;DATEDIF(D34,TODAY(),"md")&amp;" Days"</f>
        <v>Age is 64 Years, 4 Months and 21 Days</v>
      </c>
      <c r="D41" s="52"/>
    </row>
    <row r="42" spans="3:5" ht="13.5" x14ac:dyDescent="0.25">
      <c r="C42" s="27" t="s">
        <v>977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2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K17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2" max="2" width="4.5703125" style="49" customWidth="1"/>
    <col min="3" max="4" width="5.7109375" style="49" customWidth="1"/>
    <col min="5" max="5" width="7.5703125" style="49" customWidth="1"/>
    <col min="6" max="6" width="20.85546875" customWidth="1"/>
    <col min="7" max="7" width="19" customWidth="1"/>
    <col min="9" max="9" width="8.140625" customWidth="1"/>
  </cols>
  <sheetData>
    <row r="1" spans="1:11" ht="42.75" customHeight="1" x14ac:dyDescent="0.25">
      <c r="A1" s="476"/>
      <c r="B1" s="511"/>
      <c r="C1" s="512"/>
      <c r="D1" s="512"/>
      <c r="E1" s="512"/>
      <c r="F1" s="511"/>
      <c r="G1" s="511"/>
      <c r="H1" s="511"/>
      <c r="I1" s="511"/>
      <c r="J1" s="511"/>
      <c r="K1" s="478"/>
    </row>
    <row r="2" spans="1:11" x14ac:dyDescent="0.2">
      <c r="B2"/>
    </row>
    <row r="3" spans="1:11" x14ac:dyDescent="0.2">
      <c r="B3"/>
      <c r="C3" s="163" t="s">
        <v>3816</v>
      </c>
      <c r="D3" s="163" t="s">
        <v>1722</v>
      </c>
      <c r="E3" s="163" t="s">
        <v>1626</v>
      </c>
      <c r="F3" s="6" t="s">
        <v>1463</v>
      </c>
    </row>
    <row r="4" spans="1:11" x14ac:dyDescent="0.2">
      <c r="B4" s="88"/>
      <c r="C4" s="7">
        <v>25</v>
      </c>
      <c r="D4" s="7">
        <v>12</v>
      </c>
      <c r="E4" s="7">
        <v>99</v>
      </c>
      <c r="F4" s="164">
        <f>DATE(E4,D4,C4)</f>
        <v>36519</v>
      </c>
      <c r="G4" s="13" t="s">
        <v>2776</v>
      </c>
    </row>
    <row r="5" spans="1:11" x14ac:dyDescent="0.2">
      <c r="B5" s="88"/>
      <c r="C5" s="7">
        <v>25</v>
      </c>
      <c r="D5" s="7">
        <v>12</v>
      </c>
      <c r="E5" s="7">
        <v>99</v>
      </c>
      <c r="F5" s="165">
        <f>DATE(E5,D5,C5)</f>
        <v>36519</v>
      </c>
      <c r="G5" s="13" t="s">
        <v>2777</v>
      </c>
    </row>
    <row r="6" spans="1:11" x14ac:dyDescent="0.2">
      <c r="B6" s="88"/>
      <c r="C6" s="7">
        <v>33</v>
      </c>
      <c r="D6" s="7">
        <v>12</v>
      </c>
      <c r="E6" s="7">
        <v>99</v>
      </c>
      <c r="F6" s="166">
        <f>DATE(E6,D6,C6)</f>
        <v>36527</v>
      </c>
      <c r="G6" s="13" t="s">
        <v>2778</v>
      </c>
    </row>
    <row r="7" spans="1:11" x14ac:dyDescent="0.2">
      <c r="B7"/>
    </row>
    <row r="8" spans="1:11" ht="13.5" thickBot="1" x14ac:dyDescent="0.25">
      <c r="B8" s="2" t="s">
        <v>3118</v>
      </c>
      <c r="C8" s="3"/>
      <c r="D8" s="3"/>
      <c r="E8" s="3"/>
      <c r="F8" s="2"/>
      <c r="G8" s="2"/>
      <c r="H8" s="2"/>
      <c r="I8" s="2"/>
      <c r="J8" s="2"/>
    </row>
    <row r="9" spans="1:11" s="167" customFormat="1" x14ac:dyDescent="0.2">
      <c r="B9" s="167" t="s">
        <v>2779</v>
      </c>
      <c r="C9" s="49"/>
      <c r="D9" s="49"/>
      <c r="E9" s="49"/>
    </row>
    <row r="10" spans="1:11" s="167" customFormat="1" x14ac:dyDescent="0.2">
      <c r="C10" s="49"/>
      <c r="D10" s="49"/>
      <c r="E10" s="49"/>
    </row>
    <row r="11" spans="1:11" s="167" customFormat="1" ht="13.5" thickBot="1" x14ac:dyDescent="0.25">
      <c r="B11" s="2" t="s">
        <v>998</v>
      </c>
      <c r="C11" s="3"/>
      <c r="D11" s="3"/>
      <c r="E11" s="3"/>
      <c r="F11" s="2"/>
      <c r="G11" s="2"/>
      <c r="H11" s="2"/>
      <c r="I11" s="168"/>
      <c r="J11" s="168"/>
    </row>
    <row r="12" spans="1:11" s="167" customFormat="1" x14ac:dyDescent="0.2">
      <c r="B12" t="s">
        <v>2780</v>
      </c>
      <c r="C12" s="49"/>
      <c r="D12" s="49"/>
      <c r="E12" s="49"/>
      <c r="F12"/>
      <c r="G12"/>
      <c r="H12"/>
    </row>
    <row r="13" spans="1:11" s="167" customFormat="1" x14ac:dyDescent="0.2">
      <c r="C13" s="49"/>
      <c r="D13" s="49"/>
      <c r="E13" s="49"/>
    </row>
    <row r="14" spans="1:11" s="167" customFormat="1" ht="13.5" thickBot="1" x14ac:dyDescent="0.25">
      <c r="B14" s="2" t="s">
        <v>3355</v>
      </c>
      <c r="C14" s="3"/>
      <c r="D14" s="3"/>
      <c r="E14" s="3"/>
      <c r="F14" s="2"/>
      <c r="G14" s="2"/>
      <c r="H14" s="2"/>
      <c r="I14" s="168"/>
      <c r="J14" s="168"/>
    </row>
    <row r="15" spans="1:11" x14ac:dyDescent="0.2">
      <c r="B15" t="s">
        <v>2781</v>
      </c>
    </row>
    <row r="16" spans="1:11" x14ac:dyDescent="0.2">
      <c r="B16" t="s">
        <v>2782</v>
      </c>
    </row>
    <row r="17" spans="5:6" x14ac:dyDescent="0.2">
      <c r="E17" s="169"/>
      <c r="F17" s="170"/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1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H32"/>
  <sheetViews>
    <sheetView showGridLines="0" workbookViewId="0">
      <pane ySplit="1" topLeftCell="A2" activePane="bottomLeft" state="frozenSplit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2.42578125" customWidth="1"/>
    <col min="4" max="4" width="11.28515625" customWidth="1"/>
    <col min="7" max="7" width="30.42578125" customWidth="1"/>
  </cols>
  <sheetData>
    <row r="1" spans="1:8" ht="42" customHeight="1" x14ac:dyDescent="0.25">
      <c r="A1" s="476"/>
      <c r="B1" s="476"/>
      <c r="C1" s="476"/>
      <c r="D1" s="476"/>
      <c r="E1" s="476"/>
      <c r="F1" s="476"/>
      <c r="G1" s="476"/>
      <c r="H1" s="478"/>
    </row>
    <row r="3" spans="1:8" x14ac:dyDescent="0.2">
      <c r="C3" s="6" t="s">
        <v>3054</v>
      </c>
      <c r="D3" s="6" t="s">
        <v>1463</v>
      </c>
      <c r="E3" s="6" t="s">
        <v>2755</v>
      </c>
    </row>
    <row r="4" spans="1:8" x14ac:dyDescent="0.2">
      <c r="C4" s="7" t="s">
        <v>2756</v>
      </c>
      <c r="D4" s="161">
        <v>35796</v>
      </c>
      <c r="E4" s="7">
        <v>80</v>
      </c>
    </row>
    <row r="5" spans="1:8" x14ac:dyDescent="0.2">
      <c r="C5" s="7" t="s">
        <v>2757</v>
      </c>
      <c r="D5" s="161">
        <v>35925</v>
      </c>
      <c r="E5" s="7">
        <v>25</v>
      </c>
    </row>
    <row r="6" spans="1:8" x14ac:dyDescent="0.2">
      <c r="C6" s="7" t="s">
        <v>2756</v>
      </c>
      <c r="D6" s="161">
        <v>35827</v>
      </c>
      <c r="E6" s="7">
        <v>80</v>
      </c>
    </row>
    <row r="7" spans="1:8" x14ac:dyDescent="0.2">
      <c r="C7" s="7" t="s">
        <v>2758</v>
      </c>
      <c r="D7" s="161">
        <v>35855</v>
      </c>
      <c r="E7" s="7">
        <v>150</v>
      </c>
    </row>
    <row r="8" spans="1:8" x14ac:dyDescent="0.2">
      <c r="C8" s="7" t="s">
        <v>2758</v>
      </c>
      <c r="D8" s="161">
        <v>35800</v>
      </c>
      <c r="E8" s="7">
        <v>300</v>
      </c>
    </row>
    <row r="9" spans="1:8" x14ac:dyDescent="0.2">
      <c r="C9" s="7" t="s">
        <v>2759</v>
      </c>
      <c r="D9" s="161">
        <v>35947</v>
      </c>
      <c r="E9" s="7">
        <v>50</v>
      </c>
    </row>
    <row r="10" spans="1:8" x14ac:dyDescent="0.2">
      <c r="C10" s="7" t="s">
        <v>2757</v>
      </c>
      <c r="D10" s="161">
        <v>35886</v>
      </c>
      <c r="E10" s="7">
        <v>200</v>
      </c>
    </row>
    <row r="11" spans="1:8" x14ac:dyDescent="0.2">
      <c r="C11" s="7" t="s">
        <v>2757</v>
      </c>
      <c r="D11" s="161">
        <v>35855</v>
      </c>
      <c r="E11" s="7">
        <v>100</v>
      </c>
    </row>
    <row r="12" spans="1:8" x14ac:dyDescent="0.2">
      <c r="C12" s="7" t="s">
        <v>2760</v>
      </c>
      <c r="D12" s="161">
        <v>35916</v>
      </c>
      <c r="E12" s="7">
        <v>250</v>
      </c>
    </row>
    <row r="14" spans="1:8" x14ac:dyDescent="0.2">
      <c r="B14" s="20" t="s">
        <v>2761</v>
      </c>
      <c r="C14" s="162"/>
      <c r="D14" s="162"/>
      <c r="E14" s="41"/>
      <c r="F14" s="8">
        <f>COUNTIF(C4:C12,"Brakes")</f>
        <v>2</v>
      </c>
      <c r="G14" s="63" t="s">
        <v>2762</v>
      </c>
    </row>
    <row r="15" spans="1:8" x14ac:dyDescent="0.2">
      <c r="B15" s="20" t="s">
        <v>2763</v>
      </c>
      <c r="C15" s="162"/>
      <c r="D15" s="162"/>
      <c r="E15" s="41"/>
      <c r="F15" s="8">
        <f>COUNTIF(C4:C12,"Tyres")</f>
        <v>3</v>
      </c>
      <c r="G15" s="63" t="s">
        <v>2764</v>
      </c>
    </row>
    <row r="16" spans="1:8" x14ac:dyDescent="0.2">
      <c r="B16" s="20" t="s">
        <v>2765</v>
      </c>
      <c r="C16" s="162"/>
      <c r="D16" s="162"/>
      <c r="E16" s="41"/>
      <c r="F16" s="8">
        <f>COUNTIF(E4:E12,"&gt;=100")</f>
        <v>5</v>
      </c>
      <c r="G16" s="63" t="s">
        <v>2766</v>
      </c>
    </row>
    <row r="18" spans="2:7" x14ac:dyDescent="0.2">
      <c r="B18" s="20" t="s">
        <v>2767</v>
      </c>
      <c r="C18" s="162"/>
      <c r="D18" s="162"/>
      <c r="E18" s="7" t="s">
        <v>2768</v>
      </c>
      <c r="F18" s="8">
        <f>COUNTIF(C4:C12,E18)</f>
        <v>2</v>
      </c>
      <c r="G18" s="63" t="s">
        <v>2769</v>
      </c>
    </row>
    <row r="21" spans="2:7" ht="13.5" thickBot="1" x14ac:dyDescent="0.25">
      <c r="B21" s="2" t="s">
        <v>2865</v>
      </c>
      <c r="C21" s="2"/>
      <c r="D21" s="2"/>
      <c r="E21" s="2"/>
      <c r="F21" s="2"/>
      <c r="G21" s="2"/>
    </row>
    <row r="22" spans="2:7" x14ac:dyDescent="0.2">
      <c r="B22" t="s">
        <v>2770</v>
      </c>
    </row>
    <row r="24" spans="2:7" ht="13.5" thickBot="1" x14ac:dyDescent="0.25">
      <c r="B24" s="2" t="s">
        <v>998</v>
      </c>
      <c r="C24" s="2"/>
      <c r="D24" s="2"/>
      <c r="E24" s="2"/>
      <c r="F24" s="2"/>
      <c r="G24" s="2"/>
    </row>
    <row r="25" spans="2:7" x14ac:dyDescent="0.2">
      <c r="B25" s="126" t="s">
        <v>2771</v>
      </c>
    </row>
    <row r="26" spans="2:7" x14ac:dyDescent="0.2">
      <c r="B26" t="s">
        <v>2772</v>
      </c>
    </row>
    <row r="27" spans="2:7" x14ac:dyDescent="0.2">
      <c r="B27" t="s">
        <v>2773</v>
      </c>
    </row>
    <row r="28" spans="2:7" x14ac:dyDescent="0.2">
      <c r="B28" t="s">
        <v>2774</v>
      </c>
    </row>
    <row r="29" spans="2:7" x14ac:dyDescent="0.2">
      <c r="B29" t="s">
        <v>2775</v>
      </c>
    </row>
    <row r="31" spans="2:7" ht="13.5" thickBot="1" x14ac:dyDescent="0.25">
      <c r="B31" s="2" t="s">
        <v>3355</v>
      </c>
      <c r="C31" s="2"/>
      <c r="D31" s="2"/>
      <c r="E31" s="2"/>
      <c r="F31" s="2"/>
      <c r="G31" s="2"/>
    </row>
    <row r="32" spans="2:7" x14ac:dyDescent="0.2">
      <c r="B32" t="s">
        <v>2424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J47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3" customWidth="1"/>
    <col min="5" max="5" width="11.5703125" customWidth="1"/>
    <col min="9" max="9" width="10.7109375" customWidth="1"/>
  </cols>
  <sheetData>
    <row r="1" spans="1:10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C3" s="6" t="s">
        <v>2043</v>
      </c>
      <c r="E3" s="6" t="s">
        <v>2044</v>
      </c>
    </row>
    <row r="4" spans="1:10" x14ac:dyDescent="0.2">
      <c r="C4" s="7">
        <v>1</v>
      </c>
      <c r="E4" s="8">
        <f>COUNTBLANK(C4:C11)</f>
        <v>2</v>
      </c>
      <c r="F4" s="13" t="s">
        <v>2045</v>
      </c>
    </row>
    <row r="5" spans="1:10" x14ac:dyDescent="0.2">
      <c r="C5" s="7" t="s">
        <v>1029</v>
      </c>
    </row>
    <row r="6" spans="1:10" x14ac:dyDescent="0.2">
      <c r="C6" s="7">
        <v>3</v>
      </c>
    </row>
    <row r="7" spans="1:10" x14ac:dyDescent="0.2">
      <c r="C7" s="7">
        <v>0</v>
      </c>
    </row>
    <row r="8" spans="1:10" x14ac:dyDescent="0.2">
      <c r="C8" s="7"/>
    </row>
    <row r="9" spans="1:10" x14ac:dyDescent="0.2">
      <c r="C9" s="161">
        <v>35796</v>
      </c>
    </row>
    <row r="10" spans="1:10" x14ac:dyDescent="0.2">
      <c r="C10" s="7"/>
    </row>
    <row r="11" spans="1:10" x14ac:dyDescent="0.2">
      <c r="C11" s="7">
        <v>5</v>
      </c>
    </row>
    <row r="13" spans="1:10" ht="13.5" thickBot="1" x14ac:dyDescent="0.25">
      <c r="B13" s="2" t="s">
        <v>2865</v>
      </c>
      <c r="C13" s="2"/>
      <c r="D13" s="2"/>
      <c r="E13" s="2"/>
      <c r="F13" s="2"/>
      <c r="G13" s="2"/>
      <c r="H13" s="2"/>
      <c r="I13" s="2"/>
    </row>
    <row r="14" spans="1:10" x14ac:dyDescent="0.2">
      <c r="B14" t="s">
        <v>2046</v>
      </c>
    </row>
    <row r="16" spans="1:10" ht="13.5" thickBot="1" x14ac:dyDescent="0.25">
      <c r="B16" s="2" t="s">
        <v>998</v>
      </c>
      <c r="C16" s="2"/>
      <c r="D16" s="2"/>
      <c r="E16" s="2"/>
      <c r="F16" s="2"/>
      <c r="G16" s="2"/>
      <c r="H16" s="2"/>
      <c r="I16" s="2"/>
    </row>
    <row r="17" spans="2:9" x14ac:dyDescent="0.2">
      <c r="B17" s="61" t="s">
        <v>2047</v>
      </c>
    </row>
    <row r="19" spans="2:9" ht="13.5" thickBot="1" x14ac:dyDescent="0.25">
      <c r="B19" s="2" t="s">
        <v>3355</v>
      </c>
      <c r="C19" s="2"/>
      <c r="D19" s="2"/>
      <c r="E19" s="2"/>
      <c r="F19" s="2"/>
      <c r="G19" s="2"/>
      <c r="H19" s="2"/>
      <c r="I19" s="2"/>
    </row>
    <row r="20" spans="2:9" x14ac:dyDescent="0.2">
      <c r="B20" t="s">
        <v>2424</v>
      </c>
    </row>
    <row r="22" spans="2:9" ht="13.5" thickBot="1" x14ac:dyDescent="0.25">
      <c r="B22" s="2" t="s">
        <v>1001</v>
      </c>
      <c r="C22" s="2"/>
      <c r="D22" s="2"/>
      <c r="E22" s="2"/>
      <c r="F22" s="2"/>
      <c r="G22" s="2"/>
      <c r="H22" s="2"/>
      <c r="I22" s="2"/>
    </row>
    <row r="23" spans="2:9" x14ac:dyDescent="0.2">
      <c r="B23" t="s">
        <v>2048</v>
      </c>
    </row>
    <row r="24" spans="2:9" x14ac:dyDescent="0.2">
      <c r="B24" t="s">
        <v>2049</v>
      </c>
    </row>
    <row r="25" spans="2:9" x14ac:dyDescent="0.2">
      <c r="B25" t="s">
        <v>2050</v>
      </c>
    </row>
    <row r="26" spans="2:9" x14ac:dyDescent="0.2">
      <c r="B26" t="s">
        <v>2051</v>
      </c>
    </row>
    <row r="27" spans="2:9" x14ac:dyDescent="0.2">
      <c r="B27" t="s">
        <v>2052</v>
      </c>
    </row>
    <row r="28" spans="2:9" x14ac:dyDescent="0.2">
      <c r="B28" t="s">
        <v>2732</v>
      </c>
    </row>
    <row r="29" spans="2:9" x14ac:dyDescent="0.2">
      <c r="B29" t="s">
        <v>2733</v>
      </c>
    </row>
    <row r="31" spans="2:9" x14ac:dyDescent="0.2">
      <c r="C31" s="6" t="s">
        <v>2734</v>
      </c>
      <c r="D31" s="6" t="s">
        <v>2735</v>
      </c>
      <c r="E31" s="6" t="s">
        <v>2736</v>
      </c>
      <c r="F31" s="6" t="s">
        <v>2737</v>
      </c>
    </row>
    <row r="32" spans="2:9" x14ac:dyDescent="0.2">
      <c r="B32" s="6" t="s">
        <v>2738</v>
      </c>
      <c r="C32" s="7" t="s">
        <v>2739</v>
      </c>
      <c r="D32" s="7" t="s">
        <v>2479</v>
      </c>
      <c r="E32" s="7"/>
      <c r="F32" s="7"/>
    </row>
    <row r="33" spans="2:6" x14ac:dyDescent="0.2">
      <c r="B33" s="6" t="s">
        <v>2740</v>
      </c>
      <c r="C33" s="7"/>
      <c r="D33" s="7" t="s">
        <v>2739</v>
      </c>
      <c r="E33" s="7" t="s">
        <v>2739</v>
      </c>
      <c r="F33" s="7" t="s">
        <v>2479</v>
      </c>
    </row>
    <row r="34" spans="2:6" x14ac:dyDescent="0.2">
      <c r="B34" s="6" t="s">
        <v>2741</v>
      </c>
      <c r="C34" s="7"/>
      <c r="D34" s="7"/>
      <c r="E34" s="7"/>
      <c r="F34" s="7"/>
    </row>
    <row r="35" spans="2:6" x14ac:dyDescent="0.2">
      <c r="B35" s="6" t="s">
        <v>2742</v>
      </c>
      <c r="C35" s="7" t="s">
        <v>2479</v>
      </c>
      <c r="D35" s="7"/>
      <c r="E35" s="7" t="s">
        <v>2479</v>
      </c>
      <c r="F35" s="7" t="s">
        <v>2479</v>
      </c>
    </row>
    <row r="36" spans="2:6" x14ac:dyDescent="0.2">
      <c r="B36" s="6" t="s">
        <v>2743</v>
      </c>
      <c r="C36" s="7" t="s">
        <v>2739</v>
      </c>
      <c r="D36" s="7"/>
      <c r="E36" s="7" t="s">
        <v>2739</v>
      </c>
      <c r="F36" s="7"/>
    </row>
    <row r="37" spans="2:6" x14ac:dyDescent="0.2">
      <c r="B37" s="6" t="s">
        <v>2744</v>
      </c>
      <c r="C37" s="7" t="s">
        <v>2739</v>
      </c>
      <c r="D37" s="7" t="s">
        <v>2739</v>
      </c>
      <c r="E37" s="7" t="s">
        <v>2739</v>
      </c>
      <c r="F37" s="7" t="s">
        <v>2479</v>
      </c>
    </row>
    <row r="38" spans="2:6" x14ac:dyDescent="0.2">
      <c r="B38" s="6" t="s">
        <v>2745</v>
      </c>
      <c r="C38" s="7"/>
      <c r="D38" s="7" t="s">
        <v>2479</v>
      </c>
      <c r="E38" s="7" t="s">
        <v>2739</v>
      </c>
      <c r="F38" s="7"/>
    </row>
    <row r="39" spans="2:6" x14ac:dyDescent="0.2">
      <c r="B39" s="6" t="s">
        <v>2746</v>
      </c>
      <c r="C39" s="7" t="s">
        <v>2479</v>
      </c>
      <c r="D39" s="7" t="s">
        <v>2479</v>
      </c>
      <c r="E39" s="7" t="s">
        <v>2739</v>
      </c>
      <c r="F39" s="7" t="s">
        <v>2739</v>
      </c>
    </row>
    <row r="40" spans="2:6" x14ac:dyDescent="0.2">
      <c r="B40" s="6" t="s">
        <v>2747</v>
      </c>
      <c r="C40" s="7"/>
      <c r="D40" s="7"/>
      <c r="E40" s="7" t="s">
        <v>2739</v>
      </c>
      <c r="F40" s="7"/>
    </row>
    <row r="41" spans="2:6" x14ac:dyDescent="0.2">
      <c r="B41" s="6" t="s">
        <v>2748</v>
      </c>
      <c r="C41" s="7" t="s">
        <v>2739</v>
      </c>
      <c r="D41" s="7" t="s">
        <v>2479</v>
      </c>
      <c r="E41" s="7"/>
      <c r="F41" s="7" t="s">
        <v>2739</v>
      </c>
    </row>
    <row r="43" spans="2:6" x14ac:dyDescent="0.2">
      <c r="C43" s="20"/>
      <c r="D43" s="21" t="s">
        <v>2749</v>
      </c>
      <c r="E43" s="8">
        <f>COUNTBLANK(C32:F41)</f>
        <v>16</v>
      </c>
      <c r="F43" s="13" t="s">
        <v>2750</v>
      </c>
    </row>
    <row r="45" spans="2:6" x14ac:dyDescent="0.2">
      <c r="C45" s="20"/>
      <c r="D45" s="21" t="s">
        <v>2751</v>
      </c>
      <c r="E45" s="8">
        <f>COUNTIF(C32:F41,"Y")</f>
        <v>14</v>
      </c>
      <c r="F45" s="13" t="s">
        <v>2752</v>
      </c>
    </row>
    <row r="47" spans="2:6" x14ac:dyDescent="0.2">
      <c r="C47" s="20"/>
      <c r="D47" s="21" t="s">
        <v>2753</v>
      </c>
      <c r="E47" s="8">
        <f>COUNTIF(C32:F41,"N")</f>
        <v>10</v>
      </c>
      <c r="F47" s="13" t="s">
        <v>2754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K44"/>
  <sheetViews>
    <sheetView showGridLines="0" workbookViewId="0">
      <pane ySplit="1" topLeftCell="A18" activePane="bottomLeft" state="frozen"/>
      <selection activeCell="A3" sqref="A3"/>
      <selection pane="bottomLeft" activeCell="D43" sqref="D43"/>
    </sheetView>
  </sheetViews>
  <sheetFormatPr defaultRowHeight="12.75" x14ac:dyDescent="0.2"/>
  <cols>
    <col min="1" max="1" width="2.7109375" customWidth="1"/>
    <col min="8" max="8" width="4.5703125" customWidth="1"/>
    <col min="9" max="9" width="13.42578125" customWidth="1"/>
    <col min="10" max="10" width="8.85546875" customWidth="1"/>
  </cols>
  <sheetData>
    <row r="1" spans="1:11" ht="45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158" t="s">
        <v>1742</v>
      </c>
      <c r="D3" s="159"/>
      <c r="E3" s="160"/>
      <c r="F3" s="6" t="s">
        <v>1743</v>
      </c>
    </row>
    <row r="4" spans="1:11" x14ac:dyDescent="0.2">
      <c r="C4" s="7">
        <v>10</v>
      </c>
      <c r="D4" s="7">
        <v>20</v>
      </c>
      <c r="E4" s="7">
        <v>30</v>
      </c>
      <c r="F4" s="8">
        <f t="shared" ref="F4:F12" si="0">COUNTA(C4:E4)</f>
        <v>3</v>
      </c>
      <c r="G4" s="13" t="s">
        <v>2018</v>
      </c>
    </row>
    <row r="5" spans="1:11" x14ac:dyDescent="0.2">
      <c r="C5" s="7">
        <v>10</v>
      </c>
      <c r="D5" s="7">
        <v>0</v>
      </c>
      <c r="E5" s="7">
        <v>30</v>
      </c>
      <c r="F5" s="8">
        <f t="shared" si="0"/>
        <v>3</v>
      </c>
      <c r="G5" s="13" t="s">
        <v>2019</v>
      </c>
    </row>
    <row r="6" spans="1:11" x14ac:dyDescent="0.2">
      <c r="C6" s="7">
        <v>10</v>
      </c>
      <c r="D6" s="7">
        <v>-20</v>
      </c>
      <c r="E6" s="7">
        <v>30</v>
      </c>
      <c r="F6" s="8">
        <f t="shared" si="0"/>
        <v>3</v>
      </c>
      <c r="G6" s="13" t="s">
        <v>2020</v>
      </c>
    </row>
    <row r="7" spans="1:11" x14ac:dyDescent="0.2">
      <c r="C7" s="7">
        <v>10</v>
      </c>
      <c r="D7" s="161">
        <v>32143</v>
      </c>
      <c r="E7" s="7">
        <v>30</v>
      </c>
      <c r="F7" s="8">
        <f t="shared" si="0"/>
        <v>3</v>
      </c>
      <c r="G7" s="13" t="s">
        <v>2021</v>
      </c>
    </row>
    <row r="8" spans="1:11" x14ac:dyDescent="0.2">
      <c r="C8" s="7">
        <v>10</v>
      </c>
      <c r="D8" s="12">
        <v>0.89583333333333337</v>
      </c>
      <c r="E8" s="7">
        <v>30</v>
      </c>
      <c r="F8" s="8">
        <f t="shared" si="0"/>
        <v>3</v>
      </c>
      <c r="G8" s="13" t="s">
        <v>2022</v>
      </c>
    </row>
    <row r="9" spans="1:11" x14ac:dyDescent="0.2">
      <c r="C9" s="7">
        <v>10</v>
      </c>
      <c r="D9" s="7">
        <f ca="1">RAND()</f>
        <v>0.6161327845491853</v>
      </c>
      <c r="E9" s="7">
        <v>30</v>
      </c>
      <c r="F9" s="8">
        <f t="shared" ca="1" si="0"/>
        <v>3</v>
      </c>
      <c r="G9" s="13" t="s">
        <v>2023</v>
      </c>
    </row>
    <row r="10" spans="1:11" x14ac:dyDescent="0.2">
      <c r="C10" s="7">
        <v>10</v>
      </c>
      <c r="D10" s="7"/>
      <c r="E10" s="7">
        <v>30</v>
      </c>
      <c r="F10" s="8">
        <f t="shared" si="0"/>
        <v>2</v>
      </c>
      <c r="G10" s="13" t="s">
        <v>2024</v>
      </c>
    </row>
    <row r="11" spans="1:11" x14ac:dyDescent="0.2">
      <c r="C11" s="7">
        <v>10</v>
      </c>
      <c r="D11" s="7" t="s">
        <v>1029</v>
      </c>
      <c r="E11" s="7">
        <v>30</v>
      </c>
      <c r="F11" s="8">
        <f t="shared" si="0"/>
        <v>3</v>
      </c>
      <c r="G11" s="13" t="s">
        <v>2025</v>
      </c>
    </row>
    <row r="12" spans="1:11" x14ac:dyDescent="0.2">
      <c r="C12" s="7">
        <v>10</v>
      </c>
      <c r="D12" s="7" t="e">
        <f>0/0</f>
        <v>#DIV/0!</v>
      </c>
      <c r="E12" s="7">
        <v>30</v>
      </c>
      <c r="F12" s="8">
        <f t="shared" si="0"/>
        <v>3</v>
      </c>
      <c r="G12" s="13" t="s">
        <v>2026</v>
      </c>
    </row>
    <row r="14" spans="1:11" ht="13.5" thickBot="1" x14ac:dyDescent="0.25">
      <c r="B14" s="2" t="s">
        <v>2865</v>
      </c>
      <c r="C14" s="2"/>
      <c r="D14" s="2"/>
      <c r="E14" s="2"/>
      <c r="F14" s="2"/>
      <c r="G14" s="2"/>
      <c r="H14" s="2"/>
      <c r="I14" s="2"/>
      <c r="J14" s="2"/>
    </row>
    <row r="15" spans="1:11" x14ac:dyDescent="0.2">
      <c r="B15" t="s">
        <v>2027</v>
      </c>
    </row>
    <row r="16" spans="1:11" x14ac:dyDescent="0.2">
      <c r="B16" t="s">
        <v>2028</v>
      </c>
    </row>
    <row r="18" spans="2:10" ht="13.5" thickBot="1" x14ac:dyDescent="0.25">
      <c r="B18" s="2" t="s">
        <v>998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s="61" t="s">
        <v>2029</v>
      </c>
    </row>
    <row r="21" spans="2:10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t="s">
        <v>2424</v>
      </c>
    </row>
    <row r="24" spans="2:10" ht="13.5" thickBot="1" x14ac:dyDescent="0.25">
      <c r="B24" s="2" t="s">
        <v>1001</v>
      </c>
      <c r="C24" s="2"/>
      <c r="D24" s="2"/>
      <c r="E24" s="2"/>
      <c r="F24" s="2"/>
      <c r="G24" s="2"/>
      <c r="H24" s="2"/>
      <c r="I24" s="2"/>
      <c r="J24" s="2"/>
    </row>
    <row r="25" spans="2:10" x14ac:dyDescent="0.2">
      <c r="B25" t="s">
        <v>2030</v>
      </c>
    </row>
    <row r="26" spans="2:10" x14ac:dyDescent="0.2">
      <c r="B26" t="s">
        <v>2031</v>
      </c>
    </row>
    <row r="27" spans="2:10" x14ac:dyDescent="0.2">
      <c r="B27" t="s">
        <v>2032</v>
      </c>
    </row>
    <row r="29" spans="2:10" x14ac:dyDescent="0.2">
      <c r="B29" t="s">
        <v>2033</v>
      </c>
    </row>
    <row r="30" spans="2:10" x14ac:dyDescent="0.2">
      <c r="B30" t="s">
        <v>2034</v>
      </c>
    </row>
    <row r="32" spans="2:10" x14ac:dyDescent="0.2">
      <c r="B32" t="s">
        <v>2035</v>
      </c>
    </row>
    <row r="34" spans="3:9" ht="25.5" x14ac:dyDescent="0.2">
      <c r="D34" s="58" t="s">
        <v>3130</v>
      </c>
      <c r="E34" s="58" t="s">
        <v>3131</v>
      </c>
      <c r="F34" s="58" t="s">
        <v>2036</v>
      </c>
      <c r="G34" s="58" t="s">
        <v>2037</v>
      </c>
      <c r="I34" s="57" t="s">
        <v>2038</v>
      </c>
    </row>
    <row r="35" spans="3:9" x14ac:dyDescent="0.2">
      <c r="C35" s="23" t="s">
        <v>3361</v>
      </c>
      <c r="D35" s="7" t="s">
        <v>2039</v>
      </c>
      <c r="E35" s="7"/>
      <c r="F35" s="7">
        <v>1</v>
      </c>
      <c r="G35" s="7"/>
      <c r="I35" s="8">
        <f>COUNTA(D35:G35)</f>
        <v>2</v>
      </c>
    </row>
    <row r="36" spans="3:9" x14ac:dyDescent="0.2">
      <c r="C36" s="23" t="s">
        <v>3362</v>
      </c>
      <c r="D36" s="7">
        <v>2</v>
      </c>
      <c r="E36" s="7">
        <v>1</v>
      </c>
      <c r="F36" s="7">
        <v>3</v>
      </c>
      <c r="G36" s="7"/>
      <c r="I36" s="8">
        <f>COUNTA(D36:G36)</f>
        <v>3</v>
      </c>
    </row>
    <row r="37" spans="3:9" x14ac:dyDescent="0.2">
      <c r="C37" s="23" t="s">
        <v>3363</v>
      </c>
      <c r="D37" s="7"/>
      <c r="E37" s="7">
        <v>1</v>
      </c>
      <c r="F37" s="7">
        <v>1</v>
      </c>
      <c r="G37" s="7">
        <v>1</v>
      </c>
      <c r="I37" s="8">
        <f>COUNTA(D37:G37)</f>
        <v>3</v>
      </c>
    </row>
    <row r="38" spans="3:9" x14ac:dyDescent="0.2">
      <c r="C38" s="23" t="s">
        <v>1952</v>
      </c>
      <c r="D38" s="7" t="s">
        <v>2039</v>
      </c>
      <c r="E38" s="7"/>
      <c r="F38" s="7" t="s">
        <v>2039</v>
      </c>
      <c r="G38" s="7"/>
      <c r="I38" s="8">
        <f>COUNTA(D38:G38)</f>
        <v>2</v>
      </c>
    </row>
    <row r="39" spans="3:9" x14ac:dyDescent="0.2">
      <c r="C39" s="23" t="s">
        <v>1954</v>
      </c>
      <c r="D39" s="7">
        <v>1</v>
      </c>
      <c r="E39" s="7">
        <v>3</v>
      </c>
      <c r="F39" s="7">
        <v>2</v>
      </c>
      <c r="G39" s="7" t="s">
        <v>2039</v>
      </c>
      <c r="I39" s="8">
        <f>COUNTA(D39:G39)</f>
        <v>4</v>
      </c>
    </row>
    <row r="40" spans="3:9" x14ac:dyDescent="0.2">
      <c r="I40" s="13" t="s">
        <v>2040</v>
      </c>
    </row>
    <row r="41" spans="3:9" x14ac:dyDescent="0.2">
      <c r="D41" s="158" t="s">
        <v>2041</v>
      </c>
      <c r="E41" s="159"/>
      <c r="F41" s="159"/>
      <c r="G41" s="160"/>
    </row>
    <row r="42" spans="3:9" x14ac:dyDescent="0.2">
      <c r="D42" s="6" t="s">
        <v>3130</v>
      </c>
      <c r="E42" s="6" t="s">
        <v>3131</v>
      </c>
      <c r="F42" s="6" t="s">
        <v>2036</v>
      </c>
      <c r="G42" s="6" t="s">
        <v>2037</v>
      </c>
    </row>
    <row r="43" spans="3:9" x14ac:dyDescent="0.2">
      <c r="D43" s="8">
        <f>COUNTA(D35:D39)</f>
        <v>4</v>
      </c>
      <c r="E43" s="8">
        <f>COUNTA(E35:E39)</f>
        <v>3</v>
      </c>
      <c r="F43" s="8">
        <f>COUNTA(F35:F39)</f>
        <v>5</v>
      </c>
      <c r="G43" s="8">
        <f>COUNTA(G35:G39)</f>
        <v>2</v>
      </c>
    </row>
    <row r="44" spans="3:9" x14ac:dyDescent="0.2">
      <c r="D44" s="4" t="s">
        <v>2042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K34"/>
  <sheetViews>
    <sheetView showGridLines="0" workbookViewId="0">
      <pane ySplit="1" topLeftCell="A2" activePane="bottomLeft" state="frozen"/>
      <selection activeCell="A3" sqref="A3"/>
      <selection pane="bottomLeft" activeCell="C4" sqref="C4"/>
    </sheetView>
  </sheetViews>
  <sheetFormatPr defaultRowHeight="12.75" x14ac:dyDescent="0.2"/>
  <cols>
    <col min="1" max="1" width="2.7109375" customWidth="1"/>
    <col min="10" max="10" width="8.85546875" customWidth="1"/>
  </cols>
  <sheetData>
    <row r="1" spans="1:11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x14ac:dyDescent="0.2">
      <c r="C3" s="158" t="s">
        <v>1742</v>
      </c>
      <c r="D3" s="159"/>
      <c r="E3" s="160"/>
      <c r="F3" s="6" t="s">
        <v>1743</v>
      </c>
    </row>
    <row r="4" spans="1:11" x14ac:dyDescent="0.2">
      <c r="C4" s="7">
        <v>10</v>
      </c>
      <c r="D4" s="7">
        <v>20</v>
      </c>
      <c r="E4" s="7">
        <v>30</v>
      </c>
      <c r="F4" s="8">
        <f t="shared" ref="F4:F12" si="0">COUNT(C4:E4)</f>
        <v>3</v>
      </c>
      <c r="G4" s="13" t="s">
        <v>1744</v>
      </c>
    </row>
    <row r="5" spans="1:11" x14ac:dyDescent="0.2">
      <c r="C5" s="7">
        <v>10</v>
      </c>
      <c r="D5" s="7">
        <v>0</v>
      </c>
      <c r="E5" s="7">
        <v>30</v>
      </c>
      <c r="F5" s="8">
        <f t="shared" si="0"/>
        <v>3</v>
      </c>
      <c r="G5" s="13" t="s">
        <v>1745</v>
      </c>
    </row>
    <row r="6" spans="1:11" x14ac:dyDescent="0.2">
      <c r="C6" s="7">
        <v>10</v>
      </c>
      <c r="D6" s="7">
        <v>-20</v>
      </c>
      <c r="E6" s="7">
        <v>30</v>
      </c>
      <c r="F6" s="8">
        <f t="shared" si="0"/>
        <v>3</v>
      </c>
      <c r="G6" s="13" t="s">
        <v>1746</v>
      </c>
    </row>
    <row r="7" spans="1:11" x14ac:dyDescent="0.2">
      <c r="C7" s="7">
        <v>10</v>
      </c>
      <c r="D7" s="161">
        <v>32143</v>
      </c>
      <c r="E7" s="7">
        <v>30</v>
      </c>
      <c r="F7" s="8">
        <f t="shared" si="0"/>
        <v>3</v>
      </c>
      <c r="G7" s="13" t="s">
        <v>1747</v>
      </c>
    </row>
    <row r="8" spans="1:11" x14ac:dyDescent="0.2">
      <c r="C8" s="7">
        <v>10</v>
      </c>
      <c r="D8" s="12">
        <v>0.89583333333333337</v>
      </c>
      <c r="E8" s="7">
        <v>30</v>
      </c>
      <c r="F8" s="8">
        <f t="shared" si="0"/>
        <v>3</v>
      </c>
      <c r="G8" s="13" t="s">
        <v>1748</v>
      </c>
    </row>
    <row r="9" spans="1:11" x14ac:dyDescent="0.2">
      <c r="C9" s="7">
        <v>10</v>
      </c>
      <c r="D9" s="7">
        <f ca="1">RAND()</f>
        <v>0.31401779872113844</v>
      </c>
      <c r="E9" s="7">
        <v>30</v>
      </c>
      <c r="F9" s="8">
        <f t="shared" ca="1" si="0"/>
        <v>3</v>
      </c>
      <c r="G9" s="13" t="s">
        <v>1749</v>
      </c>
    </row>
    <row r="10" spans="1:11" x14ac:dyDescent="0.2">
      <c r="C10" s="7">
        <v>10</v>
      </c>
      <c r="D10" s="7"/>
      <c r="E10" s="7">
        <v>30</v>
      </c>
      <c r="F10" s="8">
        <f t="shared" si="0"/>
        <v>2</v>
      </c>
      <c r="G10" s="13" t="s">
        <v>1750</v>
      </c>
    </row>
    <row r="11" spans="1:11" x14ac:dyDescent="0.2">
      <c r="C11" s="7">
        <v>10</v>
      </c>
      <c r="D11" s="7" t="s">
        <v>1029</v>
      </c>
      <c r="E11" s="7">
        <v>30</v>
      </c>
      <c r="F11" s="8">
        <f t="shared" si="0"/>
        <v>2</v>
      </c>
      <c r="G11" s="13" t="s">
        <v>1751</v>
      </c>
    </row>
    <row r="12" spans="1:11" x14ac:dyDescent="0.2">
      <c r="C12" s="7">
        <v>10</v>
      </c>
      <c r="D12" s="7" t="e">
        <f>0/0</f>
        <v>#DIV/0!</v>
      </c>
      <c r="E12" s="7">
        <v>30</v>
      </c>
      <c r="F12" s="8">
        <f t="shared" si="0"/>
        <v>2</v>
      </c>
      <c r="G12" s="13" t="s">
        <v>1752</v>
      </c>
    </row>
    <row r="14" spans="1:11" ht="13.5" thickBot="1" x14ac:dyDescent="0.25">
      <c r="B14" s="2" t="s">
        <v>2865</v>
      </c>
      <c r="C14" s="2"/>
      <c r="D14" s="2"/>
      <c r="E14" s="2"/>
      <c r="F14" s="2"/>
      <c r="G14" s="2"/>
      <c r="H14" s="2"/>
      <c r="I14" s="2"/>
      <c r="J14" s="2"/>
    </row>
    <row r="15" spans="1:11" x14ac:dyDescent="0.2">
      <c r="B15" t="s">
        <v>1753</v>
      </c>
    </row>
    <row r="16" spans="1:11" x14ac:dyDescent="0.2">
      <c r="B16" t="s">
        <v>1754</v>
      </c>
    </row>
    <row r="18" spans="2:10" ht="13.5" thickBot="1" x14ac:dyDescent="0.25">
      <c r="B18" s="2" t="s">
        <v>998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s="61" t="s">
        <v>2012</v>
      </c>
    </row>
    <row r="21" spans="2:10" ht="13.5" thickBot="1" x14ac:dyDescent="0.25">
      <c r="B21" s="2" t="s">
        <v>3355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t="s">
        <v>2424</v>
      </c>
    </row>
    <row r="24" spans="2:10" ht="13.5" thickBot="1" x14ac:dyDescent="0.25">
      <c r="B24" s="2" t="s">
        <v>1001</v>
      </c>
      <c r="C24" s="2"/>
      <c r="D24" s="2"/>
      <c r="E24" s="2"/>
      <c r="F24" s="2"/>
      <c r="G24" s="2"/>
      <c r="H24" s="2"/>
      <c r="I24" s="2"/>
      <c r="J24" s="2"/>
    </row>
    <row r="25" spans="2:10" x14ac:dyDescent="0.2">
      <c r="B25" t="s">
        <v>2013</v>
      </c>
    </row>
    <row r="26" spans="2:10" x14ac:dyDescent="0.2">
      <c r="B26" t="s">
        <v>2014</v>
      </c>
    </row>
    <row r="28" spans="2:10" x14ac:dyDescent="0.2">
      <c r="C28" s="6" t="s">
        <v>3054</v>
      </c>
      <c r="D28" s="6" t="s">
        <v>3555</v>
      </c>
      <c r="E28" s="6" t="s">
        <v>3556</v>
      </c>
      <c r="F28" s="6" t="s">
        <v>3557</v>
      </c>
    </row>
    <row r="29" spans="2:10" x14ac:dyDescent="0.2">
      <c r="C29" s="6" t="s">
        <v>3058</v>
      </c>
      <c r="D29" s="83">
        <v>1000</v>
      </c>
      <c r="E29" s="83"/>
      <c r="F29" s="83"/>
    </row>
    <row r="30" spans="2:10" x14ac:dyDescent="0.2">
      <c r="C30" s="6" t="s">
        <v>3060</v>
      </c>
      <c r="D30" s="83"/>
      <c r="E30" s="83">
        <v>5000</v>
      </c>
      <c r="F30" s="83"/>
    </row>
    <row r="31" spans="2:10" x14ac:dyDescent="0.2">
      <c r="C31" s="6" t="s">
        <v>2015</v>
      </c>
      <c r="D31" s="83">
        <v>2000</v>
      </c>
      <c r="E31" s="83">
        <v>1000</v>
      </c>
      <c r="F31" s="83"/>
    </row>
    <row r="32" spans="2:10" x14ac:dyDescent="0.2">
      <c r="C32" s="6" t="s">
        <v>2016</v>
      </c>
      <c r="D32" s="83">
        <v>1000</v>
      </c>
      <c r="E32" s="83"/>
      <c r="F32" s="83"/>
    </row>
    <row r="33" spans="3:6" x14ac:dyDescent="0.2">
      <c r="C33" s="6" t="s">
        <v>1743</v>
      </c>
      <c r="D33" s="8">
        <f>COUNT(D29:D32)</f>
        <v>3</v>
      </c>
      <c r="E33" s="8">
        <f>COUNT(E29:E32)</f>
        <v>2</v>
      </c>
      <c r="F33" s="8">
        <f>COUNT(F29:F32)</f>
        <v>0</v>
      </c>
    </row>
    <row r="34" spans="3:6" x14ac:dyDescent="0.2">
      <c r="D34" s="4" t="s">
        <v>2017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8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K32"/>
  <sheetViews>
    <sheetView showGridLines="0" workbookViewId="0">
      <pane ySplit="1" topLeftCell="A2" activePane="bottomLeft" state="frozen"/>
      <selection activeCell="A3" sqref="A3"/>
      <selection pane="bottomLeft" activeCell="I16" sqref="I16"/>
    </sheetView>
  </sheetViews>
  <sheetFormatPr defaultRowHeight="12.75" x14ac:dyDescent="0.2"/>
  <cols>
    <col min="1" max="1" width="2.7109375" customWidth="1"/>
    <col min="7" max="7" width="9.85546875" customWidth="1"/>
    <col min="10" max="10" width="7.5703125" customWidth="1"/>
  </cols>
  <sheetData>
    <row r="1" spans="1:11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8"/>
    </row>
    <row r="3" spans="1:11" ht="13.5" thickBot="1" x14ac:dyDescent="0.25">
      <c r="C3" s="5" t="s">
        <v>1013</v>
      </c>
      <c r="D3" s="5"/>
      <c r="E3" s="5"/>
      <c r="G3" s="5" t="s">
        <v>1024</v>
      </c>
      <c r="H3" s="5"/>
    </row>
    <row r="4" spans="1:11" ht="38.25" x14ac:dyDescent="0.2">
      <c r="C4" s="139" t="s">
        <v>1722</v>
      </c>
      <c r="D4" s="140" t="s">
        <v>1723</v>
      </c>
      <c r="E4" s="141" t="s">
        <v>1724</v>
      </c>
      <c r="G4" s="142" t="s">
        <v>1725</v>
      </c>
      <c r="H4" s="143" t="s">
        <v>1726</v>
      </c>
    </row>
    <row r="5" spans="1:11" x14ac:dyDescent="0.2">
      <c r="C5" s="144" t="s">
        <v>3555</v>
      </c>
      <c r="D5" s="7">
        <v>20</v>
      </c>
      <c r="E5" s="145">
        <v>100</v>
      </c>
      <c r="G5" s="146">
        <v>2000</v>
      </c>
      <c r="H5" s="147">
        <v>20000</v>
      </c>
    </row>
    <row r="6" spans="1:11" x14ac:dyDescent="0.2">
      <c r="C6" s="144" t="s">
        <v>3556</v>
      </c>
      <c r="D6" s="7">
        <v>30</v>
      </c>
      <c r="E6" s="145">
        <v>200</v>
      </c>
      <c r="G6" s="146">
        <v>1000</v>
      </c>
      <c r="H6" s="147">
        <v>30000</v>
      </c>
    </row>
    <row r="7" spans="1:11" x14ac:dyDescent="0.2">
      <c r="C7" s="144" t="s">
        <v>3557</v>
      </c>
      <c r="D7" s="7">
        <v>30</v>
      </c>
      <c r="E7" s="145">
        <v>300</v>
      </c>
      <c r="G7" s="146">
        <v>5000</v>
      </c>
      <c r="H7" s="147">
        <v>20000</v>
      </c>
    </row>
    <row r="8" spans="1:11" x14ac:dyDescent="0.2">
      <c r="C8" s="144" t="s">
        <v>1727</v>
      </c>
      <c r="D8" s="7">
        <v>40</v>
      </c>
      <c r="E8" s="145">
        <v>200</v>
      </c>
      <c r="G8" s="146">
        <v>1000</v>
      </c>
      <c r="H8" s="147">
        <v>40000</v>
      </c>
    </row>
    <row r="9" spans="1:11" x14ac:dyDescent="0.2">
      <c r="C9" s="144" t="s">
        <v>1728</v>
      </c>
      <c r="D9" s="7">
        <v>50</v>
      </c>
      <c r="E9" s="145">
        <v>400</v>
      </c>
      <c r="G9" s="146">
        <v>8000</v>
      </c>
      <c r="H9" s="147">
        <v>40000</v>
      </c>
    </row>
    <row r="10" spans="1:11" x14ac:dyDescent="0.2">
      <c r="C10" s="144" t="s">
        <v>1729</v>
      </c>
      <c r="D10" s="7">
        <v>50</v>
      </c>
      <c r="E10" s="145">
        <v>400</v>
      </c>
      <c r="G10" s="146">
        <v>1000</v>
      </c>
      <c r="H10" s="147">
        <v>20000</v>
      </c>
    </row>
    <row r="11" spans="1:11" x14ac:dyDescent="0.2">
      <c r="C11" s="148"/>
      <c r="D11" s="149"/>
      <c r="E11" s="150"/>
      <c r="G11" s="151"/>
      <c r="H11" s="152"/>
    </row>
    <row r="12" spans="1:11" ht="13.5" thickBot="1" x14ac:dyDescent="0.25">
      <c r="C12" s="153"/>
      <c r="D12" s="154" t="s">
        <v>1730</v>
      </c>
      <c r="E12" s="155">
        <f>CORREL(D5:D10,E5:E10)</f>
        <v>0.86363636363636342</v>
      </c>
      <c r="G12" s="156" t="s">
        <v>1730</v>
      </c>
      <c r="H12" s="157">
        <f>CORREL(G5:G10,H5:H10)</f>
        <v>0.28074496253743858</v>
      </c>
    </row>
    <row r="13" spans="1:11" x14ac:dyDescent="0.2">
      <c r="E13" s="66" t="s">
        <v>1731</v>
      </c>
      <c r="H13" s="66" t="s">
        <v>1732</v>
      </c>
    </row>
    <row r="15" spans="1:11" ht="13.5" thickBot="1" x14ac:dyDescent="0.25">
      <c r="B15" s="2" t="s">
        <v>2865</v>
      </c>
      <c r="C15" s="2"/>
      <c r="D15" s="2"/>
      <c r="E15" s="2"/>
      <c r="F15" s="2"/>
      <c r="G15" s="2"/>
      <c r="H15" s="2"/>
      <c r="I15" s="2"/>
      <c r="J15" s="2"/>
    </row>
    <row r="16" spans="1:11" x14ac:dyDescent="0.2">
      <c r="B16" t="s">
        <v>1733</v>
      </c>
    </row>
    <row r="17" spans="2:10" x14ac:dyDescent="0.2">
      <c r="B17" t="s">
        <v>1734</v>
      </c>
    </row>
    <row r="18" spans="2:10" x14ac:dyDescent="0.2">
      <c r="B18" t="s">
        <v>1735</v>
      </c>
    </row>
    <row r="19" spans="2:10" x14ac:dyDescent="0.2">
      <c r="B19" t="s">
        <v>1736</v>
      </c>
    </row>
    <row r="21" spans="2:10" x14ac:dyDescent="0.2">
      <c r="B21" t="s">
        <v>1737</v>
      </c>
    </row>
    <row r="22" spans="2:10" x14ac:dyDescent="0.2">
      <c r="B22" t="str">
        <f>"The correlation shows that there is an "&amp;TEXT(E12,"0.000")&amp;" realtionship between the data."</f>
        <v>The correlation shows that there is an 0.864 realtionship between the data.</v>
      </c>
    </row>
    <row r="24" spans="2:10" x14ac:dyDescent="0.2">
      <c r="B24" t="s">
        <v>1738</v>
      </c>
    </row>
    <row r="25" spans="2:10" x14ac:dyDescent="0.2">
      <c r="B25" t="s">
        <v>1739</v>
      </c>
    </row>
    <row r="26" spans="2:10" x14ac:dyDescent="0.2">
      <c r="B26" t="str">
        <f>"The correlation shows that there is an "&amp;TEXT(H12,"00%")&amp;" realtionship between the data."</f>
        <v>The correlation shows that there is an 28% realtionship between the data.</v>
      </c>
    </row>
    <row r="28" spans="2:10" ht="13.5" thickBot="1" x14ac:dyDescent="0.25">
      <c r="B28" s="2" t="s">
        <v>998</v>
      </c>
      <c r="C28" s="2"/>
      <c r="D28" s="2"/>
      <c r="E28" s="2"/>
      <c r="F28" s="2"/>
      <c r="G28" s="2"/>
      <c r="H28" s="2"/>
      <c r="I28" s="2"/>
      <c r="J28" s="2"/>
    </row>
    <row r="29" spans="2:10" x14ac:dyDescent="0.2">
      <c r="B29" s="61" t="s">
        <v>1740</v>
      </c>
    </row>
    <row r="31" spans="2:10" ht="13.5" thickBot="1" x14ac:dyDescent="0.25">
      <c r="B31" s="2" t="s">
        <v>3355</v>
      </c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t="s">
        <v>1741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I88"/>
  <sheetViews>
    <sheetView showGridLines="0" workbookViewId="0">
      <pane ySplit="1" topLeftCell="A69" activePane="bottomLeft" state="frozen"/>
      <selection activeCell="A3" sqref="A3"/>
      <selection pane="bottomLeft" activeCell="G81" sqref="G81"/>
    </sheetView>
  </sheetViews>
  <sheetFormatPr defaultRowHeight="12.75" x14ac:dyDescent="0.2"/>
  <cols>
    <col min="1" max="1" width="2.7109375" customWidth="1"/>
    <col min="2" max="2" width="14.85546875" customWidth="1"/>
    <col min="3" max="3" width="10" customWidth="1"/>
    <col min="4" max="4" width="11.140625" customWidth="1"/>
    <col min="5" max="5" width="13.140625" customWidth="1"/>
    <col min="8" max="8" width="14.140625" customWidth="1"/>
  </cols>
  <sheetData>
    <row r="1" spans="1:9" ht="45.75" customHeight="1" x14ac:dyDescent="0.25">
      <c r="A1" s="476"/>
      <c r="B1" s="476"/>
      <c r="C1" s="476"/>
      <c r="D1" s="476"/>
      <c r="E1" s="476"/>
      <c r="F1" s="476"/>
      <c r="G1" s="476"/>
      <c r="H1" s="476"/>
      <c r="I1" s="477"/>
    </row>
    <row r="3" spans="1:9" ht="25.5" x14ac:dyDescent="0.2">
      <c r="C3" s="57" t="s">
        <v>1560</v>
      </c>
      <c r="D3" s="57" t="s">
        <v>1561</v>
      </c>
      <c r="E3" s="57" t="s">
        <v>1562</v>
      </c>
      <c r="F3" s="57" t="s">
        <v>1563</v>
      </c>
    </row>
    <row r="4" spans="1:9" x14ac:dyDescent="0.2">
      <c r="C4" s="7">
        <v>1</v>
      </c>
      <c r="D4" s="7" t="s">
        <v>1564</v>
      </c>
      <c r="E4" s="7" t="s">
        <v>1565</v>
      </c>
      <c r="F4" s="8">
        <f>CONVERT(C4,D4,E4)</f>
        <v>2.54</v>
      </c>
      <c r="G4" s="13" t="s">
        <v>1566</v>
      </c>
    </row>
    <row r="5" spans="1:9" x14ac:dyDescent="0.2">
      <c r="C5" s="7">
        <v>1</v>
      </c>
      <c r="D5" s="7" t="s">
        <v>1567</v>
      </c>
      <c r="E5" s="7" t="s">
        <v>1568</v>
      </c>
      <c r="F5" s="8">
        <f>CONVERT(C5,D5,E5)</f>
        <v>0.30480000000000002</v>
      </c>
      <c r="G5" s="13" t="s">
        <v>1569</v>
      </c>
    </row>
    <row r="6" spans="1:9" x14ac:dyDescent="0.2">
      <c r="C6" s="7">
        <v>1</v>
      </c>
      <c r="D6" s="7" t="s">
        <v>1570</v>
      </c>
      <c r="E6" s="7" t="s">
        <v>1568</v>
      </c>
      <c r="F6" s="8">
        <f>CONVERT(C6,D6,E6)</f>
        <v>0.91439999999999999</v>
      </c>
      <c r="G6" s="13" t="s">
        <v>1571</v>
      </c>
    </row>
    <row r="8" spans="1:9" x14ac:dyDescent="0.2">
      <c r="C8" s="7">
        <v>1</v>
      </c>
      <c r="D8" s="7" t="s">
        <v>1572</v>
      </c>
      <c r="E8" s="7" t="s">
        <v>1573</v>
      </c>
      <c r="F8" s="8">
        <f>CONVERT(C8,D8,E8)</f>
        <v>365.25</v>
      </c>
      <c r="G8" s="13" t="s">
        <v>1574</v>
      </c>
    </row>
    <row r="9" spans="1:9" x14ac:dyDescent="0.2">
      <c r="C9" s="7">
        <v>1</v>
      </c>
      <c r="D9" s="7" t="s">
        <v>1573</v>
      </c>
      <c r="E9" s="7" t="s">
        <v>1575</v>
      </c>
      <c r="F9" s="8">
        <f>CONVERT(C9,D9,E9)</f>
        <v>24</v>
      </c>
      <c r="G9" s="13" t="s">
        <v>1576</v>
      </c>
    </row>
    <row r="10" spans="1:9" x14ac:dyDescent="0.2">
      <c r="C10" s="7">
        <v>1.5</v>
      </c>
      <c r="D10" s="7" t="s">
        <v>1575</v>
      </c>
      <c r="E10" s="7" t="s">
        <v>1577</v>
      </c>
      <c r="F10" s="8">
        <f>CONVERT(C10,D10,E10)</f>
        <v>90</v>
      </c>
      <c r="G10" s="13" t="s">
        <v>1578</v>
      </c>
    </row>
    <row r="11" spans="1:9" x14ac:dyDescent="0.2">
      <c r="C11" s="7">
        <v>0.5</v>
      </c>
      <c r="D11" s="7" t="s">
        <v>1577</v>
      </c>
      <c r="E11" s="7" t="s">
        <v>1579</v>
      </c>
      <c r="F11" s="8">
        <f>CONVERT(C11,D11,E11)</f>
        <v>30</v>
      </c>
      <c r="G11" s="13" t="s">
        <v>1580</v>
      </c>
    </row>
    <row r="13" spans="1:9" ht="13.5" thickBot="1" x14ac:dyDescent="0.25">
      <c r="B13" s="2" t="s">
        <v>2865</v>
      </c>
      <c r="C13" s="2"/>
      <c r="D13" s="2"/>
      <c r="E13" s="2"/>
      <c r="F13" s="2"/>
      <c r="G13" s="2"/>
      <c r="H13" s="2"/>
    </row>
    <row r="14" spans="1:9" x14ac:dyDescent="0.2">
      <c r="B14" t="s">
        <v>1581</v>
      </c>
    </row>
    <row r="15" spans="1:9" x14ac:dyDescent="0.2">
      <c r="B15" t="s">
        <v>1582</v>
      </c>
    </row>
    <row r="17" spans="2:8" ht="13.5" thickBot="1" x14ac:dyDescent="0.25">
      <c r="B17" s="2" t="s">
        <v>998</v>
      </c>
      <c r="C17" s="2"/>
      <c r="D17" s="2"/>
      <c r="E17" s="2"/>
      <c r="F17" s="2"/>
      <c r="G17" s="2"/>
      <c r="H17" s="2"/>
    </row>
    <row r="18" spans="2:8" x14ac:dyDescent="0.2">
      <c r="B18" s="61" t="s">
        <v>1583</v>
      </c>
    </row>
    <row r="20" spans="2:8" ht="13.5" thickBot="1" x14ac:dyDescent="0.25">
      <c r="B20" s="2" t="s">
        <v>3355</v>
      </c>
      <c r="C20" s="2"/>
      <c r="D20" s="2"/>
      <c r="E20" s="2"/>
      <c r="F20" s="2"/>
      <c r="G20" s="2"/>
      <c r="H20" s="2"/>
    </row>
    <row r="21" spans="2:8" x14ac:dyDescent="0.2">
      <c r="B21" t="s">
        <v>2424</v>
      </c>
    </row>
    <row r="23" spans="2:8" ht="13.5" thickBot="1" x14ac:dyDescent="0.25">
      <c r="B23" s="2" t="s">
        <v>1001</v>
      </c>
      <c r="C23" s="2"/>
      <c r="D23" s="2"/>
      <c r="E23" s="2"/>
      <c r="F23" s="2"/>
      <c r="G23" s="2"/>
      <c r="H23" s="2"/>
    </row>
    <row r="24" spans="2:8" x14ac:dyDescent="0.2">
      <c r="B24" t="s">
        <v>1584</v>
      </c>
    </row>
    <row r="25" spans="2:8" x14ac:dyDescent="0.2">
      <c r="B25" t="s">
        <v>1585</v>
      </c>
    </row>
    <row r="27" spans="2:8" x14ac:dyDescent="0.2">
      <c r="D27" s="6" t="s">
        <v>1586</v>
      </c>
      <c r="E27" s="6" t="s">
        <v>1587</v>
      </c>
      <c r="F27" s="6" t="s">
        <v>1588</v>
      </c>
    </row>
    <row r="28" spans="2:8" x14ac:dyDescent="0.2">
      <c r="C28" s="6" t="s">
        <v>1589</v>
      </c>
      <c r="D28" s="7">
        <v>5</v>
      </c>
      <c r="E28" s="7">
        <v>3</v>
      </c>
      <c r="F28" s="8">
        <f>CONVERT(D28,"lbm","kg")+CONVERT(E28,"ozm","kg")</f>
        <v>2.3530104193750003</v>
      </c>
    </row>
    <row r="29" spans="2:8" x14ac:dyDescent="0.2">
      <c r="F29" s="4" t="s">
        <v>1590</v>
      </c>
    </row>
    <row r="31" spans="2:8" x14ac:dyDescent="0.2">
      <c r="D31" s="6" t="s">
        <v>1591</v>
      </c>
      <c r="E31" s="6" t="s">
        <v>1592</v>
      </c>
      <c r="F31" s="6" t="s">
        <v>1593</v>
      </c>
    </row>
    <row r="32" spans="2:8" x14ac:dyDescent="0.2">
      <c r="C32" s="6" t="s">
        <v>1594</v>
      </c>
      <c r="D32" s="7">
        <v>12</v>
      </c>
      <c r="E32" s="7">
        <v>6</v>
      </c>
      <c r="F32" s="8">
        <f>CONVERT(D32,"ft","m")+CONVERT(E32,"in","m")</f>
        <v>3.81</v>
      </c>
    </row>
    <row r="33" spans="2:8" x14ac:dyDescent="0.2">
      <c r="C33" s="6" t="s">
        <v>1595</v>
      </c>
      <c r="D33" s="7">
        <v>8</v>
      </c>
      <c r="E33" s="7">
        <v>3</v>
      </c>
      <c r="F33" s="8">
        <f>CONVERT(D33,"ft","m")+CONVERT(E33,"in","m")</f>
        <v>2.5146000000000002</v>
      </c>
    </row>
    <row r="34" spans="2:8" x14ac:dyDescent="0.2">
      <c r="C34" s="6" t="s">
        <v>1596</v>
      </c>
      <c r="D34" s="7">
        <v>5</v>
      </c>
      <c r="E34" s="7">
        <v>2</v>
      </c>
      <c r="F34" s="8">
        <f>CONVERT(D34,"ft","m")+CONVERT(E34,"in","m")</f>
        <v>1.5748</v>
      </c>
    </row>
    <row r="35" spans="2:8" x14ac:dyDescent="0.2">
      <c r="F35" s="4" t="s">
        <v>1597</v>
      </c>
    </row>
    <row r="37" spans="2:8" ht="13.5" thickBot="1" x14ac:dyDescent="0.25">
      <c r="B37" s="2" t="s">
        <v>1598</v>
      </c>
      <c r="C37" s="2"/>
      <c r="D37" s="2"/>
      <c r="E37" s="2"/>
      <c r="F37" s="2"/>
      <c r="G37" s="2"/>
      <c r="H37" s="2"/>
    </row>
    <row r="38" spans="2:8" x14ac:dyDescent="0.2">
      <c r="B38" t="s">
        <v>1599</v>
      </c>
    </row>
    <row r="40" spans="2:8" x14ac:dyDescent="0.2">
      <c r="B40" s="93" t="s">
        <v>1600</v>
      </c>
      <c r="E40" s="93" t="s">
        <v>1601</v>
      </c>
    </row>
    <row r="41" spans="2:8" x14ac:dyDescent="0.2">
      <c r="B41" s="23" t="s">
        <v>1602</v>
      </c>
      <c r="C41" s="7" t="s">
        <v>1603</v>
      </c>
      <c r="E41" s="23" t="s">
        <v>1604</v>
      </c>
      <c r="F41" s="7" t="s">
        <v>1568</v>
      </c>
    </row>
    <row r="42" spans="2:8" x14ac:dyDescent="0.2">
      <c r="B42" s="23" t="s">
        <v>1605</v>
      </c>
      <c r="C42" s="7" t="s">
        <v>1606</v>
      </c>
      <c r="E42" s="23" t="s">
        <v>1607</v>
      </c>
      <c r="F42" s="7" t="s">
        <v>1608</v>
      </c>
    </row>
    <row r="43" spans="2:8" x14ac:dyDescent="0.2">
      <c r="B43" s="23" t="s">
        <v>1609</v>
      </c>
      <c r="C43" s="7" t="s">
        <v>1610</v>
      </c>
      <c r="E43" s="23" t="s">
        <v>1611</v>
      </c>
      <c r="F43" s="7" t="s">
        <v>1612</v>
      </c>
    </row>
    <row r="44" spans="2:8" x14ac:dyDescent="0.2">
      <c r="B44" s="23" t="s">
        <v>1613</v>
      </c>
      <c r="C44" s="7" t="s">
        <v>1614</v>
      </c>
      <c r="E44" s="23" t="s">
        <v>1615</v>
      </c>
      <c r="F44" s="7" t="s">
        <v>1564</v>
      </c>
    </row>
    <row r="45" spans="2:8" x14ac:dyDescent="0.2">
      <c r="B45" s="23" t="s">
        <v>1616</v>
      </c>
      <c r="C45" s="7" t="s">
        <v>1617</v>
      </c>
      <c r="E45" s="23" t="s">
        <v>1618</v>
      </c>
      <c r="F45" s="7" t="s">
        <v>1567</v>
      </c>
    </row>
    <row r="46" spans="2:8" x14ac:dyDescent="0.2">
      <c r="B46" s="23" t="s">
        <v>1619</v>
      </c>
      <c r="C46" s="7" t="s">
        <v>1620</v>
      </c>
      <c r="E46" s="23" t="s">
        <v>1621</v>
      </c>
      <c r="F46" s="7" t="s">
        <v>1570</v>
      </c>
    </row>
    <row r="47" spans="2:8" x14ac:dyDescent="0.2">
      <c r="E47" s="23" t="s">
        <v>1622</v>
      </c>
      <c r="F47" s="7" t="s">
        <v>1623</v>
      </c>
    </row>
    <row r="48" spans="2:8" x14ac:dyDescent="0.2">
      <c r="B48" s="93" t="s">
        <v>3769</v>
      </c>
      <c r="E48" s="23" t="s">
        <v>1624</v>
      </c>
      <c r="F48" s="7" t="s">
        <v>1625</v>
      </c>
    </row>
    <row r="49" spans="2:6" x14ac:dyDescent="0.2">
      <c r="B49" s="23" t="s">
        <v>1626</v>
      </c>
      <c r="C49" s="7" t="s">
        <v>1572</v>
      </c>
    </row>
    <row r="50" spans="2:6" x14ac:dyDescent="0.2">
      <c r="B50" s="23" t="s">
        <v>3816</v>
      </c>
      <c r="C50" s="7" t="s">
        <v>1573</v>
      </c>
      <c r="E50" s="93" t="s">
        <v>1627</v>
      </c>
    </row>
    <row r="51" spans="2:6" x14ac:dyDescent="0.2">
      <c r="B51" s="23" t="s">
        <v>1628</v>
      </c>
      <c r="C51" s="7" t="s">
        <v>1575</v>
      </c>
      <c r="E51" s="23" t="s">
        <v>1629</v>
      </c>
      <c r="F51" s="7" t="s">
        <v>1630</v>
      </c>
    </row>
    <row r="52" spans="2:6" x14ac:dyDescent="0.2">
      <c r="B52" s="23" t="s">
        <v>1631</v>
      </c>
      <c r="C52" s="7" t="s">
        <v>1577</v>
      </c>
      <c r="E52" s="23" t="s">
        <v>1632</v>
      </c>
      <c r="F52" s="7" t="s">
        <v>1633</v>
      </c>
    </row>
    <row r="53" spans="2:6" x14ac:dyDescent="0.2">
      <c r="B53" s="23" t="s">
        <v>1634</v>
      </c>
      <c r="C53" s="7" t="s">
        <v>1579</v>
      </c>
      <c r="E53" s="23" t="s">
        <v>1635</v>
      </c>
      <c r="F53" s="7" t="s">
        <v>1636</v>
      </c>
    </row>
    <row r="55" spans="2:6" x14ac:dyDescent="0.2">
      <c r="B55" s="93" t="s">
        <v>1637</v>
      </c>
      <c r="E55" s="93" t="s">
        <v>1638</v>
      </c>
    </row>
    <row r="56" spans="2:6" x14ac:dyDescent="0.2">
      <c r="B56" s="23" t="s">
        <v>1639</v>
      </c>
      <c r="C56" s="7" t="s">
        <v>1945</v>
      </c>
      <c r="E56" s="23" t="s">
        <v>1640</v>
      </c>
      <c r="F56" s="7" t="s">
        <v>1641</v>
      </c>
    </row>
    <row r="57" spans="2:6" x14ac:dyDescent="0.2">
      <c r="B57" s="23" t="s">
        <v>1642</v>
      </c>
      <c r="C57" s="7" t="s">
        <v>1643</v>
      </c>
      <c r="E57" s="23" t="s">
        <v>1644</v>
      </c>
      <c r="F57" s="7" t="s">
        <v>1645</v>
      </c>
    </row>
    <row r="58" spans="2:6" x14ac:dyDescent="0.2">
      <c r="B58" s="23" t="s">
        <v>1646</v>
      </c>
      <c r="C58" s="7" t="s">
        <v>1647</v>
      </c>
      <c r="E58" s="23" t="s">
        <v>1648</v>
      </c>
      <c r="F58" s="7" t="s">
        <v>1649</v>
      </c>
    </row>
    <row r="59" spans="2:6" x14ac:dyDescent="0.2">
      <c r="E59" s="23" t="s">
        <v>1650</v>
      </c>
      <c r="F59" s="7" t="s">
        <v>1651</v>
      </c>
    </row>
    <row r="60" spans="2:6" x14ac:dyDescent="0.2">
      <c r="B60" s="93" t="s">
        <v>1652</v>
      </c>
      <c r="E60" s="23" t="s">
        <v>1653</v>
      </c>
      <c r="F60" s="7" t="s">
        <v>1654</v>
      </c>
    </row>
    <row r="61" spans="2:6" x14ac:dyDescent="0.2">
      <c r="B61" s="23" t="s">
        <v>1655</v>
      </c>
      <c r="C61" s="7" t="s">
        <v>2479</v>
      </c>
      <c r="E61" s="23" t="s">
        <v>1656</v>
      </c>
      <c r="F61" s="7" t="s">
        <v>1657</v>
      </c>
    </row>
    <row r="62" spans="2:6" x14ac:dyDescent="0.2">
      <c r="B62" s="23" t="s">
        <v>1658</v>
      </c>
      <c r="C62" s="7" t="s">
        <v>1659</v>
      </c>
      <c r="E62" s="23" t="s">
        <v>1660</v>
      </c>
      <c r="F62" s="7" t="s">
        <v>1661</v>
      </c>
    </row>
    <row r="63" spans="2:6" x14ac:dyDescent="0.2">
      <c r="B63" s="23" t="s">
        <v>1662</v>
      </c>
      <c r="C63" s="7" t="s">
        <v>1663</v>
      </c>
      <c r="E63" s="23" t="s">
        <v>1664</v>
      </c>
      <c r="F63" s="7" t="s">
        <v>1665</v>
      </c>
    </row>
    <row r="65" spans="2:8" x14ac:dyDescent="0.2">
      <c r="B65" s="93" t="s">
        <v>1666</v>
      </c>
      <c r="E65" s="93" t="s">
        <v>1667</v>
      </c>
    </row>
    <row r="66" spans="2:8" x14ac:dyDescent="0.2">
      <c r="B66" s="23" t="s">
        <v>1668</v>
      </c>
      <c r="C66" s="7" t="s">
        <v>1669</v>
      </c>
      <c r="E66" s="23" t="s">
        <v>1670</v>
      </c>
      <c r="F66" s="7" t="s">
        <v>1671</v>
      </c>
    </row>
    <row r="67" spans="2:8" x14ac:dyDescent="0.2">
      <c r="B67" s="23" t="s">
        <v>1672</v>
      </c>
      <c r="C67" s="7" t="s">
        <v>1673</v>
      </c>
      <c r="E67" s="23" t="s">
        <v>1674</v>
      </c>
      <c r="F67" s="7" t="s">
        <v>1675</v>
      </c>
    </row>
    <row r="68" spans="2:8" ht="25.5" x14ac:dyDescent="0.2">
      <c r="B68" s="137" t="s">
        <v>1676</v>
      </c>
      <c r="C68" s="7" t="s">
        <v>3799</v>
      </c>
    </row>
    <row r="69" spans="2:8" x14ac:dyDescent="0.2">
      <c r="B69" s="23" t="s">
        <v>1677</v>
      </c>
      <c r="C69" s="7" t="s">
        <v>1678</v>
      </c>
      <c r="E69" s="93" t="s">
        <v>1679</v>
      </c>
    </row>
    <row r="70" spans="2:8" x14ac:dyDescent="0.2">
      <c r="B70" s="23" t="s">
        <v>1680</v>
      </c>
      <c r="C70" s="7" t="s">
        <v>1681</v>
      </c>
      <c r="E70" s="23" t="s">
        <v>1682</v>
      </c>
      <c r="F70" s="7" t="s">
        <v>2480</v>
      </c>
    </row>
    <row r="71" spans="2:8" x14ac:dyDescent="0.2">
      <c r="B71" s="23" t="s">
        <v>1683</v>
      </c>
      <c r="C71" s="7" t="s">
        <v>1684</v>
      </c>
      <c r="E71" s="23" t="s">
        <v>1685</v>
      </c>
      <c r="F71" s="7" t="s">
        <v>1686</v>
      </c>
    </row>
    <row r="72" spans="2:8" x14ac:dyDescent="0.2">
      <c r="B72" s="23" t="s">
        <v>1687</v>
      </c>
      <c r="C72" s="7" t="s">
        <v>1688</v>
      </c>
    </row>
    <row r="73" spans="2:8" x14ac:dyDescent="0.2">
      <c r="B73" s="23" t="s">
        <v>1689</v>
      </c>
      <c r="C73" s="7" t="s">
        <v>1690</v>
      </c>
    </row>
    <row r="74" spans="2:8" x14ac:dyDescent="0.2">
      <c r="B74" s="23" t="s">
        <v>1691</v>
      </c>
      <c r="C74" s="7" t="s">
        <v>1691</v>
      </c>
    </row>
    <row r="77" spans="2:8" x14ac:dyDescent="0.2">
      <c r="B77" t="s">
        <v>1692</v>
      </c>
    </row>
    <row r="78" spans="2:8" x14ac:dyDescent="0.2">
      <c r="B78" t="s">
        <v>1721</v>
      </c>
    </row>
    <row r="80" spans="2:8" x14ac:dyDescent="0.2">
      <c r="B80" s="23" t="s">
        <v>1693</v>
      </c>
      <c r="C80" s="6" t="s">
        <v>1694</v>
      </c>
      <c r="D80" s="6" t="s">
        <v>1695</v>
      </c>
      <c r="F80" s="23" t="s">
        <v>1693</v>
      </c>
      <c r="G80" s="6" t="s">
        <v>1694</v>
      </c>
      <c r="H80" s="6" t="s">
        <v>1695</v>
      </c>
    </row>
    <row r="81" spans="2:8" x14ac:dyDescent="0.2">
      <c r="B81" s="23" t="s">
        <v>1696</v>
      </c>
      <c r="C81" s="138">
        <v>1E+18</v>
      </c>
      <c r="D81" s="7" t="s">
        <v>1697</v>
      </c>
      <c r="F81" s="23" t="s">
        <v>1698</v>
      </c>
      <c r="G81" s="138">
        <v>0.1</v>
      </c>
      <c r="H81" s="7" t="s">
        <v>1699</v>
      </c>
    </row>
    <row r="82" spans="2:8" x14ac:dyDescent="0.2">
      <c r="B82" s="23" t="s">
        <v>1700</v>
      </c>
      <c r="C82" s="138">
        <v>1000000000000000</v>
      </c>
      <c r="D82" s="7" t="s">
        <v>1701</v>
      </c>
      <c r="F82" s="23" t="s">
        <v>1702</v>
      </c>
      <c r="G82" s="138">
        <v>0.01</v>
      </c>
      <c r="H82" s="7" t="s">
        <v>3799</v>
      </c>
    </row>
    <row r="83" spans="2:8" x14ac:dyDescent="0.2">
      <c r="B83" s="23" t="s">
        <v>1703</v>
      </c>
      <c r="C83" s="138">
        <v>1000000000000</v>
      </c>
      <c r="D83" s="7" t="s">
        <v>2480</v>
      </c>
      <c r="F83" s="23" t="s">
        <v>1704</v>
      </c>
      <c r="G83" s="138">
        <v>1E-3</v>
      </c>
      <c r="H83" s="7" t="s">
        <v>1568</v>
      </c>
    </row>
    <row r="84" spans="2:8" x14ac:dyDescent="0.2">
      <c r="B84" s="23" t="s">
        <v>1705</v>
      </c>
      <c r="C84" s="138">
        <v>1000000000</v>
      </c>
      <c r="D84" s="7" t="s">
        <v>1517</v>
      </c>
      <c r="F84" s="23" t="s">
        <v>1706</v>
      </c>
      <c r="G84" s="138">
        <v>9.9999999999999995E-7</v>
      </c>
      <c r="H84" s="7" t="s">
        <v>1617</v>
      </c>
    </row>
    <row r="85" spans="2:8" x14ac:dyDescent="0.2">
      <c r="B85" s="23" t="s">
        <v>1707</v>
      </c>
      <c r="C85" s="138">
        <v>1000000</v>
      </c>
      <c r="D85" s="7" t="s">
        <v>1708</v>
      </c>
      <c r="F85" s="23" t="s">
        <v>1709</v>
      </c>
      <c r="G85" s="138">
        <v>1.0000000000000001E-9</v>
      </c>
      <c r="H85" s="7" t="s">
        <v>1710</v>
      </c>
    </row>
    <row r="86" spans="2:8" x14ac:dyDescent="0.2">
      <c r="B86" s="23" t="s">
        <v>1711</v>
      </c>
      <c r="C86" s="138">
        <v>1000</v>
      </c>
      <c r="D86" s="7" t="s">
        <v>1712</v>
      </c>
      <c r="F86" s="23" t="s">
        <v>1713</v>
      </c>
      <c r="G86" s="138">
        <v>9.9999999999999998E-13</v>
      </c>
      <c r="H86" s="7" t="s">
        <v>1714</v>
      </c>
    </row>
    <row r="87" spans="2:8" x14ac:dyDescent="0.2">
      <c r="B87" s="23" t="s">
        <v>1715</v>
      </c>
      <c r="C87" s="138">
        <v>100</v>
      </c>
      <c r="D87" s="7" t="s">
        <v>1716</v>
      </c>
      <c r="F87" s="23" t="s">
        <v>1717</v>
      </c>
      <c r="G87" s="138">
        <v>1.0000000000000001E-15</v>
      </c>
      <c r="H87" s="7" t="s">
        <v>1718</v>
      </c>
    </row>
    <row r="88" spans="2:8" x14ac:dyDescent="0.2">
      <c r="B88" s="23" t="s">
        <v>1719</v>
      </c>
      <c r="C88" s="138">
        <v>10</v>
      </c>
      <c r="D88" s="7" t="s">
        <v>1673</v>
      </c>
      <c r="F88" s="23" t="s">
        <v>1720</v>
      </c>
      <c r="G88" s="138">
        <v>1.0000000000000001E-18</v>
      </c>
      <c r="H88" s="7" t="s">
        <v>3795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I30"/>
  <sheetViews>
    <sheetView showGridLines="0" workbookViewId="0">
      <pane ySplit="1" topLeftCell="A3" activePane="bottomLeft" state="frozen"/>
      <selection activeCell="A3" sqref="A3"/>
      <selection pane="bottomLeft" activeCell="H27" sqref="H27"/>
    </sheetView>
  </sheetViews>
  <sheetFormatPr defaultRowHeight="12.75" x14ac:dyDescent="0.2"/>
  <cols>
    <col min="1" max="1" width="2.7109375" customWidth="1"/>
    <col min="5" max="5" width="16.5703125" customWidth="1"/>
    <col min="6" max="6" width="14.28515625" customWidth="1"/>
  </cols>
  <sheetData>
    <row r="1" spans="1:9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C3" s="6" t="s">
        <v>680</v>
      </c>
      <c r="D3" s="6" t="s">
        <v>681</v>
      </c>
      <c r="E3" s="6" t="s">
        <v>682</v>
      </c>
    </row>
    <row r="4" spans="1:9" x14ac:dyDescent="0.2">
      <c r="C4" s="7" t="s">
        <v>3361</v>
      </c>
      <c r="D4" s="7" t="s">
        <v>683</v>
      </c>
      <c r="E4" s="136" t="str">
        <f>CONCATENATE(C4,D4)</f>
        <v>AlanJones</v>
      </c>
      <c r="F4" s="13" t="s">
        <v>684</v>
      </c>
    </row>
    <row r="5" spans="1:9" x14ac:dyDescent="0.2">
      <c r="C5" s="7" t="s">
        <v>3362</v>
      </c>
      <c r="D5" s="7" t="s">
        <v>685</v>
      </c>
      <c r="E5" s="136" t="str">
        <f>CONCATENATE(C5,D5)</f>
        <v>BobWilliams</v>
      </c>
      <c r="F5" s="13" t="s">
        <v>686</v>
      </c>
    </row>
    <row r="6" spans="1:9" x14ac:dyDescent="0.2">
      <c r="C6" s="7" t="s">
        <v>3363</v>
      </c>
      <c r="D6" s="7" t="s">
        <v>687</v>
      </c>
      <c r="E6" s="136" t="str">
        <f>CONCATENATE(C6,D6)</f>
        <v>CarolDavies</v>
      </c>
      <c r="F6" s="13" t="s">
        <v>688</v>
      </c>
    </row>
    <row r="7" spans="1:9" x14ac:dyDescent="0.2">
      <c r="C7" s="7" t="s">
        <v>3361</v>
      </c>
      <c r="D7" s="7" t="s">
        <v>683</v>
      </c>
      <c r="E7" s="136" t="str">
        <f>CONCATENATE(C7," ",D7)</f>
        <v>Alan Jones</v>
      </c>
      <c r="F7" s="13" t="s">
        <v>689</v>
      </c>
    </row>
    <row r="8" spans="1:9" x14ac:dyDescent="0.2">
      <c r="C8" s="7" t="s">
        <v>3362</v>
      </c>
      <c r="D8" s="7" t="s">
        <v>685</v>
      </c>
      <c r="E8" s="136" t="str">
        <f>CONCATENATE(D8,", ",C8)</f>
        <v>Williams, Bob</v>
      </c>
      <c r="F8" s="13" t="s">
        <v>690</v>
      </c>
    </row>
    <row r="9" spans="1:9" x14ac:dyDescent="0.2">
      <c r="C9" s="7" t="s">
        <v>3363</v>
      </c>
      <c r="D9" s="7" t="s">
        <v>687</v>
      </c>
      <c r="E9" s="136" t="str">
        <f>CONCATENATE(D9,", ",C9)</f>
        <v>Davies, Carol</v>
      </c>
      <c r="F9" s="13" t="s">
        <v>691</v>
      </c>
    </row>
    <row r="11" spans="1:9" ht="13.5" thickBot="1" x14ac:dyDescent="0.25">
      <c r="B11" s="2" t="s">
        <v>3118</v>
      </c>
      <c r="C11" s="2"/>
      <c r="D11" s="2"/>
      <c r="E11" s="2"/>
      <c r="F11" s="2"/>
      <c r="G11" s="2"/>
      <c r="H11" s="2"/>
    </row>
    <row r="12" spans="1:9" x14ac:dyDescent="0.2">
      <c r="B12" t="s">
        <v>692</v>
      </c>
    </row>
    <row r="14" spans="1:9" ht="13.5" thickBot="1" x14ac:dyDescent="0.25">
      <c r="B14" s="2" t="s">
        <v>998</v>
      </c>
      <c r="C14" s="2"/>
      <c r="D14" s="2"/>
      <c r="E14" s="2"/>
      <c r="F14" s="2"/>
      <c r="G14" s="2"/>
      <c r="H14" s="2"/>
    </row>
    <row r="15" spans="1:9" x14ac:dyDescent="0.2">
      <c r="B15" t="s">
        <v>693</v>
      </c>
    </row>
    <row r="16" spans="1:9" x14ac:dyDescent="0.2">
      <c r="B16" t="s">
        <v>694</v>
      </c>
    </row>
    <row r="18" spans="2:8" ht="13.5" thickBot="1" x14ac:dyDescent="0.25">
      <c r="B18" s="2" t="s">
        <v>3355</v>
      </c>
      <c r="C18" s="2"/>
      <c r="D18" s="2"/>
      <c r="E18" s="2"/>
      <c r="F18" s="2"/>
      <c r="G18" s="2"/>
      <c r="H18" s="2"/>
    </row>
    <row r="19" spans="2:8" x14ac:dyDescent="0.2">
      <c r="B19" t="s">
        <v>695</v>
      </c>
    </row>
    <row r="21" spans="2:8" ht="13.5" thickBot="1" x14ac:dyDescent="0.25">
      <c r="B21" s="2" t="s">
        <v>2659</v>
      </c>
      <c r="C21" s="2"/>
      <c r="D21" s="2"/>
      <c r="E21" s="2"/>
      <c r="F21" s="2"/>
      <c r="G21" s="2"/>
      <c r="H21" s="2"/>
    </row>
    <row r="22" spans="2:8" x14ac:dyDescent="0.2">
      <c r="B22" t="s">
        <v>1559</v>
      </c>
    </row>
    <row r="24" spans="2:8" x14ac:dyDescent="0.2">
      <c r="C24" s="6" t="s">
        <v>680</v>
      </c>
      <c r="D24" s="6" t="s">
        <v>681</v>
      </c>
      <c r="E24" s="6" t="s">
        <v>682</v>
      </c>
    </row>
    <row r="25" spans="2:8" x14ac:dyDescent="0.2">
      <c r="C25" s="7" t="s">
        <v>3361</v>
      </c>
      <c r="D25" s="7" t="s">
        <v>683</v>
      </c>
      <c r="E25" s="136" t="str">
        <f>C25&amp;D25</f>
        <v>AlanJones</v>
      </c>
      <c r="F25" s="13" t="s">
        <v>696</v>
      </c>
    </row>
    <row r="26" spans="2:8" x14ac:dyDescent="0.2">
      <c r="C26" s="7" t="s">
        <v>3362</v>
      </c>
      <c r="D26" s="7" t="s">
        <v>685</v>
      </c>
      <c r="E26" s="136" t="str">
        <f>C26&amp;D26</f>
        <v>BobWilliams</v>
      </c>
      <c r="F26" s="13" t="s">
        <v>697</v>
      </c>
    </row>
    <row r="27" spans="2:8" x14ac:dyDescent="0.2">
      <c r="C27" s="7" t="s">
        <v>3363</v>
      </c>
      <c r="D27" s="7" t="s">
        <v>687</v>
      </c>
      <c r="E27" s="136" t="str">
        <f>C27&amp;D27</f>
        <v>CarolDavies</v>
      </c>
      <c r="F27" s="13" t="s">
        <v>698</v>
      </c>
    </row>
    <row r="28" spans="2:8" x14ac:dyDescent="0.2">
      <c r="C28" s="7" t="s">
        <v>3361</v>
      </c>
      <c r="D28" s="7" t="s">
        <v>683</v>
      </c>
      <c r="E28" s="136" t="str">
        <f>C28&amp;" "&amp;D28</f>
        <v>Alan Jones</v>
      </c>
      <c r="F28" s="13" t="s">
        <v>699</v>
      </c>
    </row>
    <row r="29" spans="2:8" x14ac:dyDescent="0.2">
      <c r="C29" s="7" t="s">
        <v>3362</v>
      </c>
      <c r="D29" s="7" t="s">
        <v>685</v>
      </c>
      <c r="E29" s="136" t="str">
        <f>D29&amp;", "&amp;C29</f>
        <v>Williams, Bob</v>
      </c>
      <c r="F29" s="13" t="s">
        <v>700</v>
      </c>
    </row>
    <row r="30" spans="2:8" x14ac:dyDescent="0.2">
      <c r="C30" s="7" t="s">
        <v>3363</v>
      </c>
      <c r="D30" s="7" t="s">
        <v>687</v>
      </c>
      <c r="E30" s="136" t="str">
        <f>D30&amp;", "&amp;C30</f>
        <v>Davies, Carol</v>
      </c>
      <c r="F30" s="13" t="s">
        <v>1558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G58"/>
  <sheetViews>
    <sheetView showGridLines="0" workbookViewId="0">
      <pane ySplit="1" topLeftCell="A8" activePane="bottomLeft" state="frozen"/>
      <selection activeCell="A3" sqref="A3"/>
      <selection pane="bottomLeft" activeCell="D26" sqref="D26"/>
    </sheetView>
  </sheetViews>
  <sheetFormatPr defaultRowHeight="12.75" x14ac:dyDescent="0.2"/>
  <cols>
    <col min="1" max="1" width="2.7109375" customWidth="1"/>
    <col min="3" max="3" width="14.5703125" customWidth="1"/>
    <col min="4" max="4" width="18.140625" customWidth="1"/>
    <col min="5" max="5" width="14.7109375" customWidth="1"/>
    <col min="6" max="6" width="16.7109375" customWidth="1"/>
    <col min="7" max="7" width="11.7109375" customWidth="1"/>
  </cols>
  <sheetData>
    <row r="1" spans="1:7" ht="40.5" customHeight="1" x14ac:dyDescent="0.25">
      <c r="A1" s="476"/>
      <c r="B1" s="476"/>
      <c r="C1" s="476"/>
      <c r="D1" s="476"/>
      <c r="E1" s="476"/>
      <c r="F1" s="476"/>
      <c r="G1" s="476"/>
    </row>
    <row r="3" spans="1:7" x14ac:dyDescent="0.2">
      <c r="C3" s="6" t="s">
        <v>626</v>
      </c>
      <c r="D3" s="6" t="s">
        <v>627</v>
      </c>
      <c r="E3" s="6" t="s">
        <v>628</v>
      </c>
    </row>
    <row r="4" spans="1:7" x14ac:dyDescent="0.2">
      <c r="C4" s="7">
        <v>4</v>
      </c>
      <c r="D4" s="7">
        <v>2</v>
      </c>
      <c r="E4" s="8">
        <f>COMBIN(C4,D4)</f>
        <v>6</v>
      </c>
      <c r="F4" s="66" t="s">
        <v>629</v>
      </c>
    </row>
    <row r="5" spans="1:7" x14ac:dyDescent="0.2">
      <c r="C5" s="7">
        <v>4</v>
      </c>
      <c r="D5" s="7">
        <v>3</v>
      </c>
      <c r="E5" s="8">
        <f>COMBIN(C5,D5)</f>
        <v>4</v>
      </c>
      <c r="F5" s="66" t="s">
        <v>630</v>
      </c>
    </row>
    <row r="6" spans="1:7" x14ac:dyDescent="0.2">
      <c r="C6" s="7">
        <v>26</v>
      </c>
      <c r="D6" s="7">
        <v>2</v>
      </c>
      <c r="E6" s="8">
        <f>COMBIN(C6,D6)</f>
        <v>325</v>
      </c>
      <c r="F6" s="66" t="s">
        <v>631</v>
      </c>
    </row>
    <row r="8" spans="1:7" ht="13.5" thickBot="1" x14ac:dyDescent="0.25">
      <c r="B8" s="2" t="s">
        <v>2865</v>
      </c>
      <c r="C8" s="2"/>
      <c r="D8" s="2"/>
      <c r="E8" s="2"/>
      <c r="F8" s="2"/>
      <c r="G8" s="2"/>
    </row>
    <row r="9" spans="1:7" x14ac:dyDescent="0.2">
      <c r="B9" t="s">
        <v>632</v>
      </c>
    </row>
    <row r="10" spans="1:7" x14ac:dyDescent="0.2">
      <c r="B10" t="s">
        <v>633</v>
      </c>
    </row>
    <row r="11" spans="1:7" x14ac:dyDescent="0.2">
      <c r="B11" t="s">
        <v>634</v>
      </c>
    </row>
    <row r="13" spans="1:7" ht="13.5" thickBot="1" x14ac:dyDescent="0.25">
      <c r="B13" s="2" t="s">
        <v>998</v>
      </c>
      <c r="C13" s="2"/>
      <c r="D13" s="2"/>
      <c r="E13" s="2"/>
      <c r="F13" s="2"/>
      <c r="G13" s="2"/>
    </row>
    <row r="14" spans="1:7" x14ac:dyDescent="0.2">
      <c r="B14" t="s">
        <v>635</v>
      </c>
    </row>
    <row r="16" spans="1:7" ht="13.5" thickBot="1" x14ac:dyDescent="0.25">
      <c r="B16" s="2" t="s">
        <v>3355</v>
      </c>
      <c r="C16" s="2"/>
      <c r="D16" s="2"/>
      <c r="E16" s="2"/>
      <c r="F16" s="2"/>
      <c r="G16" s="2"/>
    </row>
    <row r="17" spans="2:7" x14ac:dyDescent="0.2">
      <c r="B17" t="s">
        <v>3762</v>
      </c>
    </row>
    <row r="20" spans="2:7" ht="13.5" thickBot="1" x14ac:dyDescent="0.25">
      <c r="B20" s="2" t="s">
        <v>1937</v>
      </c>
      <c r="C20" s="2"/>
      <c r="D20" s="2"/>
      <c r="E20" s="2"/>
      <c r="F20" s="2"/>
      <c r="G20" s="2"/>
    </row>
    <row r="21" spans="2:7" x14ac:dyDescent="0.2">
      <c r="B21" t="s">
        <v>636</v>
      </c>
    </row>
    <row r="22" spans="2:7" x14ac:dyDescent="0.2">
      <c r="B22" t="s">
        <v>637</v>
      </c>
    </row>
    <row r="24" spans="2:7" x14ac:dyDescent="0.2">
      <c r="C24" s="6" t="s">
        <v>638</v>
      </c>
      <c r="D24" s="6" t="s">
        <v>639</v>
      </c>
      <c r="E24" s="6" t="s">
        <v>640</v>
      </c>
    </row>
    <row r="25" spans="2:7" x14ac:dyDescent="0.2">
      <c r="C25" s="7">
        <v>4</v>
      </c>
      <c r="D25" s="7">
        <v>2</v>
      </c>
      <c r="E25" s="8">
        <f>COMBIN(C25,D25)</f>
        <v>6</v>
      </c>
      <c r="F25" s="13" t="s">
        <v>641</v>
      </c>
    </row>
    <row r="27" spans="2:7" x14ac:dyDescent="0.2">
      <c r="C27" t="s">
        <v>642</v>
      </c>
      <c r="D27" s="127" t="s">
        <v>643</v>
      </c>
      <c r="E27" s="128" t="s">
        <v>644</v>
      </c>
    </row>
    <row r="28" spans="2:7" x14ac:dyDescent="0.2">
      <c r="D28" s="129" t="s">
        <v>645</v>
      </c>
      <c r="E28" s="130" t="s">
        <v>646</v>
      </c>
    </row>
    <row r="29" spans="2:7" x14ac:dyDescent="0.2">
      <c r="D29" s="129" t="s">
        <v>647</v>
      </c>
      <c r="E29" s="130" t="s">
        <v>648</v>
      </c>
    </row>
    <row r="30" spans="2:7" x14ac:dyDescent="0.2">
      <c r="D30" s="129" t="s">
        <v>649</v>
      </c>
      <c r="E30" s="130" t="s">
        <v>650</v>
      </c>
    </row>
    <row r="31" spans="2:7" x14ac:dyDescent="0.2">
      <c r="D31" s="129" t="s">
        <v>651</v>
      </c>
      <c r="E31" s="130" t="s">
        <v>652</v>
      </c>
    </row>
    <row r="32" spans="2:7" x14ac:dyDescent="0.2">
      <c r="D32" s="129" t="s">
        <v>653</v>
      </c>
      <c r="E32" s="130" t="s">
        <v>654</v>
      </c>
    </row>
    <row r="33" spans="2:7" x14ac:dyDescent="0.2">
      <c r="D33" s="129" t="s">
        <v>655</v>
      </c>
      <c r="E33" s="130" t="s">
        <v>656</v>
      </c>
    </row>
    <row r="35" spans="2:7" ht="13.5" thickBot="1" x14ac:dyDescent="0.25">
      <c r="B35" s="2" t="s">
        <v>1962</v>
      </c>
      <c r="C35" s="2"/>
      <c r="D35" s="2"/>
      <c r="E35" s="2"/>
      <c r="F35" s="2"/>
      <c r="G35" s="2"/>
    </row>
    <row r="36" spans="2:7" x14ac:dyDescent="0.2">
      <c r="B36" t="s">
        <v>657</v>
      </c>
    </row>
    <row r="37" spans="2:7" x14ac:dyDescent="0.2">
      <c r="B37" t="s">
        <v>658</v>
      </c>
    </row>
    <row r="38" spans="2:7" x14ac:dyDescent="0.2">
      <c r="B38" t="s">
        <v>659</v>
      </c>
    </row>
    <row r="40" spans="2:7" x14ac:dyDescent="0.2">
      <c r="C40" s="6" t="s">
        <v>660</v>
      </c>
      <c r="D40" s="6" t="s">
        <v>661</v>
      </c>
      <c r="E40" s="6" t="s">
        <v>662</v>
      </c>
    </row>
    <row r="41" spans="2:7" x14ac:dyDescent="0.2">
      <c r="C41" s="7">
        <v>5</v>
      </c>
      <c r="D41" s="7">
        <v>3</v>
      </c>
      <c r="E41" s="8">
        <f>COMBIN(C41,D41)</f>
        <v>10</v>
      </c>
      <c r="F41" s="13" t="s">
        <v>663</v>
      </c>
    </row>
    <row r="43" spans="2:7" x14ac:dyDescent="0.2">
      <c r="C43" t="s">
        <v>664</v>
      </c>
    </row>
    <row r="44" spans="2:7" x14ac:dyDescent="0.2">
      <c r="C44" s="131" t="s">
        <v>665</v>
      </c>
    </row>
    <row r="45" spans="2:7" x14ac:dyDescent="0.2">
      <c r="C45" s="132" t="s">
        <v>3146</v>
      </c>
    </row>
    <row r="46" spans="2:7" x14ac:dyDescent="0.2">
      <c r="C46" s="133" t="s">
        <v>666</v>
      </c>
    </row>
    <row r="47" spans="2:7" x14ac:dyDescent="0.2">
      <c r="C47" s="134" t="s">
        <v>667</v>
      </c>
    </row>
    <row r="48" spans="2:7" x14ac:dyDescent="0.2">
      <c r="C48" s="135" t="s">
        <v>668</v>
      </c>
    </row>
    <row r="50" spans="3:7" x14ac:dyDescent="0.2">
      <c r="C50" t="s">
        <v>669</v>
      </c>
      <c r="D50" t="s">
        <v>670</v>
      </c>
      <c r="E50" t="s">
        <v>671</v>
      </c>
      <c r="F50" t="s">
        <v>672</v>
      </c>
      <c r="G50" t="s">
        <v>673</v>
      </c>
    </row>
    <row r="51" spans="3:7" x14ac:dyDescent="0.2">
      <c r="C51" s="131" t="s">
        <v>665</v>
      </c>
      <c r="D51" s="131" t="s">
        <v>665</v>
      </c>
      <c r="E51" s="131" t="s">
        <v>665</v>
      </c>
      <c r="F51" s="131" t="s">
        <v>665</v>
      </c>
      <c r="G51" s="131" t="s">
        <v>665</v>
      </c>
    </row>
    <row r="52" spans="3:7" x14ac:dyDescent="0.2">
      <c r="C52" s="132" t="s">
        <v>3146</v>
      </c>
      <c r="D52" s="132" t="s">
        <v>3146</v>
      </c>
      <c r="E52" s="132" t="s">
        <v>3146</v>
      </c>
      <c r="F52" s="133" t="s">
        <v>666</v>
      </c>
      <c r="G52" s="133" t="s">
        <v>666</v>
      </c>
    </row>
    <row r="53" spans="3:7" x14ac:dyDescent="0.2">
      <c r="C53" s="133" t="s">
        <v>666</v>
      </c>
      <c r="D53" s="134" t="s">
        <v>667</v>
      </c>
      <c r="E53" s="135" t="s">
        <v>668</v>
      </c>
      <c r="F53" s="134" t="s">
        <v>667</v>
      </c>
      <c r="G53" s="135" t="s">
        <v>668</v>
      </c>
    </row>
    <row r="55" spans="3:7" x14ac:dyDescent="0.2">
      <c r="C55" t="s">
        <v>674</v>
      </c>
      <c r="D55" t="s">
        <v>675</v>
      </c>
      <c r="E55" t="s">
        <v>676</v>
      </c>
      <c r="F55" t="s">
        <v>677</v>
      </c>
      <c r="G55" t="s">
        <v>678</v>
      </c>
    </row>
    <row r="56" spans="3:7" x14ac:dyDescent="0.2">
      <c r="C56" s="132" t="s">
        <v>3146</v>
      </c>
      <c r="D56" s="132" t="s">
        <v>3146</v>
      </c>
      <c r="E56" s="132" t="s">
        <v>3146</v>
      </c>
      <c r="F56" s="133" t="s">
        <v>666</v>
      </c>
      <c r="G56" t="s">
        <v>679</v>
      </c>
    </row>
    <row r="57" spans="3:7" x14ac:dyDescent="0.2">
      <c r="C57" s="133" t="s">
        <v>666</v>
      </c>
      <c r="D57" s="133" t="s">
        <v>666</v>
      </c>
      <c r="E57" s="134" t="s">
        <v>667</v>
      </c>
      <c r="F57" s="134" t="s">
        <v>667</v>
      </c>
    </row>
    <row r="58" spans="3:7" x14ac:dyDescent="0.2">
      <c r="C58" s="134" t="s">
        <v>667</v>
      </c>
      <c r="D58" s="135" t="s">
        <v>668</v>
      </c>
      <c r="E58" s="135" t="s">
        <v>668</v>
      </c>
      <c r="F58" s="135" t="s">
        <v>668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6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K28"/>
  <sheetViews>
    <sheetView showGridLines="0" workbookViewId="0">
      <pane ySplit="1" topLeftCell="A2" activePane="bottomLeft" state="frozen"/>
      <selection activeCell="A3" sqref="A3"/>
      <selection pane="bottomLeft" activeCell="D7" sqref="D7"/>
    </sheetView>
  </sheetViews>
  <sheetFormatPr defaultRowHeight="12.75" x14ac:dyDescent="0.2"/>
  <cols>
    <col min="1" max="1" width="2.7109375" customWidth="1"/>
    <col min="4" max="4" width="10.7109375" customWidth="1"/>
  </cols>
  <sheetData>
    <row r="1" spans="1:11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6"/>
    </row>
    <row r="3" spans="1:11" x14ac:dyDescent="0.2">
      <c r="C3" s="6" t="s">
        <v>3790</v>
      </c>
      <c r="D3" s="6" t="s">
        <v>3791</v>
      </c>
    </row>
    <row r="4" spans="1:11" x14ac:dyDescent="0.2">
      <c r="C4" s="125" t="s">
        <v>1943</v>
      </c>
      <c r="D4" s="8">
        <f t="shared" ref="D4:D12" si="0">CODE(C4)</f>
        <v>65</v>
      </c>
      <c r="E4" s="63" t="s">
        <v>3792</v>
      </c>
    </row>
    <row r="5" spans="1:11" x14ac:dyDescent="0.2">
      <c r="C5" s="125" t="s">
        <v>1944</v>
      </c>
      <c r="D5" s="8">
        <f t="shared" si="0"/>
        <v>66</v>
      </c>
      <c r="E5" s="63" t="s">
        <v>3793</v>
      </c>
    </row>
    <row r="6" spans="1:11" x14ac:dyDescent="0.2">
      <c r="C6" s="125" t="s">
        <v>1945</v>
      </c>
      <c r="D6" s="8">
        <f t="shared" si="0"/>
        <v>67</v>
      </c>
      <c r="E6" s="63" t="s">
        <v>3794</v>
      </c>
    </row>
    <row r="7" spans="1:11" x14ac:dyDescent="0.2">
      <c r="C7" s="125" t="s">
        <v>3795</v>
      </c>
      <c r="D7" s="8">
        <f t="shared" si="0"/>
        <v>97</v>
      </c>
      <c r="E7" s="63" t="s">
        <v>3796</v>
      </c>
    </row>
    <row r="8" spans="1:11" x14ac:dyDescent="0.2">
      <c r="C8" s="125" t="s">
        <v>3797</v>
      </c>
      <c r="D8" s="8">
        <f t="shared" si="0"/>
        <v>98</v>
      </c>
      <c r="E8" s="63" t="s">
        <v>3798</v>
      </c>
    </row>
    <row r="9" spans="1:11" x14ac:dyDescent="0.2">
      <c r="C9" s="125" t="s">
        <v>3799</v>
      </c>
      <c r="D9" s="8">
        <f t="shared" si="0"/>
        <v>99</v>
      </c>
      <c r="E9" s="63" t="s">
        <v>3800</v>
      </c>
    </row>
    <row r="10" spans="1:11" x14ac:dyDescent="0.2">
      <c r="C10" s="125" t="s">
        <v>3361</v>
      </c>
      <c r="D10" s="8">
        <f t="shared" si="0"/>
        <v>65</v>
      </c>
      <c r="E10" s="63" t="s">
        <v>3801</v>
      </c>
    </row>
    <row r="11" spans="1:11" x14ac:dyDescent="0.2">
      <c r="C11" s="125" t="s">
        <v>3362</v>
      </c>
      <c r="D11" s="8">
        <f t="shared" si="0"/>
        <v>66</v>
      </c>
      <c r="E11" s="63" t="s">
        <v>3802</v>
      </c>
    </row>
    <row r="12" spans="1:11" x14ac:dyDescent="0.2">
      <c r="C12" s="125" t="s">
        <v>3363</v>
      </c>
      <c r="D12" s="8">
        <f t="shared" si="0"/>
        <v>67</v>
      </c>
      <c r="E12" s="63" t="s">
        <v>3803</v>
      </c>
    </row>
    <row r="14" spans="1:11" ht="13.5" thickBot="1" x14ac:dyDescent="0.25">
      <c r="B14" s="2" t="s">
        <v>3118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B15" t="s">
        <v>3804</v>
      </c>
    </row>
    <row r="16" spans="1:11" x14ac:dyDescent="0.2">
      <c r="B16" t="s">
        <v>3805</v>
      </c>
    </row>
    <row r="17" spans="2:11" x14ac:dyDescent="0.2">
      <c r="B17" t="s">
        <v>3806</v>
      </c>
    </row>
    <row r="18" spans="2:11" x14ac:dyDescent="0.2">
      <c r="B18" t="s">
        <v>3807</v>
      </c>
    </row>
    <row r="19" spans="2:11" x14ac:dyDescent="0.2">
      <c r="B19" t="s">
        <v>3433</v>
      </c>
    </row>
    <row r="21" spans="2:11" ht="13.5" thickBot="1" x14ac:dyDescent="0.25">
      <c r="B21" s="2" t="s">
        <v>998</v>
      </c>
      <c r="C21" s="2"/>
      <c r="D21" s="2"/>
      <c r="E21" s="2"/>
      <c r="F21" s="2"/>
      <c r="G21" s="2"/>
      <c r="H21" s="2"/>
      <c r="I21" s="2"/>
      <c r="J21" s="2"/>
      <c r="K21" s="2"/>
    </row>
    <row r="22" spans="2:11" x14ac:dyDescent="0.2">
      <c r="B22" t="s">
        <v>3434</v>
      </c>
    </row>
    <row r="24" spans="2:11" ht="13.5" thickBot="1" x14ac:dyDescent="0.25">
      <c r="B24" s="2" t="s">
        <v>3355</v>
      </c>
      <c r="C24" s="2"/>
      <c r="D24" s="2"/>
      <c r="E24" s="2"/>
      <c r="F24" s="2"/>
      <c r="G24" s="2"/>
      <c r="H24" s="2"/>
      <c r="I24" s="2"/>
      <c r="J24" s="2"/>
      <c r="K24" s="2"/>
    </row>
    <row r="25" spans="2:11" x14ac:dyDescent="0.2">
      <c r="B25" t="s">
        <v>1461</v>
      </c>
    </row>
    <row r="27" spans="2:11" ht="13.5" thickBot="1" x14ac:dyDescent="0.25">
      <c r="B27" s="2" t="s">
        <v>1001</v>
      </c>
      <c r="C27" s="2"/>
      <c r="D27" s="2"/>
      <c r="E27" s="2"/>
      <c r="F27" s="2"/>
      <c r="G27" s="2"/>
      <c r="H27" s="2"/>
      <c r="I27" s="2"/>
      <c r="J27" s="2"/>
    </row>
    <row r="28" spans="2:11" x14ac:dyDescent="0.2">
      <c r="B28" t="s">
        <v>625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85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J17"/>
  <sheetViews>
    <sheetView showGridLines="0" workbookViewId="0">
      <pane ySplit="1" topLeftCell="A2" activePane="bottomLeft" state="frozen"/>
      <selection activeCell="A3" sqref="A3"/>
      <selection pane="bottomLeft" activeCell="D6" sqref="D6"/>
    </sheetView>
  </sheetViews>
  <sheetFormatPr defaultRowHeight="12.75" x14ac:dyDescent="0.2"/>
  <cols>
    <col min="1" max="1" width="2.7109375" customWidth="1"/>
    <col min="3" max="3" width="10.140625" customWidth="1"/>
    <col min="4" max="4" width="10.5703125" customWidth="1"/>
    <col min="9" max="9" width="14.5703125" customWidth="1"/>
  </cols>
  <sheetData>
    <row r="1" spans="1:10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7"/>
    </row>
    <row r="3" spans="1:10" x14ac:dyDescent="0.2">
      <c r="C3" s="6" t="s">
        <v>3778</v>
      </c>
      <c r="D3" s="6" t="s">
        <v>3779</v>
      </c>
    </row>
    <row r="4" spans="1:10" x14ac:dyDescent="0.2">
      <c r="C4" s="24" t="s">
        <v>1029</v>
      </c>
      <c r="D4" s="8" t="str">
        <f>CLEAN(C4)</f>
        <v>Hello</v>
      </c>
      <c r="E4" s="13" t="s">
        <v>3780</v>
      </c>
    </row>
    <row r="5" spans="1:10" x14ac:dyDescent="0.2">
      <c r="C5" s="24" t="s">
        <v>3781</v>
      </c>
      <c r="D5" s="8" t="str">
        <f>CLEAN(C5)</f>
        <v>Hello</v>
      </c>
      <c r="E5" s="13" t="s">
        <v>3782</v>
      </c>
    </row>
    <row r="6" spans="1:10" x14ac:dyDescent="0.2">
      <c r="C6" s="24" t="s">
        <v>3783</v>
      </c>
      <c r="D6" s="8" t="str">
        <f>CLEAN(C6)</f>
        <v>Hello</v>
      </c>
      <c r="E6" s="13" t="s">
        <v>3784</v>
      </c>
    </row>
    <row r="8" spans="1:10" ht="13.5" thickBot="1" x14ac:dyDescent="0.25">
      <c r="B8" s="2" t="s">
        <v>3118</v>
      </c>
      <c r="C8" s="2"/>
      <c r="D8" s="2"/>
      <c r="E8" s="2"/>
      <c r="F8" s="2"/>
      <c r="G8" s="2"/>
      <c r="H8" s="2"/>
      <c r="I8" s="2"/>
    </row>
    <row r="9" spans="1:10" x14ac:dyDescent="0.2">
      <c r="B9" t="s">
        <v>3785</v>
      </c>
    </row>
    <row r="10" spans="1:10" x14ac:dyDescent="0.2">
      <c r="B10" t="s">
        <v>3786</v>
      </c>
    </row>
    <row r="11" spans="1:10" x14ac:dyDescent="0.2">
      <c r="B11" t="s">
        <v>3787</v>
      </c>
    </row>
    <row r="13" spans="1:10" ht="13.5" thickBot="1" x14ac:dyDescent="0.25">
      <c r="B13" s="2" t="s">
        <v>998</v>
      </c>
      <c r="C13" s="2"/>
      <c r="D13" s="2"/>
      <c r="E13" s="2"/>
      <c r="F13" s="2"/>
      <c r="G13" s="2"/>
      <c r="H13" s="2"/>
      <c r="I13" s="2"/>
    </row>
    <row r="14" spans="1:10" x14ac:dyDescent="0.2">
      <c r="B14" s="126" t="s">
        <v>3788</v>
      </c>
    </row>
    <row r="16" spans="1:10" ht="13.5" thickBot="1" x14ac:dyDescent="0.25">
      <c r="B16" s="2" t="s">
        <v>3355</v>
      </c>
      <c r="C16" s="2"/>
      <c r="D16" s="2"/>
      <c r="E16" s="2"/>
      <c r="F16" s="2"/>
      <c r="G16" s="2"/>
      <c r="H16" s="2"/>
      <c r="I16" s="2"/>
    </row>
    <row r="17" spans="2:2" x14ac:dyDescent="0.2">
      <c r="B17" t="s">
        <v>3789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K36"/>
  <sheetViews>
    <sheetView showGridLines="0" tabSelected="1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10" max="10" width="8.140625" customWidth="1"/>
  </cols>
  <sheetData>
    <row r="1" spans="1:11" ht="41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7"/>
    </row>
    <row r="3" spans="1:11" ht="25.5" x14ac:dyDescent="0.2">
      <c r="C3" s="57" t="s">
        <v>3753</v>
      </c>
      <c r="D3" s="6" t="s">
        <v>3113</v>
      </c>
    </row>
    <row r="4" spans="1:11" x14ac:dyDescent="0.2">
      <c r="C4" s="125">
        <v>1</v>
      </c>
      <c r="D4" s="8" t="str">
        <f>CHOOSE(C4,"Alan","Bob","Carol")</f>
        <v>Alan</v>
      </c>
      <c r="E4" s="13" t="s">
        <v>3754</v>
      </c>
    </row>
    <row r="5" spans="1:11" x14ac:dyDescent="0.2">
      <c r="C5" s="125">
        <v>3</v>
      </c>
      <c r="D5" s="8" t="str">
        <f>CHOOSE(C5,"Alan","Bob","Carol")</f>
        <v>Carol</v>
      </c>
      <c r="E5" s="13" t="s">
        <v>3755</v>
      </c>
    </row>
    <row r="6" spans="1:11" x14ac:dyDescent="0.2">
      <c r="C6" s="125">
        <v>2</v>
      </c>
      <c r="D6" s="8" t="str">
        <f>CHOOSE(C6,"Alan","Bob","Carol")</f>
        <v>Bob</v>
      </c>
      <c r="E6" s="13" t="s">
        <v>3756</v>
      </c>
    </row>
    <row r="7" spans="1:11" x14ac:dyDescent="0.2">
      <c r="C7" s="125">
        <v>3</v>
      </c>
      <c r="D7" s="39">
        <f>CHOOSE(C7,10%,15%,18%)</f>
        <v>0.18</v>
      </c>
      <c r="E7" s="13" t="s">
        <v>3757</v>
      </c>
    </row>
    <row r="8" spans="1:11" x14ac:dyDescent="0.2">
      <c r="C8" s="125">
        <v>1</v>
      </c>
      <c r="D8" s="39">
        <f>CHOOSE(C8,10%,15%,18%)</f>
        <v>0.1</v>
      </c>
      <c r="E8" s="13" t="s">
        <v>3758</v>
      </c>
    </row>
    <row r="9" spans="1:11" x14ac:dyDescent="0.2">
      <c r="C9" s="125">
        <v>2</v>
      </c>
      <c r="D9" s="39">
        <f>CHOOSE(C9,10%,15%,18%)</f>
        <v>0.15</v>
      </c>
      <c r="E9" s="13" t="s">
        <v>3759</v>
      </c>
    </row>
    <row r="12" spans="1:11" ht="13.5" thickBot="1" x14ac:dyDescent="0.25">
      <c r="B12" s="2" t="s">
        <v>3118</v>
      </c>
      <c r="C12" s="2"/>
      <c r="D12" s="2"/>
      <c r="E12" s="2"/>
      <c r="F12" s="2"/>
      <c r="G12" s="2"/>
      <c r="H12" s="2"/>
      <c r="I12" s="2"/>
      <c r="J12" s="2"/>
    </row>
    <row r="13" spans="1:11" x14ac:dyDescent="0.2">
      <c r="B13" t="s">
        <v>3760</v>
      </c>
    </row>
    <row r="15" spans="1:11" ht="13.5" thickBot="1" x14ac:dyDescent="0.25">
      <c r="B15" s="2" t="s">
        <v>998</v>
      </c>
      <c r="C15" s="2"/>
      <c r="D15" s="2"/>
      <c r="E15" s="2"/>
      <c r="F15" s="2"/>
      <c r="G15" s="2"/>
      <c r="H15" s="2"/>
      <c r="I15" s="2"/>
      <c r="J15" s="2"/>
    </row>
    <row r="16" spans="1:11" x14ac:dyDescent="0.2">
      <c r="B16" t="s">
        <v>3761</v>
      </c>
    </row>
    <row r="18" spans="2:10" ht="13.5" thickBot="1" x14ac:dyDescent="0.25">
      <c r="B18" s="2" t="s">
        <v>3355</v>
      </c>
      <c r="C18" s="2"/>
      <c r="D18" s="2"/>
      <c r="E18" s="2"/>
      <c r="F18" s="2"/>
      <c r="G18" s="2"/>
      <c r="H18" s="2"/>
      <c r="I18" s="2"/>
      <c r="J18" s="2"/>
    </row>
    <row r="19" spans="2:10" x14ac:dyDescent="0.2">
      <c r="B19" t="s">
        <v>3762</v>
      </c>
    </row>
    <row r="21" spans="2:10" ht="13.5" thickBot="1" x14ac:dyDescent="0.25">
      <c r="B21" s="2" t="s">
        <v>1001</v>
      </c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t="s">
        <v>3763</v>
      </c>
    </row>
    <row r="23" spans="2:10" x14ac:dyDescent="0.2">
      <c r="B23" t="s">
        <v>3764</v>
      </c>
    </row>
    <row r="24" spans="2:10" x14ac:dyDescent="0.2">
      <c r="B24" t="s">
        <v>3765</v>
      </c>
    </row>
    <row r="25" spans="2:10" x14ac:dyDescent="0.2">
      <c r="B25" t="s">
        <v>3766</v>
      </c>
    </row>
    <row r="26" spans="2:10" x14ac:dyDescent="0.2">
      <c r="B26" t="s">
        <v>3767</v>
      </c>
    </row>
    <row r="27" spans="2:10" x14ac:dyDescent="0.2">
      <c r="B27" t="s">
        <v>3768</v>
      </c>
    </row>
    <row r="29" spans="2:10" x14ac:dyDescent="0.2">
      <c r="B29" s="6" t="s">
        <v>1946</v>
      </c>
      <c r="C29" s="6" t="s">
        <v>3769</v>
      </c>
      <c r="D29" s="6" t="s">
        <v>3770</v>
      </c>
      <c r="E29" s="6" t="s">
        <v>3771</v>
      </c>
    </row>
    <row r="30" spans="2:10" x14ac:dyDescent="0.2">
      <c r="B30" s="7" t="s">
        <v>3361</v>
      </c>
      <c r="C30" s="12">
        <v>6.25E-2</v>
      </c>
      <c r="D30" s="8">
        <f>RANK(C30,$C$30:$C$34)</f>
        <v>2</v>
      </c>
      <c r="E30" s="8" t="str">
        <f>IF(D30&lt;=3,CHOOSE(D30,"Gold","Silver","Bronze"),"unplaced")</f>
        <v>Silver</v>
      </c>
      <c r="F30" s="32" t="s">
        <v>3772</v>
      </c>
    </row>
    <row r="31" spans="2:10" x14ac:dyDescent="0.2">
      <c r="B31" s="7" t="s">
        <v>3362</v>
      </c>
      <c r="C31" s="12">
        <v>5.2083333333333336E-2</v>
      </c>
      <c r="D31" s="8">
        <f>RANK(C31,$C$30:$C$34)</f>
        <v>4</v>
      </c>
      <c r="E31" s="8" t="str">
        <f>IF(D31&lt;=3,CHOOSE(D31,"Gold","Silver","Bronze"),"unplaced")</f>
        <v>unplaced</v>
      </c>
      <c r="F31" s="32" t="s">
        <v>3773</v>
      </c>
    </row>
    <row r="32" spans="2:10" x14ac:dyDescent="0.2">
      <c r="B32" s="7" t="s">
        <v>3363</v>
      </c>
      <c r="C32" s="12">
        <v>0.11458333333333333</v>
      </c>
      <c r="D32" s="8">
        <f>RANK(C32,$C$30:$C$34)</f>
        <v>1</v>
      </c>
      <c r="E32" s="8" t="str">
        <f>IF(D32&lt;=3,CHOOSE(D32,"Gold","Silver","Bronze"),"unplaced")</f>
        <v>Gold</v>
      </c>
      <c r="F32" s="32" t="s">
        <v>3774</v>
      </c>
    </row>
    <row r="33" spans="2:6" x14ac:dyDescent="0.2">
      <c r="B33" s="7" t="s">
        <v>1952</v>
      </c>
      <c r="C33" s="12">
        <v>4.5138888888888888E-2</v>
      </c>
      <c r="D33" s="8">
        <f>RANK(C33,$C$30:$C$34)</f>
        <v>5</v>
      </c>
      <c r="E33" s="8" t="str">
        <f>IF(D33&lt;=3,CHOOSE(D33,"Gold","Silver","Bronze"),"unplaced")</f>
        <v>unplaced</v>
      </c>
      <c r="F33" s="32" t="s">
        <v>3775</v>
      </c>
    </row>
    <row r="34" spans="2:6" x14ac:dyDescent="0.2">
      <c r="B34" s="7" t="s">
        <v>3134</v>
      </c>
      <c r="C34" s="12">
        <v>5.5555555555555552E-2</v>
      </c>
      <c r="D34" s="8">
        <f>RANK(C34,$C$30:$C$34)</f>
        <v>3</v>
      </c>
      <c r="E34" s="8" t="str">
        <f>IF(D34&lt;=3,CHOOSE(D34,"Gold","Silver","Bronze"),"unplaced")</f>
        <v>Bronze</v>
      </c>
      <c r="F34" s="32" t="s">
        <v>3776</v>
      </c>
    </row>
    <row r="35" spans="2:6" x14ac:dyDescent="0.2">
      <c r="D35" s="63" t="s">
        <v>3777</v>
      </c>
    </row>
    <row r="36" spans="2:6" x14ac:dyDescent="0.2">
      <c r="D36" s="49"/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51"/>
  <sheetViews>
    <sheetView showGridLines="0" workbookViewId="0">
      <pane ySplit="1" topLeftCell="A2" activePane="bottomLeft" state="frozen"/>
      <selection activeCell="A3" sqref="A3"/>
      <selection pane="bottomLeft" activeCell="E25" sqref="E25"/>
    </sheetView>
  </sheetViews>
  <sheetFormatPr defaultRowHeight="12.75" x14ac:dyDescent="0.2"/>
  <cols>
    <col min="1" max="1" width="4.140625" customWidth="1"/>
    <col min="2" max="2" width="3.7109375" customWidth="1"/>
    <col min="3" max="3" width="4" customWidth="1"/>
    <col min="4" max="4" width="3" customWidth="1"/>
    <col min="5" max="5" width="2.7109375" customWidth="1"/>
    <col min="6" max="6" width="3" customWidth="1"/>
    <col min="7" max="8" width="4" customWidth="1"/>
    <col min="9" max="9" width="2.85546875" customWidth="1"/>
    <col min="10" max="10" width="4" customWidth="1"/>
    <col min="11" max="11" width="2.5703125" customWidth="1"/>
    <col min="12" max="12" width="4" customWidth="1"/>
    <col min="13" max="13" width="3" customWidth="1"/>
    <col min="14" max="14" width="4" customWidth="1"/>
    <col min="15" max="15" width="2.85546875" customWidth="1"/>
    <col min="16" max="16" width="4" customWidth="1"/>
    <col min="17" max="17" width="2.85546875" customWidth="1"/>
    <col min="18" max="18" width="4" customWidth="1"/>
    <col min="19" max="19" width="2.7109375" customWidth="1"/>
    <col min="20" max="20" width="4" customWidth="1"/>
    <col min="21" max="21" width="2.7109375" customWidth="1"/>
    <col min="22" max="22" width="4" customWidth="1"/>
    <col min="23" max="23" width="2" customWidth="1"/>
  </cols>
  <sheetData>
    <row r="1" spans="1:24" ht="39.7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8"/>
    </row>
    <row r="3" spans="1:24" x14ac:dyDescent="0.2">
      <c r="D3" s="17"/>
      <c r="E3" s="59"/>
      <c r="F3" s="59"/>
      <c r="G3" s="59" t="s">
        <v>3739</v>
      </c>
      <c r="H3" s="103" t="s">
        <v>3740</v>
      </c>
      <c r="I3" s="104"/>
      <c r="J3" s="19"/>
    </row>
    <row r="4" spans="1:24" x14ac:dyDescent="0.2">
      <c r="D4" s="105"/>
      <c r="E4" s="106"/>
      <c r="F4" s="106"/>
      <c r="G4" s="107">
        <v>65</v>
      </c>
      <c r="H4" s="108" t="str">
        <f>CHAR(G4)</f>
        <v>A</v>
      </c>
      <c r="I4" s="109"/>
      <c r="J4" s="107"/>
      <c r="L4" s="63" t="s">
        <v>3741</v>
      </c>
    </row>
    <row r="5" spans="1:24" x14ac:dyDescent="0.2">
      <c r="D5" s="105"/>
      <c r="E5" s="106"/>
      <c r="F5" s="106"/>
      <c r="G5" s="107">
        <v>66</v>
      </c>
      <c r="H5" s="108" t="str">
        <f>CHAR(G5)</f>
        <v>B</v>
      </c>
      <c r="I5" s="109"/>
      <c r="J5" s="107"/>
      <c r="L5" s="63" t="s">
        <v>3742</v>
      </c>
    </row>
    <row r="6" spans="1:24" x14ac:dyDescent="0.2">
      <c r="D6" s="110"/>
      <c r="E6" s="111"/>
      <c r="F6" s="111"/>
      <c r="G6" s="112">
        <v>169</v>
      </c>
      <c r="H6" s="113" t="str">
        <f>CHAR(G6)</f>
        <v>©</v>
      </c>
      <c r="I6" s="114"/>
      <c r="J6" s="112"/>
      <c r="L6" s="63" t="s">
        <v>3743</v>
      </c>
    </row>
    <row r="8" spans="1:24" ht="13.5" thickBot="1" x14ac:dyDescent="0.25">
      <c r="B8" s="2" t="s">
        <v>3118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4" x14ac:dyDescent="0.2">
      <c r="B9" t="s">
        <v>3744</v>
      </c>
    </row>
    <row r="10" spans="1:24" x14ac:dyDescent="0.2">
      <c r="B10" t="s">
        <v>3745</v>
      </c>
    </row>
    <row r="12" spans="1:24" ht="13.5" thickBot="1" x14ac:dyDescent="0.25">
      <c r="B12" s="2" t="s">
        <v>998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x14ac:dyDescent="0.2">
      <c r="B13" t="s">
        <v>3746</v>
      </c>
    </row>
    <row r="14" spans="1:24" x14ac:dyDescent="0.2">
      <c r="B14" t="s">
        <v>3747</v>
      </c>
    </row>
    <row r="16" spans="1:24" ht="13.5" thickBot="1" x14ac:dyDescent="0.25">
      <c r="B16" s="2" t="s">
        <v>3355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3" x14ac:dyDescent="0.2">
      <c r="B17" t="s">
        <v>3748</v>
      </c>
    </row>
    <row r="19" spans="2:23" ht="13.5" thickBot="1" x14ac:dyDescent="0.25">
      <c r="B19" s="2" t="s">
        <v>1001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2:23" x14ac:dyDescent="0.2">
      <c r="B20" t="s">
        <v>3749</v>
      </c>
    </row>
    <row r="21" spans="2:23" x14ac:dyDescent="0.2">
      <c r="B21" t="s">
        <v>3750</v>
      </c>
    </row>
    <row r="22" spans="2:23" x14ac:dyDescent="0.2">
      <c r="B22" t="s">
        <v>3751</v>
      </c>
    </row>
    <row r="24" spans="2:23" x14ac:dyDescent="0.2">
      <c r="B24" s="115">
        <v>1</v>
      </c>
      <c r="C24" s="116" t="str">
        <f t="shared" ref="C24:C48" si="0">CHAR(B24)</f>
        <v>_x0001_</v>
      </c>
      <c r="D24" s="115">
        <v>26</v>
      </c>
      <c r="E24" s="116" t="str">
        <f t="shared" ref="E24:E48" si="1">CHAR(D24)</f>
        <v>_x001A_</v>
      </c>
      <c r="F24" s="115">
        <v>51</v>
      </c>
      <c r="G24" s="116" t="str">
        <f t="shared" ref="G24:G48" si="2">CHAR(F24)</f>
        <v>3</v>
      </c>
      <c r="H24" s="115">
        <v>76</v>
      </c>
      <c r="I24" s="116" t="str">
        <f t="shared" ref="I24:I48" si="3">CHAR(H24)</f>
        <v>L</v>
      </c>
      <c r="J24" s="115">
        <v>101</v>
      </c>
      <c r="K24" s="116" t="str">
        <f t="shared" ref="K24:K48" si="4">CHAR(J24)</f>
        <v>e</v>
      </c>
      <c r="L24" s="115">
        <v>126</v>
      </c>
      <c r="M24" s="116" t="str">
        <f t="shared" ref="M24:M48" si="5">CHAR(L24)</f>
        <v>~</v>
      </c>
      <c r="N24" s="115">
        <v>151</v>
      </c>
      <c r="O24" s="116" t="str">
        <f t="shared" ref="O24:O48" si="6">CHAR(N24)</f>
        <v>—</v>
      </c>
      <c r="P24" s="115">
        <v>176</v>
      </c>
      <c r="Q24" s="116" t="str">
        <f t="shared" ref="Q24:Q48" si="7">CHAR(P24)</f>
        <v>°</v>
      </c>
      <c r="R24" s="115">
        <v>201</v>
      </c>
      <c r="S24" s="116" t="str">
        <f t="shared" ref="S24:S48" si="8">CHAR(R24)</f>
        <v>É</v>
      </c>
      <c r="T24" s="115">
        <v>226</v>
      </c>
      <c r="U24" s="116" t="str">
        <f t="shared" ref="U24:U48" si="9">CHAR(T24)</f>
        <v>â</v>
      </c>
      <c r="V24" s="117">
        <v>251</v>
      </c>
      <c r="W24" s="118" t="str">
        <f>CHAR(V24)</f>
        <v>û</v>
      </c>
    </row>
    <row r="25" spans="2:23" x14ac:dyDescent="0.2">
      <c r="B25" s="119">
        <v>2</v>
      </c>
      <c r="C25" s="120" t="str">
        <f t="shared" si="0"/>
        <v>_x0002_</v>
      </c>
      <c r="D25" s="119">
        <v>27</v>
      </c>
      <c r="E25" s="120" t="str">
        <f t="shared" si="1"/>
        <v>_x001B_</v>
      </c>
      <c r="F25" s="119">
        <v>52</v>
      </c>
      <c r="G25" s="120" t="str">
        <f t="shared" si="2"/>
        <v>4</v>
      </c>
      <c r="H25" s="119">
        <v>77</v>
      </c>
      <c r="I25" s="120" t="str">
        <f t="shared" si="3"/>
        <v>M</v>
      </c>
      <c r="J25" s="119">
        <v>102</v>
      </c>
      <c r="K25" s="120" t="str">
        <f t="shared" si="4"/>
        <v>f</v>
      </c>
      <c r="L25" s="119">
        <v>127</v>
      </c>
      <c r="M25" s="120" t="str">
        <f t="shared" si="5"/>
        <v></v>
      </c>
      <c r="N25" s="119">
        <v>152</v>
      </c>
      <c r="O25" s="120" t="str">
        <f t="shared" si="6"/>
        <v>˜</v>
      </c>
      <c r="P25" s="119">
        <v>177</v>
      </c>
      <c r="Q25" s="120" t="str">
        <f t="shared" si="7"/>
        <v>±</v>
      </c>
      <c r="R25" s="119">
        <v>202</v>
      </c>
      <c r="S25" s="120" t="str">
        <f t="shared" si="8"/>
        <v>Ê</v>
      </c>
      <c r="T25" s="119">
        <v>227</v>
      </c>
      <c r="U25" s="120" t="str">
        <f t="shared" si="9"/>
        <v>ã</v>
      </c>
      <c r="V25" s="121">
        <v>252</v>
      </c>
      <c r="W25" s="122" t="str">
        <f>CHAR(V25)</f>
        <v>ü</v>
      </c>
    </row>
    <row r="26" spans="2:23" x14ac:dyDescent="0.2">
      <c r="B26" s="119">
        <v>3</v>
      </c>
      <c r="C26" s="120" t="str">
        <f t="shared" si="0"/>
        <v>_x0003_</v>
      </c>
      <c r="D26" s="119">
        <v>28</v>
      </c>
      <c r="E26" s="120" t="str">
        <f t="shared" si="1"/>
        <v>_x001C_</v>
      </c>
      <c r="F26" s="119">
        <v>53</v>
      </c>
      <c r="G26" s="120" t="str">
        <f t="shared" si="2"/>
        <v>5</v>
      </c>
      <c r="H26" s="119">
        <v>78</v>
      </c>
      <c r="I26" s="120" t="str">
        <f t="shared" si="3"/>
        <v>N</v>
      </c>
      <c r="J26" s="119">
        <v>103</v>
      </c>
      <c r="K26" s="120" t="str">
        <f t="shared" si="4"/>
        <v>g</v>
      </c>
      <c r="L26" s="119">
        <v>128</v>
      </c>
      <c r="M26" s="120" t="str">
        <f t="shared" si="5"/>
        <v>€</v>
      </c>
      <c r="N26" s="119">
        <v>153</v>
      </c>
      <c r="O26" s="120" t="str">
        <f t="shared" si="6"/>
        <v>™</v>
      </c>
      <c r="P26" s="119">
        <v>178</v>
      </c>
      <c r="Q26" s="120" t="str">
        <f t="shared" si="7"/>
        <v>²</v>
      </c>
      <c r="R26" s="119">
        <v>203</v>
      </c>
      <c r="S26" s="120" t="str">
        <f t="shared" si="8"/>
        <v>Ë</v>
      </c>
      <c r="T26" s="119">
        <v>228</v>
      </c>
      <c r="U26" s="120" t="str">
        <f t="shared" si="9"/>
        <v>ä</v>
      </c>
      <c r="V26" s="121">
        <v>253</v>
      </c>
      <c r="W26" s="122" t="str">
        <f>CHAR(V26)</f>
        <v>ý</v>
      </c>
    </row>
    <row r="27" spans="2:23" x14ac:dyDescent="0.2">
      <c r="B27" s="119">
        <v>4</v>
      </c>
      <c r="C27" s="120" t="str">
        <f t="shared" si="0"/>
        <v>_x0004_</v>
      </c>
      <c r="D27" s="119">
        <v>29</v>
      </c>
      <c r="E27" s="120" t="str">
        <f t="shared" si="1"/>
        <v>_x001D_</v>
      </c>
      <c r="F27" s="119">
        <v>54</v>
      </c>
      <c r="G27" s="120" t="str">
        <f t="shared" si="2"/>
        <v>6</v>
      </c>
      <c r="H27" s="119">
        <v>79</v>
      </c>
      <c r="I27" s="120" t="str">
        <f t="shared" si="3"/>
        <v>O</v>
      </c>
      <c r="J27" s="119">
        <v>104</v>
      </c>
      <c r="K27" s="120" t="str">
        <f t="shared" si="4"/>
        <v>h</v>
      </c>
      <c r="L27" s="119">
        <v>129</v>
      </c>
      <c r="M27" s="120" t="str">
        <f t="shared" si="5"/>
        <v></v>
      </c>
      <c r="N27" s="119">
        <v>154</v>
      </c>
      <c r="O27" s="120" t="str">
        <f t="shared" si="6"/>
        <v>š</v>
      </c>
      <c r="P27" s="119">
        <v>179</v>
      </c>
      <c r="Q27" s="120" t="str">
        <f t="shared" si="7"/>
        <v>³</v>
      </c>
      <c r="R27" s="119">
        <v>204</v>
      </c>
      <c r="S27" s="120" t="str">
        <f t="shared" si="8"/>
        <v>Ì</v>
      </c>
      <c r="T27" s="119">
        <v>229</v>
      </c>
      <c r="U27" s="120" t="str">
        <f t="shared" si="9"/>
        <v>å</v>
      </c>
      <c r="V27" s="121">
        <v>254</v>
      </c>
      <c r="W27" s="122" t="str">
        <f>CHAR(V27)</f>
        <v>þ</v>
      </c>
    </row>
    <row r="28" spans="2:23" x14ac:dyDescent="0.2">
      <c r="B28" s="119">
        <v>5</v>
      </c>
      <c r="C28" s="120" t="str">
        <f t="shared" si="0"/>
        <v>_x0005_</v>
      </c>
      <c r="D28" s="119">
        <v>30</v>
      </c>
      <c r="E28" s="120" t="str">
        <f t="shared" si="1"/>
        <v>_x001E_</v>
      </c>
      <c r="F28" s="119">
        <v>55</v>
      </c>
      <c r="G28" s="120" t="str">
        <f t="shared" si="2"/>
        <v>7</v>
      </c>
      <c r="H28" s="119">
        <v>80</v>
      </c>
      <c r="I28" s="120" t="str">
        <f t="shared" si="3"/>
        <v>P</v>
      </c>
      <c r="J28" s="119">
        <v>105</v>
      </c>
      <c r="K28" s="120" t="str">
        <f t="shared" si="4"/>
        <v>i</v>
      </c>
      <c r="L28" s="119">
        <v>130</v>
      </c>
      <c r="M28" s="120" t="str">
        <f t="shared" si="5"/>
        <v>‚</v>
      </c>
      <c r="N28" s="119">
        <v>155</v>
      </c>
      <c r="O28" s="120" t="str">
        <f t="shared" si="6"/>
        <v>›</v>
      </c>
      <c r="P28" s="119">
        <v>180</v>
      </c>
      <c r="Q28" s="120" t="str">
        <f t="shared" si="7"/>
        <v>´</v>
      </c>
      <c r="R28" s="119">
        <v>205</v>
      </c>
      <c r="S28" s="120" t="str">
        <f t="shared" si="8"/>
        <v>Í</v>
      </c>
      <c r="T28" s="119">
        <v>230</v>
      </c>
      <c r="U28" s="120" t="str">
        <f t="shared" si="9"/>
        <v>æ</v>
      </c>
      <c r="V28" s="123">
        <v>255</v>
      </c>
      <c r="W28" s="124" t="str">
        <f>CHAR(V28)</f>
        <v>ÿ</v>
      </c>
    </row>
    <row r="29" spans="2:23" x14ac:dyDescent="0.2">
      <c r="B29" s="119">
        <v>6</v>
      </c>
      <c r="C29" s="120" t="str">
        <f t="shared" si="0"/>
        <v>_x0006_</v>
      </c>
      <c r="D29" s="119">
        <v>31</v>
      </c>
      <c r="E29" s="120" t="str">
        <f t="shared" si="1"/>
        <v>_x001F_</v>
      </c>
      <c r="F29" s="119">
        <v>56</v>
      </c>
      <c r="G29" s="120" t="str">
        <f t="shared" si="2"/>
        <v>8</v>
      </c>
      <c r="H29" s="119">
        <v>81</v>
      </c>
      <c r="I29" s="120" t="str">
        <f t="shared" si="3"/>
        <v>Q</v>
      </c>
      <c r="J29" s="119">
        <v>106</v>
      </c>
      <c r="K29" s="120" t="str">
        <f t="shared" si="4"/>
        <v>j</v>
      </c>
      <c r="L29" s="119">
        <v>131</v>
      </c>
      <c r="M29" s="120" t="str">
        <f t="shared" si="5"/>
        <v>ƒ</v>
      </c>
      <c r="N29" s="119">
        <v>156</v>
      </c>
      <c r="O29" s="120" t="str">
        <f t="shared" si="6"/>
        <v>œ</v>
      </c>
      <c r="P29" s="119">
        <v>181</v>
      </c>
      <c r="Q29" s="120" t="str">
        <f t="shared" si="7"/>
        <v>µ</v>
      </c>
      <c r="R29" s="119">
        <v>206</v>
      </c>
      <c r="S29" s="120" t="str">
        <f t="shared" si="8"/>
        <v>Î</v>
      </c>
      <c r="T29" s="119">
        <v>231</v>
      </c>
      <c r="U29" s="120" t="str">
        <f t="shared" si="9"/>
        <v>ç</v>
      </c>
    </row>
    <row r="30" spans="2:23" x14ac:dyDescent="0.2">
      <c r="B30" s="119">
        <v>7</v>
      </c>
      <c r="C30" s="120" t="str">
        <f t="shared" si="0"/>
        <v>_x0007_</v>
      </c>
      <c r="D30" s="119">
        <v>32</v>
      </c>
      <c r="E30" s="120" t="str">
        <f t="shared" si="1"/>
        <v xml:space="preserve"> </v>
      </c>
      <c r="F30" s="119">
        <v>57</v>
      </c>
      <c r="G30" s="120" t="str">
        <f t="shared" si="2"/>
        <v>9</v>
      </c>
      <c r="H30" s="119">
        <v>82</v>
      </c>
      <c r="I30" s="120" t="str">
        <f t="shared" si="3"/>
        <v>R</v>
      </c>
      <c r="J30" s="119">
        <v>107</v>
      </c>
      <c r="K30" s="120" t="str">
        <f t="shared" si="4"/>
        <v>k</v>
      </c>
      <c r="L30" s="119">
        <v>132</v>
      </c>
      <c r="M30" s="120" t="str">
        <f t="shared" si="5"/>
        <v>„</v>
      </c>
      <c r="N30" s="119">
        <v>157</v>
      </c>
      <c r="O30" s="120" t="str">
        <f t="shared" si="6"/>
        <v></v>
      </c>
      <c r="P30" s="119">
        <v>182</v>
      </c>
      <c r="Q30" s="120" t="str">
        <f t="shared" si="7"/>
        <v>¶</v>
      </c>
      <c r="R30" s="119">
        <v>207</v>
      </c>
      <c r="S30" s="120" t="str">
        <f t="shared" si="8"/>
        <v>Ï</v>
      </c>
      <c r="T30" s="119">
        <v>232</v>
      </c>
      <c r="U30" s="120" t="str">
        <f t="shared" si="9"/>
        <v>è</v>
      </c>
    </row>
    <row r="31" spans="2:23" x14ac:dyDescent="0.2">
      <c r="B31" s="119">
        <v>8</v>
      </c>
      <c r="C31" s="120" t="str">
        <f t="shared" si="0"/>
        <v>_x0008_</v>
      </c>
      <c r="D31" s="119">
        <v>33</v>
      </c>
      <c r="E31" s="120" t="str">
        <f t="shared" si="1"/>
        <v>!</v>
      </c>
      <c r="F31" s="119">
        <v>58</v>
      </c>
      <c r="G31" s="120" t="str">
        <f t="shared" si="2"/>
        <v>:</v>
      </c>
      <c r="H31" s="119">
        <v>83</v>
      </c>
      <c r="I31" s="120" t="str">
        <f t="shared" si="3"/>
        <v>S</v>
      </c>
      <c r="J31" s="119">
        <v>108</v>
      </c>
      <c r="K31" s="120" t="str">
        <f t="shared" si="4"/>
        <v>l</v>
      </c>
      <c r="L31" s="119">
        <v>133</v>
      </c>
      <c r="M31" s="120" t="str">
        <f t="shared" si="5"/>
        <v>…</v>
      </c>
      <c r="N31" s="119">
        <v>158</v>
      </c>
      <c r="O31" s="120" t="str">
        <f t="shared" si="6"/>
        <v>ž</v>
      </c>
      <c r="P31" s="119">
        <v>183</v>
      </c>
      <c r="Q31" s="120" t="str">
        <f t="shared" si="7"/>
        <v>·</v>
      </c>
      <c r="R31" s="119">
        <v>208</v>
      </c>
      <c r="S31" s="120" t="str">
        <f t="shared" si="8"/>
        <v>Ð</v>
      </c>
      <c r="T31" s="119">
        <v>233</v>
      </c>
      <c r="U31" s="120" t="str">
        <f t="shared" si="9"/>
        <v>é</v>
      </c>
    </row>
    <row r="32" spans="2:23" x14ac:dyDescent="0.2">
      <c r="B32" s="119">
        <v>9</v>
      </c>
      <c r="C32" s="120" t="str">
        <f t="shared" si="0"/>
        <v xml:space="preserve">	</v>
      </c>
      <c r="D32" s="119">
        <v>34</v>
      </c>
      <c r="E32" s="120" t="str">
        <f t="shared" si="1"/>
        <v>"</v>
      </c>
      <c r="F32" s="119">
        <v>59</v>
      </c>
      <c r="G32" s="120" t="str">
        <f t="shared" si="2"/>
        <v>;</v>
      </c>
      <c r="H32" s="119">
        <v>84</v>
      </c>
      <c r="I32" s="120" t="str">
        <f t="shared" si="3"/>
        <v>T</v>
      </c>
      <c r="J32" s="119">
        <v>109</v>
      </c>
      <c r="K32" s="120" t="str">
        <f t="shared" si="4"/>
        <v>m</v>
      </c>
      <c r="L32" s="119">
        <v>134</v>
      </c>
      <c r="M32" s="120" t="str">
        <f t="shared" si="5"/>
        <v>†</v>
      </c>
      <c r="N32" s="119">
        <v>159</v>
      </c>
      <c r="O32" s="120" t="str">
        <f t="shared" si="6"/>
        <v>Ÿ</v>
      </c>
      <c r="P32" s="119">
        <v>184</v>
      </c>
      <c r="Q32" s="120" t="str">
        <f t="shared" si="7"/>
        <v>¸</v>
      </c>
      <c r="R32" s="119">
        <v>209</v>
      </c>
      <c r="S32" s="120" t="str">
        <f t="shared" si="8"/>
        <v>Ñ</v>
      </c>
      <c r="T32" s="119">
        <v>234</v>
      </c>
      <c r="U32" s="120" t="str">
        <f t="shared" si="9"/>
        <v>ê</v>
      </c>
    </row>
    <row r="33" spans="2:21" x14ac:dyDescent="0.2">
      <c r="B33" s="119">
        <v>10</v>
      </c>
      <c r="C33" s="120" t="str">
        <f t="shared" si="0"/>
        <v xml:space="preserve">
</v>
      </c>
      <c r="D33" s="119">
        <v>35</v>
      </c>
      <c r="E33" s="120" t="str">
        <f t="shared" si="1"/>
        <v>#</v>
      </c>
      <c r="F33" s="119">
        <v>60</v>
      </c>
      <c r="G33" s="120" t="str">
        <f t="shared" si="2"/>
        <v>&lt;</v>
      </c>
      <c r="H33" s="119">
        <v>85</v>
      </c>
      <c r="I33" s="120" t="str">
        <f t="shared" si="3"/>
        <v>U</v>
      </c>
      <c r="J33" s="119">
        <v>110</v>
      </c>
      <c r="K33" s="120" t="str">
        <f t="shared" si="4"/>
        <v>n</v>
      </c>
      <c r="L33" s="119">
        <v>135</v>
      </c>
      <c r="M33" s="120" t="str">
        <f t="shared" si="5"/>
        <v>‡</v>
      </c>
      <c r="N33" s="119">
        <v>160</v>
      </c>
      <c r="O33" s="120" t="str">
        <f t="shared" si="6"/>
        <v> </v>
      </c>
      <c r="P33" s="119">
        <v>185</v>
      </c>
      <c r="Q33" s="120" t="str">
        <f t="shared" si="7"/>
        <v>¹</v>
      </c>
      <c r="R33" s="119">
        <v>210</v>
      </c>
      <c r="S33" s="120" t="str">
        <f t="shared" si="8"/>
        <v>Ò</v>
      </c>
      <c r="T33" s="119">
        <v>235</v>
      </c>
      <c r="U33" s="120" t="str">
        <f t="shared" si="9"/>
        <v>ë</v>
      </c>
    </row>
    <row r="34" spans="2:21" x14ac:dyDescent="0.2">
      <c r="B34" s="119">
        <v>11</v>
      </c>
      <c r="C34" s="120" t="str">
        <f t="shared" si="0"/>
        <v>_x000B_</v>
      </c>
      <c r="D34" s="119">
        <v>36</v>
      </c>
      <c r="E34" s="120" t="str">
        <f t="shared" si="1"/>
        <v>$</v>
      </c>
      <c r="F34" s="119">
        <v>61</v>
      </c>
      <c r="G34" s="120" t="str">
        <f t="shared" si="2"/>
        <v>=</v>
      </c>
      <c r="H34" s="119">
        <v>86</v>
      </c>
      <c r="I34" s="120" t="str">
        <f t="shared" si="3"/>
        <v>V</v>
      </c>
      <c r="J34" s="119">
        <v>111</v>
      </c>
      <c r="K34" s="120" t="str">
        <f t="shared" si="4"/>
        <v>o</v>
      </c>
      <c r="L34" s="119">
        <v>136</v>
      </c>
      <c r="M34" s="120" t="str">
        <f t="shared" si="5"/>
        <v>ˆ</v>
      </c>
      <c r="N34" s="119">
        <v>161</v>
      </c>
      <c r="O34" s="120" t="str">
        <f t="shared" si="6"/>
        <v>¡</v>
      </c>
      <c r="P34" s="119">
        <v>186</v>
      </c>
      <c r="Q34" s="120" t="str">
        <f t="shared" si="7"/>
        <v>º</v>
      </c>
      <c r="R34" s="119">
        <v>211</v>
      </c>
      <c r="S34" s="120" t="str">
        <f t="shared" si="8"/>
        <v>Ó</v>
      </c>
      <c r="T34" s="119">
        <v>236</v>
      </c>
      <c r="U34" s="120" t="str">
        <f t="shared" si="9"/>
        <v>ì</v>
      </c>
    </row>
    <row r="35" spans="2:21" x14ac:dyDescent="0.2">
      <c r="B35" s="119">
        <v>12</v>
      </c>
      <c r="C35" s="120" t="str">
        <f t="shared" si="0"/>
        <v>_x000C_</v>
      </c>
      <c r="D35" s="119">
        <v>37</v>
      </c>
      <c r="E35" s="120" t="str">
        <f t="shared" si="1"/>
        <v>%</v>
      </c>
      <c r="F35" s="119">
        <v>62</v>
      </c>
      <c r="G35" s="120" t="str">
        <f t="shared" si="2"/>
        <v>&gt;</v>
      </c>
      <c r="H35" s="119">
        <v>87</v>
      </c>
      <c r="I35" s="120" t="str">
        <f t="shared" si="3"/>
        <v>W</v>
      </c>
      <c r="J35" s="119">
        <v>112</v>
      </c>
      <c r="K35" s="120" t="str">
        <f t="shared" si="4"/>
        <v>p</v>
      </c>
      <c r="L35" s="119">
        <v>137</v>
      </c>
      <c r="M35" s="120" t="str">
        <f t="shared" si="5"/>
        <v>‰</v>
      </c>
      <c r="N35" s="119">
        <v>162</v>
      </c>
      <c r="O35" s="120" t="str">
        <f t="shared" si="6"/>
        <v>¢</v>
      </c>
      <c r="P35" s="119">
        <v>187</v>
      </c>
      <c r="Q35" s="120" t="str">
        <f t="shared" si="7"/>
        <v>»</v>
      </c>
      <c r="R35" s="119">
        <v>212</v>
      </c>
      <c r="S35" s="120" t="str">
        <f t="shared" si="8"/>
        <v>Ô</v>
      </c>
      <c r="T35" s="119">
        <v>237</v>
      </c>
      <c r="U35" s="120" t="str">
        <f t="shared" si="9"/>
        <v>í</v>
      </c>
    </row>
    <row r="36" spans="2:21" x14ac:dyDescent="0.2">
      <c r="B36" s="119">
        <v>13</v>
      </c>
      <c r="C36" s="120" t="str">
        <f t="shared" si="0"/>
        <v>_x000D_</v>
      </c>
      <c r="D36" s="119">
        <v>38</v>
      </c>
      <c r="E36" s="120" t="str">
        <f t="shared" si="1"/>
        <v>&amp;</v>
      </c>
      <c r="F36" s="119">
        <v>63</v>
      </c>
      <c r="G36" s="120" t="str">
        <f t="shared" si="2"/>
        <v>?</v>
      </c>
      <c r="H36" s="119">
        <v>88</v>
      </c>
      <c r="I36" s="120" t="str">
        <f t="shared" si="3"/>
        <v>X</v>
      </c>
      <c r="J36" s="119">
        <v>113</v>
      </c>
      <c r="K36" s="120" t="str">
        <f t="shared" si="4"/>
        <v>q</v>
      </c>
      <c r="L36" s="119">
        <v>138</v>
      </c>
      <c r="M36" s="120" t="str">
        <f t="shared" si="5"/>
        <v>Š</v>
      </c>
      <c r="N36" s="119">
        <v>163</v>
      </c>
      <c r="O36" s="120" t="str">
        <f t="shared" si="6"/>
        <v>£</v>
      </c>
      <c r="P36" s="119">
        <v>188</v>
      </c>
      <c r="Q36" s="120" t="str">
        <f t="shared" si="7"/>
        <v>¼</v>
      </c>
      <c r="R36" s="119">
        <v>213</v>
      </c>
      <c r="S36" s="120" t="str">
        <f t="shared" si="8"/>
        <v>Õ</v>
      </c>
      <c r="T36" s="119">
        <v>238</v>
      </c>
      <c r="U36" s="120" t="str">
        <f t="shared" si="9"/>
        <v>î</v>
      </c>
    </row>
    <row r="37" spans="2:21" x14ac:dyDescent="0.2">
      <c r="B37" s="119">
        <v>14</v>
      </c>
      <c r="C37" s="120" t="str">
        <f t="shared" si="0"/>
        <v>_x000E_</v>
      </c>
      <c r="D37" s="119">
        <v>39</v>
      </c>
      <c r="E37" s="120" t="str">
        <f t="shared" si="1"/>
        <v>'</v>
      </c>
      <c r="F37" s="119">
        <v>64</v>
      </c>
      <c r="G37" s="120" t="str">
        <f t="shared" si="2"/>
        <v>@</v>
      </c>
      <c r="H37" s="119">
        <v>89</v>
      </c>
      <c r="I37" s="120" t="str">
        <f t="shared" si="3"/>
        <v>Y</v>
      </c>
      <c r="J37" s="119">
        <v>114</v>
      </c>
      <c r="K37" s="120" t="str">
        <f t="shared" si="4"/>
        <v>r</v>
      </c>
      <c r="L37" s="119">
        <v>139</v>
      </c>
      <c r="M37" s="120" t="str">
        <f t="shared" si="5"/>
        <v>‹</v>
      </c>
      <c r="N37" s="119">
        <v>164</v>
      </c>
      <c r="O37" s="120" t="str">
        <f t="shared" si="6"/>
        <v>¤</v>
      </c>
      <c r="P37" s="119">
        <v>189</v>
      </c>
      <c r="Q37" s="120" t="str">
        <f t="shared" si="7"/>
        <v>½</v>
      </c>
      <c r="R37" s="119">
        <v>214</v>
      </c>
      <c r="S37" s="120" t="str">
        <f t="shared" si="8"/>
        <v>Ö</v>
      </c>
      <c r="T37" s="119">
        <v>239</v>
      </c>
      <c r="U37" s="120" t="str">
        <f t="shared" si="9"/>
        <v>ï</v>
      </c>
    </row>
    <row r="38" spans="2:21" x14ac:dyDescent="0.2">
      <c r="B38" s="119">
        <v>15</v>
      </c>
      <c r="C38" s="120" t="str">
        <f t="shared" si="0"/>
        <v>_x000F_</v>
      </c>
      <c r="D38" s="119">
        <v>40</v>
      </c>
      <c r="E38" s="120" t="str">
        <f t="shared" si="1"/>
        <v>(</v>
      </c>
      <c r="F38" s="119">
        <v>65</v>
      </c>
      <c r="G38" s="120" t="str">
        <f t="shared" si="2"/>
        <v>A</v>
      </c>
      <c r="H38" s="119">
        <v>90</v>
      </c>
      <c r="I38" s="120" t="str">
        <f t="shared" si="3"/>
        <v>Z</v>
      </c>
      <c r="J38" s="119">
        <v>115</v>
      </c>
      <c r="K38" s="120" t="str">
        <f t="shared" si="4"/>
        <v>s</v>
      </c>
      <c r="L38" s="119">
        <v>140</v>
      </c>
      <c r="M38" s="120" t="str">
        <f t="shared" si="5"/>
        <v>Œ</v>
      </c>
      <c r="N38" s="119">
        <v>165</v>
      </c>
      <c r="O38" s="120" t="str">
        <f t="shared" si="6"/>
        <v>¥</v>
      </c>
      <c r="P38" s="119">
        <v>190</v>
      </c>
      <c r="Q38" s="120" t="str">
        <f t="shared" si="7"/>
        <v>¾</v>
      </c>
      <c r="R38" s="119">
        <v>215</v>
      </c>
      <c r="S38" s="120" t="str">
        <f t="shared" si="8"/>
        <v>×</v>
      </c>
      <c r="T38" s="119">
        <v>240</v>
      </c>
      <c r="U38" s="120" t="str">
        <f t="shared" si="9"/>
        <v>ð</v>
      </c>
    </row>
    <row r="39" spans="2:21" x14ac:dyDescent="0.2">
      <c r="B39" s="119">
        <v>16</v>
      </c>
      <c r="C39" s="120" t="str">
        <f t="shared" si="0"/>
        <v>_x0010_</v>
      </c>
      <c r="D39" s="119">
        <v>41</v>
      </c>
      <c r="E39" s="120" t="str">
        <f t="shared" si="1"/>
        <v>)</v>
      </c>
      <c r="F39" s="119">
        <v>66</v>
      </c>
      <c r="G39" s="120" t="str">
        <f t="shared" si="2"/>
        <v>B</v>
      </c>
      <c r="H39" s="119">
        <v>91</v>
      </c>
      <c r="I39" s="120" t="str">
        <f t="shared" si="3"/>
        <v>[</v>
      </c>
      <c r="J39" s="119">
        <v>116</v>
      </c>
      <c r="K39" s="120" t="str">
        <f t="shared" si="4"/>
        <v>t</v>
      </c>
      <c r="L39" s="119">
        <v>141</v>
      </c>
      <c r="M39" s="120" t="str">
        <f t="shared" si="5"/>
        <v></v>
      </c>
      <c r="N39" s="119">
        <v>166</v>
      </c>
      <c r="O39" s="120" t="str">
        <f t="shared" si="6"/>
        <v>¦</v>
      </c>
      <c r="P39" s="119">
        <v>191</v>
      </c>
      <c r="Q39" s="120" t="str">
        <f t="shared" si="7"/>
        <v>¿</v>
      </c>
      <c r="R39" s="119">
        <v>216</v>
      </c>
      <c r="S39" s="120" t="str">
        <f t="shared" si="8"/>
        <v>Ø</v>
      </c>
      <c r="T39" s="119">
        <v>241</v>
      </c>
      <c r="U39" s="120" t="str">
        <f t="shared" si="9"/>
        <v>ñ</v>
      </c>
    </row>
    <row r="40" spans="2:21" x14ac:dyDescent="0.2">
      <c r="B40" s="119">
        <v>17</v>
      </c>
      <c r="C40" s="120" t="str">
        <f t="shared" si="0"/>
        <v>_x0011_</v>
      </c>
      <c r="D40" s="119">
        <v>42</v>
      </c>
      <c r="E40" s="120" t="str">
        <f t="shared" si="1"/>
        <v>*</v>
      </c>
      <c r="F40" s="119">
        <v>67</v>
      </c>
      <c r="G40" s="120" t="str">
        <f t="shared" si="2"/>
        <v>C</v>
      </c>
      <c r="H40" s="119">
        <v>92</v>
      </c>
      <c r="I40" s="120" t="str">
        <f t="shared" si="3"/>
        <v>\</v>
      </c>
      <c r="J40" s="119">
        <v>117</v>
      </c>
      <c r="K40" s="120" t="str">
        <f t="shared" si="4"/>
        <v>u</v>
      </c>
      <c r="L40" s="119">
        <v>142</v>
      </c>
      <c r="M40" s="120" t="str">
        <f t="shared" si="5"/>
        <v>Ž</v>
      </c>
      <c r="N40" s="119">
        <v>167</v>
      </c>
      <c r="O40" s="120" t="str">
        <f t="shared" si="6"/>
        <v>§</v>
      </c>
      <c r="P40" s="119">
        <v>192</v>
      </c>
      <c r="Q40" s="120" t="str">
        <f t="shared" si="7"/>
        <v>À</v>
      </c>
      <c r="R40" s="119">
        <v>217</v>
      </c>
      <c r="S40" s="120" t="str">
        <f t="shared" si="8"/>
        <v>Ù</v>
      </c>
      <c r="T40" s="119">
        <v>242</v>
      </c>
      <c r="U40" s="120" t="str">
        <f t="shared" si="9"/>
        <v>ò</v>
      </c>
    </row>
    <row r="41" spans="2:21" x14ac:dyDescent="0.2">
      <c r="B41" s="119">
        <v>18</v>
      </c>
      <c r="C41" s="120" t="str">
        <f t="shared" si="0"/>
        <v>_x0012_</v>
      </c>
      <c r="D41" s="119">
        <v>43</v>
      </c>
      <c r="E41" s="120" t="str">
        <f t="shared" si="1"/>
        <v>+</v>
      </c>
      <c r="F41" s="119">
        <v>68</v>
      </c>
      <c r="G41" s="120" t="str">
        <f t="shared" si="2"/>
        <v>D</v>
      </c>
      <c r="H41" s="119">
        <v>93</v>
      </c>
      <c r="I41" s="120" t="str">
        <f t="shared" si="3"/>
        <v>]</v>
      </c>
      <c r="J41" s="119">
        <v>118</v>
      </c>
      <c r="K41" s="120" t="str">
        <f t="shared" si="4"/>
        <v>v</v>
      </c>
      <c r="L41" s="119">
        <v>143</v>
      </c>
      <c r="M41" s="120" t="str">
        <f t="shared" si="5"/>
        <v></v>
      </c>
      <c r="N41" s="119">
        <v>168</v>
      </c>
      <c r="O41" s="120" t="str">
        <f t="shared" si="6"/>
        <v>¨</v>
      </c>
      <c r="P41" s="119">
        <v>193</v>
      </c>
      <c r="Q41" s="120" t="str">
        <f t="shared" si="7"/>
        <v>Á</v>
      </c>
      <c r="R41" s="119">
        <v>218</v>
      </c>
      <c r="S41" s="120" t="str">
        <f t="shared" si="8"/>
        <v>Ú</v>
      </c>
      <c r="T41" s="119">
        <v>243</v>
      </c>
      <c r="U41" s="120" t="str">
        <f t="shared" si="9"/>
        <v>ó</v>
      </c>
    </row>
    <row r="42" spans="2:21" x14ac:dyDescent="0.2">
      <c r="B42" s="119">
        <v>19</v>
      </c>
      <c r="C42" s="120" t="str">
        <f t="shared" si="0"/>
        <v>_x0013_</v>
      </c>
      <c r="D42" s="119">
        <v>44</v>
      </c>
      <c r="E42" s="120" t="str">
        <f t="shared" si="1"/>
        <v>,</v>
      </c>
      <c r="F42" s="119">
        <v>69</v>
      </c>
      <c r="G42" s="120" t="str">
        <f t="shared" si="2"/>
        <v>E</v>
      </c>
      <c r="H42" s="119">
        <v>94</v>
      </c>
      <c r="I42" s="120" t="str">
        <f t="shared" si="3"/>
        <v>^</v>
      </c>
      <c r="J42" s="119">
        <v>119</v>
      </c>
      <c r="K42" s="120" t="str">
        <f t="shared" si="4"/>
        <v>w</v>
      </c>
      <c r="L42" s="119">
        <v>144</v>
      </c>
      <c r="M42" s="120" t="str">
        <f t="shared" si="5"/>
        <v></v>
      </c>
      <c r="N42" s="119">
        <v>169</v>
      </c>
      <c r="O42" s="120" t="str">
        <f t="shared" si="6"/>
        <v>©</v>
      </c>
      <c r="P42" s="119">
        <v>194</v>
      </c>
      <c r="Q42" s="120" t="str">
        <f t="shared" si="7"/>
        <v>Â</v>
      </c>
      <c r="R42" s="119">
        <v>219</v>
      </c>
      <c r="S42" s="120" t="str">
        <f t="shared" si="8"/>
        <v>Û</v>
      </c>
      <c r="T42" s="119">
        <v>244</v>
      </c>
      <c r="U42" s="120" t="str">
        <f t="shared" si="9"/>
        <v>ô</v>
      </c>
    </row>
    <row r="43" spans="2:21" x14ac:dyDescent="0.2">
      <c r="B43" s="119">
        <v>20</v>
      </c>
      <c r="C43" s="120" t="str">
        <f t="shared" si="0"/>
        <v>_x0014_</v>
      </c>
      <c r="D43" s="119">
        <v>45</v>
      </c>
      <c r="E43" s="120" t="str">
        <f t="shared" si="1"/>
        <v>-</v>
      </c>
      <c r="F43" s="119">
        <v>70</v>
      </c>
      <c r="G43" s="120" t="str">
        <f t="shared" si="2"/>
        <v>F</v>
      </c>
      <c r="H43" s="119">
        <v>95</v>
      </c>
      <c r="I43" s="120" t="str">
        <f t="shared" si="3"/>
        <v>_</v>
      </c>
      <c r="J43" s="119">
        <v>120</v>
      </c>
      <c r="K43" s="120" t="str">
        <f t="shared" si="4"/>
        <v>x</v>
      </c>
      <c r="L43" s="119">
        <v>145</v>
      </c>
      <c r="M43" s="120" t="str">
        <f t="shared" si="5"/>
        <v>‘</v>
      </c>
      <c r="N43" s="119">
        <v>170</v>
      </c>
      <c r="O43" s="120" t="str">
        <f t="shared" si="6"/>
        <v>ª</v>
      </c>
      <c r="P43" s="119">
        <v>195</v>
      </c>
      <c r="Q43" s="120" t="str">
        <f t="shared" si="7"/>
        <v>Ã</v>
      </c>
      <c r="R43" s="119">
        <v>220</v>
      </c>
      <c r="S43" s="120" t="str">
        <f t="shared" si="8"/>
        <v>Ü</v>
      </c>
      <c r="T43" s="119">
        <v>245</v>
      </c>
      <c r="U43" s="120" t="str">
        <f t="shared" si="9"/>
        <v>õ</v>
      </c>
    </row>
    <row r="44" spans="2:21" x14ac:dyDescent="0.2">
      <c r="B44" s="119">
        <v>21</v>
      </c>
      <c r="C44" s="120" t="str">
        <f t="shared" si="0"/>
        <v>_x0015_</v>
      </c>
      <c r="D44" s="119">
        <v>46</v>
      </c>
      <c r="E44" s="120" t="str">
        <f t="shared" si="1"/>
        <v>.</v>
      </c>
      <c r="F44" s="119">
        <v>71</v>
      </c>
      <c r="G44" s="120" t="str">
        <f t="shared" si="2"/>
        <v>G</v>
      </c>
      <c r="H44" s="119">
        <v>96</v>
      </c>
      <c r="I44" s="120" t="str">
        <f t="shared" si="3"/>
        <v>`</v>
      </c>
      <c r="J44" s="119">
        <v>121</v>
      </c>
      <c r="K44" s="120" t="str">
        <f t="shared" si="4"/>
        <v>y</v>
      </c>
      <c r="L44" s="119">
        <v>146</v>
      </c>
      <c r="M44" s="120" t="str">
        <f t="shared" si="5"/>
        <v>’</v>
      </c>
      <c r="N44" s="119">
        <v>171</v>
      </c>
      <c r="O44" s="120" t="str">
        <f t="shared" si="6"/>
        <v>«</v>
      </c>
      <c r="P44" s="119">
        <v>196</v>
      </c>
      <c r="Q44" s="120" t="str">
        <f t="shared" si="7"/>
        <v>Ä</v>
      </c>
      <c r="R44" s="119">
        <v>221</v>
      </c>
      <c r="S44" s="120" t="str">
        <f t="shared" si="8"/>
        <v>Ý</v>
      </c>
      <c r="T44" s="119">
        <v>246</v>
      </c>
      <c r="U44" s="120" t="str">
        <f t="shared" si="9"/>
        <v>ö</v>
      </c>
    </row>
    <row r="45" spans="2:21" x14ac:dyDescent="0.2">
      <c r="B45" s="119">
        <v>22</v>
      </c>
      <c r="C45" s="120" t="str">
        <f t="shared" si="0"/>
        <v>_x0016_</v>
      </c>
      <c r="D45" s="119">
        <v>47</v>
      </c>
      <c r="E45" s="120" t="str">
        <f t="shared" si="1"/>
        <v>/</v>
      </c>
      <c r="F45" s="119">
        <v>72</v>
      </c>
      <c r="G45" s="120" t="str">
        <f t="shared" si="2"/>
        <v>H</v>
      </c>
      <c r="H45" s="119">
        <v>97</v>
      </c>
      <c r="I45" s="120" t="str">
        <f t="shared" si="3"/>
        <v>a</v>
      </c>
      <c r="J45" s="119">
        <v>122</v>
      </c>
      <c r="K45" s="120" t="str">
        <f t="shared" si="4"/>
        <v>z</v>
      </c>
      <c r="L45" s="119">
        <v>147</v>
      </c>
      <c r="M45" s="120" t="str">
        <f t="shared" si="5"/>
        <v>“</v>
      </c>
      <c r="N45" s="119">
        <v>172</v>
      </c>
      <c r="O45" s="120" t="str">
        <f t="shared" si="6"/>
        <v>¬</v>
      </c>
      <c r="P45" s="119">
        <v>197</v>
      </c>
      <c r="Q45" s="120" t="str">
        <f t="shared" si="7"/>
        <v>Å</v>
      </c>
      <c r="R45" s="119">
        <v>222</v>
      </c>
      <c r="S45" s="120" t="str">
        <f t="shared" si="8"/>
        <v>Þ</v>
      </c>
      <c r="T45" s="119">
        <v>247</v>
      </c>
      <c r="U45" s="120" t="str">
        <f t="shared" si="9"/>
        <v>÷</v>
      </c>
    </row>
    <row r="46" spans="2:21" x14ac:dyDescent="0.2">
      <c r="B46" s="119">
        <v>23</v>
      </c>
      <c r="C46" s="120" t="str">
        <f t="shared" si="0"/>
        <v>_x0017_</v>
      </c>
      <c r="D46" s="119">
        <v>48</v>
      </c>
      <c r="E46" s="120" t="str">
        <f t="shared" si="1"/>
        <v>0</v>
      </c>
      <c r="F46" s="119">
        <v>73</v>
      </c>
      <c r="G46" s="120" t="str">
        <f t="shared" si="2"/>
        <v>I</v>
      </c>
      <c r="H46" s="119">
        <v>98</v>
      </c>
      <c r="I46" s="120" t="str">
        <f t="shared" si="3"/>
        <v>b</v>
      </c>
      <c r="J46" s="119">
        <v>123</v>
      </c>
      <c r="K46" s="120" t="str">
        <f t="shared" si="4"/>
        <v>{</v>
      </c>
      <c r="L46" s="119">
        <v>148</v>
      </c>
      <c r="M46" s="120" t="str">
        <f t="shared" si="5"/>
        <v>”</v>
      </c>
      <c r="N46" s="119">
        <v>173</v>
      </c>
      <c r="O46" s="120" t="str">
        <f t="shared" si="6"/>
        <v>­</v>
      </c>
      <c r="P46" s="119">
        <v>198</v>
      </c>
      <c r="Q46" s="120" t="str">
        <f t="shared" si="7"/>
        <v>Æ</v>
      </c>
      <c r="R46" s="119">
        <v>223</v>
      </c>
      <c r="S46" s="120" t="str">
        <f t="shared" si="8"/>
        <v>ß</v>
      </c>
      <c r="T46" s="119">
        <v>248</v>
      </c>
      <c r="U46" s="120" t="str">
        <f t="shared" si="9"/>
        <v>ø</v>
      </c>
    </row>
    <row r="47" spans="2:21" x14ac:dyDescent="0.2">
      <c r="B47" s="119">
        <v>24</v>
      </c>
      <c r="C47" s="120" t="str">
        <f t="shared" si="0"/>
        <v>_x0018_</v>
      </c>
      <c r="D47" s="119">
        <v>49</v>
      </c>
      <c r="E47" s="120" t="str">
        <f t="shared" si="1"/>
        <v>1</v>
      </c>
      <c r="F47" s="119">
        <v>74</v>
      </c>
      <c r="G47" s="120" t="str">
        <f t="shared" si="2"/>
        <v>J</v>
      </c>
      <c r="H47" s="119">
        <v>99</v>
      </c>
      <c r="I47" s="120" t="str">
        <f t="shared" si="3"/>
        <v>c</v>
      </c>
      <c r="J47" s="119">
        <v>124</v>
      </c>
      <c r="K47" s="120" t="str">
        <f t="shared" si="4"/>
        <v>|</v>
      </c>
      <c r="L47" s="119">
        <v>149</v>
      </c>
      <c r="M47" s="120" t="str">
        <f t="shared" si="5"/>
        <v>•</v>
      </c>
      <c r="N47" s="119">
        <v>174</v>
      </c>
      <c r="O47" s="120" t="str">
        <f t="shared" si="6"/>
        <v>®</v>
      </c>
      <c r="P47" s="119">
        <v>199</v>
      </c>
      <c r="Q47" s="120" t="str">
        <f t="shared" si="7"/>
        <v>Ç</v>
      </c>
      <c r="R47" s="119">
        <v>224</v>
      </c>
      <c r="S47" s="120" t="str">
        <f t="shared" si="8"/>
        <v>à</v>
      </c>
      <c r="T47" s="119">
        <v>249</v>
      </c>
      <c r="U47" s="120" t="str">
        <f t="shared" si="9"/>
        <v>ù</v>
      </c>
    </row>
    <row r="48" spans="2:21" x14ac:dyDescent="0.2">
      <c r="B48" s="22">
        <v>25</v>
      </c>
      <c r="C48" s="124" t="str">
        <f t="shared" si="0"/>
        <v>_x0019_</v>
      </c>
      <c r="D48" s="22">
        <v>50</v>
      </c>
      <c r="E48" s="124" t="str">
        <f t="shared" si="1"/>
        <v>2</v>
      </c>
      <c r="F48" s="22">
        <v>75</v>
      </c>
      <c r="G48" s="124" t="str">
        <f t="shared" si="2"/>
        <v>K</v>
      </c>
      <c r="H48" s="22">
        <v>100</v>
      </c>
      <c r="I48" s="124" t="str">
        <f t="shared" si="3"/>
        <v>d</v>
      </c>
      <c r="J48" s="22">
        <v>125</v>
      </c>
      <c r="K48" s="124" t="str">
        <f t="shared" si="4"/>
        <v>}</v>
      </c>
      <c r="L48" s="22">
        <v>150</v>
      </c>
      <c r="M48" s="124" t="str">
        <f t="shared" si="5"/>
        <v>–</v>
      </c>
      <c r="N48" s="22">
        <v>175</v>
      </c>
      <c r="O48" s="124" t="str">
        <f t="shared" si="6"/>
        <v>¯</v>
      </c>
      <c r="P48" s="22">
        <v>200</v>
      </c>
      <c r="Q48" s="124" t="str">
        <f t="shared" si="7"/>
        <v>È</v>
      </c>
      <c r="R48" s="22">
        <v>225</v>
      </c>
      <c r="S48" s="124" t="str">
        <f t="shared" si="8"/>
        <v>á</v>
      </c>
      <c r="T48" s="22">
        <v>250</v>
      </c>
      <c r="U48" s="124" t="str">
        <f t="shared" si="9"/>
        <v>ú</v>
      </c>
    </row>
    <row r="49" spans="2:23" x14ac:dyDescent="0.2">
      <c r="U49" s="13"/>
    </row>
    <row r="50" spans="2:23" ht="13.5" thickBot="1" x14ac:dyDescent="0.25">
      <c r="B50" s="2" t="s">
        <v>2659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2:23" x14ac:dyDescent="0.2">
      <c r="B51" t="s">
        <v>3752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59"/>
  <sheetViews>
    <sheetView showGridLines="0" workbookViewId="0">
      <pane ySplit="1" topLeftCell="A24" activePane="bottomLeft" state="frozen"/>
      <selection activeCell="A3" sqref="A3"/>
      <selection pane="bottomLeft" activeCell="D63" sqref="D63"/>
    </sheetView>
  </sheetViews>
  <sheetFormatPr defaultRowHeight="12.75" x14ac:dyDescent="0.2"/>
  <cols>
    <col min="1" max="1" width="2.7109375" customWidth="1"/>
    <col min="3" max="3" width="36.42578125" customWidth="1"/>
    <col min="4" max="4" width="12.7109375" customWidth="1"/>
    <col min="6" max="6" width="14" customWidth="1"/>
    <col min="7" max="7" width="6.85546875" customWidth="1"/>
  </cols>
  <sheetData>
    <row r="1" spans="1:8" ht="45" customHeight="1" x14ac:dyDescent="0.25">
      <c r="A1" s="476"/>
      <c r="B1" s="476"/>
      <c r="C1" s="476"/>
      <c r="D1" s="476"/>
      <c r="E1" s="476"/>
      <c r="F1" s="476"/>
      <c r="G1" s="476"/>
      <c r="H1" s="477"/>
    </row>
    <row r="3" spans="1:8" x14ac:dyDescent="0.2">
      <c r="C3" s="79" t="s">
        <v>1490</v>
      </c>
      <c r="D3" s="87">
        <v>0.17499999999999999</v>
      </c>
    </row>
    <row r="4" spans="1:8" x14ac:dyDescent="0.2">
      <c r="C4" s="88"/>
    </row>
    <row r="5" spans="1:8" x14ac:dyDescent="0.2">
      <c r="C5" s="79" t="s">
        <v>1491</v>
      </c>
      <c r="D5" s="89" t="str">
        <f ca="1">CELL("address",D3)</f>
        <v>$D$3</v>
      </c>
      <c r="E5" s="90" t="s">
        <v>1492</v>
      </c>
    </row>
    <row r="6" spans="1:8" x14ac:dyDescent="0.2">
      <c r="C6" s="79" t="s">
        <v>1493</v>
      </c>
      <c r="D6" s="89">
        <f ca="1">CELL("col",D3)</f>
        <v>4</v>
      </c>
      <c r="E6" s="90" t="s">
        <v>1494</v>
      </c>
    </row>
    <row r="7" spans="1:8" x14ac:dyDescent="0.2">
      <c r="C7" s="79" t="s">
        <v>1495</v>
      </c>
      <c r="D7" s="89">
        <f ca="1">CELL("row",D3)</f>
        <v>3</v>
      </c>
      <c r="E7" s="90" t="s">
        <v>1496</v>
      </c>
    </row>
    <row r="8" spans="1:8" x14ac:dyDescent="0.2">
      <c r="C8" s="79" t="s">
        <v>1497</v>
      </c>
      <c r="D8" s="89">
        <f ca="1">CELL("contents",D3)</f>
        <v>0.17499999999999999</v>
      </c>
      <c r="E8" s="90" t="s">
        <v>1498</v>
      </c>
    </row>
    <row r="9" spans="1:8" ht="38.25" x14ac:dyDescent="0.2">
      <c r="C9" s="91" t="s">
        <v>1557</v>
      </c>
      <c r="D9" s="89" t="str">
        <f ca="1">CELL("type",D3)</f>
        <v>v</v>
      </c>
      <c r="E9" s="90" t="s">
        <v>1499</v>
      </c>
    </row>
    <row r="10" spans="1:8" ht="38.25" x14ac:dyDescent="0.2">
      <c r="C10" s="91" t="s">
        <v>3735</v>
      </c>
      <c r="D10" s="89" t="str">
        <f ca="1">CELL("prefix",D3)</f>
        <v/>
      </c>
      <c r="E10" s="90" t="s">
        <v>1500</v>
      </c>
    </row>
    <row r="11" spans="1:8" x14ac:dyDescent="0.2">
      <c r="C11" s="79" t="s">
        <v>1501</v>
      </c>
      <c r="D11" s="89">
        <f ca="1">CELL("width",D3)</f>
        <v>12</v>
      </c>
      <c r="E11" s="90" t="s">
        <v>1502</v>
      </c>
    </row>
    <row r="12" spans="1:8" ht="25.5" x14ac:dyDescent="0.2">
      <c r="C12" s="91" t="s">
        <v>1503</v>
      </c>
      <c r="D12" s="89" t="str">
        <f ca="1">CELL("format",D3)</f>
        <v>P2</v>
      </c>
      <c r="E12" s="90" t="s">
        <v>1504</v>
      </c>
    </row>
    <row r="13" spans="1:8" ht="38.25" x14ac:dyDescent="0.2">
      <c r="C13" s="91" t="s">
        <v>3736</v>
      </c>
      <c r="D13" s="89">
        <f ca="1">CELL("parentheses",D3)</f>
        <v>0</v>
      </c>
      <c r="E13" s="90" t="s">
        <v>1505</v>
      </c>
    </row>
    <row r="14" spans="1:8" ht="25.5" x14ac:dyDescent="0.2">
      <c r="C14" s="91" t="s">
        <v>3737</v>
      </c>
      <c r="D14" s="89">
        <f ca="1">CELL("color",D3)</f>
        <v>0</v>
      </c>
      <c r="E14" s="90" t="s">
        <v>1506</v>
      </c>
    </row>
    <row r="15" spans="1:8" ht="25.5" x14ac:dyDescent="0.2">
      <c r="C15" s="91" t="s">
        <v>3738</v>
      </c>
      <c r="D15" s="89">
        <f ca="1">CELL("protect",D3)</f>
        <v>1</v>
      </c>
      <c r="E15" s="90" t="s">
        <v>1507</v>
      </c>
    </row>
    <row r="16" spans="1:8" x14ac:dyDescent="0.2">
      <c r="C16" s="79" t="s">
        <v>1508</v>
      </c>
      <c r="D16" s="92" t="str">
        <f ca="1">CELL("filename",D3)</f>
        <v>C:\Users\omkumar.barot\AppData\Local\Microsoft\Windows\INetCache\Content.Outlook\PONHCLTA\[EXCEL_Formulae(1)-1.xlsx]CELL</v>
      </c>
      <c r="E16" s="13"/>
    </row>
    <row r="17" spans="2:7" x14ac:dyDescent="0.2">
      <c r="E17" s="90" t="s">
        <v>1509</v>
      </c>
    </row>
    <row r="18" spans="2:7" ht="13.5" thickBot="1" x14ac:dyDescent="0.25">
      <c r="B18" s="2" t="s">
        <v>2865</v>
      </c>
      <c r="C18" s="2"/>
      <c r="D18" s="2"/>
      <c r="E18" s="2"/>
      <c r="F18" s="2"/>
      <c r="G18" s="2"/>
    </row>
    <row r="19" spans="2:7" x14ac:dyDescent="0.2">
      <c r="B19" t="s">
        <v>1510</v>
      </c>
    </row>
    <row r="21" spans="2:7" ht="13.5" thickBot="1" x14ac:dyDescent="0.25">
      <c r="B21" s="2" t="s">
        <v>998</v>
      </c>
      <c r="C21" s="2"/>
      <c r="D21" s="2"/>
      <c r="E21" s="2"/>
      <c r="F21" s="2"/>
      <c r="G21" s="2"/>
    </row>
    <row r="22" spans="2:7" x14ac:dyDescent="0.2">
      <c r="B22" s="61" t="s">
        <v>1511</v>
      </c>
    </row>
    <row r="23" spans="2:7" x14ac:dyDescent="0.2">
      <c r="B23" t="s">
        <v>1512</v>
      </c>
    </row>
    <row r="25" spans="2:7" ht="13.5" thickBot="1" x14ac:dyDescent="0.25">
      <c r="B25" s="2" t="s">
        <v>3355</v>
      </c>
      <c r="C25" s="2"/>
      <c r="D25" s="2"/>
      <c r="E25" s="2"/>
      <c r="F25" s="2"/>
      <c r="G25" s="2"/>
    </row>
    <row r="26" spans="2:7" x14ac:dyDescent="0.2">
      <c r="B26" t="s">
        <v>2424</v>
      </c>
    </row>
    <row r="28" spans="2:7" x14ac:dyDescent="0.2">
      <c r="B28" t="s">
        <v>1513</v>
      </c>
    </row>
    <row r="30" spans="2:7" x14ac:dyDescent="0.2">
      <c r="C30" s="93" t="s">
        <v>1514</v>
      </c>
      <c r="D30" s="94" t="s">
        <v>1515</v>
      </c>
    </row>
    <row r="31" spans="2:7" x14ac:dyDescent="0.2">
      <c r="C31" s="95" t="s">
        <v>1516</v>
      </c>
      <c r="D31" s="7" t="s">
        <v>1517</v>
      </c>
    </row>
    <row r="32" spans="2:7" x14ac:dyDescent="0.2">
      <c r="C32" s="95">
        <v>0</v>
      </c>
      <c r="D32" s="7" t="s">
        <v>1518</v>
      </c>
    </row>
    <row r="33" spans="3:4" x14ac:dyDescent="0.2">
      <c r="C33" s="95" t="s">
        <v>1519</v>
      </c>
      <c r="D33" s="7" t="s">
        <v>1520</v>
      </c>
    </row>
    <row r="34" spans="3:4" x14ac:dyDescent="0.2">
      <c r="C34" s="96" t="s">
        <v>1521</v>
      </c>
      <c r="D34" s="7" t="s">
        <v>1522</v>
      </c>
    </row>
    <row r="35" spans="3:4" x14ac:dyDescent="0.2">
      <c r="C35" s="95" t="s">
        <v>1523</v>
      </c>
      <c r="D35" s="7" t="s">
        <v>1524</v>
      </c>
    </row>
    <row r="36" spans="3:4" x14ac:dyDescent="0.2">
      <c r="C36" s="95" t="s">
        <v>1525</v>
      </c>
      <c r="D36" s="97" t="s">
        <v>1526</v>
      </c>
    </row>
    <row r="37" spans="3:4" x14ac:dyDescent="0.2">
      <c r="C37" s="95" t="s">
        <v>1527</v>
      </c>
      <c r="D37" s="97" t="s">
        <v>1528</v>
      </c>
    </row>
    <row r="38" spans="3:4" x14ac:dyDescent="0.2">
      <c r="C38" s="95" t="s">
        <v>1529</v>
      </c>
      <c r="D38" s="7" t="s">
        <v>1530</v>
      </c>
    </row>
    <row r="39" spans="3:4" x14ac:dyDescent="0.2">
      <c r="C39" s="95" t="s">
        <v>1531</v>
      </c>
      <c r="D39" s="7" t="s">
        <v>1532</v>
      </c>
    </row>
    <row r="40" spans="3:4" x14ac:dyDescent="0.2">
      <c r="C40" s="98">
        <v>0</v>
      </c>
      <c r="D40" s="7" t="s">
        <v>1533</v>
      </c>
    </row>
    <row r="41" spans="3:4" x14ac:dyDescent="0.2">
      <c r="C41" s="99">
        <v>0</v>
      </c>
      <c r="D41" s="7" t="s">
        <v>1534</v>
      </c>
    </row>
    <row r="42" spans="3:4" x14ac:dyDescent="0.2">
      <c r="C42" s="100">
        <v>0</v>
      </c>
      <c r="D42" s="7" t="s">
        <v>1535</v>
      </c>
    </row>
    <row r="43" spans="3:4" x14ac:dyDescent="0.2">
      <c r="C43" s="95" t="s">
        <v>1536</v>
      </c>
      <c r="D43" s="7" t="s">
        <v>1517</v>
      </c>
    </row>
    <row r="44" spans="3:4" x14ac:dyDescent="0.2">
      <c r="C44" s="95" t="s">
        <v>1537</v>
      </c>
      <c r="D44" s="7" t="s">
        <v>1538</v>
      </c>
    </row>
    <row r="45" spans="3:4" x14ac:dyDescent="0.2">
      <c r="C45" s="95" t="s">
        <v>1539</v>
      </c>
      <c r="D45" s="7" t="s">
        <v>1540</v>
      </c>
    </row>
    <row r="46" spans="3:4" x14ac:dyDescent="0.2">
      <c r="C46" s="95" t="s">
        <v>1541</v>
      </c>
      <c r="D46" s="7" t="s">
        <v>1542</v>
      </c>
    </row>
    <row r="47" spans="3:4" x14ac:dyDescent="0.2">
      <c r="C47" s="95" t="s">
        <v>1543</v>
      </c>
      <c r="D47" s="7" t="s">
        <v>1544</v>
      </c>
    </row>
    <row r="48" spans="3:4" x14ac:dyDescent="0.2">
      <c r="C48" s="95" t="s">
        <v>1545</v>
      </c>
      <c r="D48" s="7" t="s">
        <v>1546</v>
      </c>
    </row>
    <row r="49" spans="2:6" x14ac:dyDescent="0.2">
      <c r="C49" s="95" t="s">
        <v>1547</v>
      </c>
      <c r="D49" s="7" t="s">
        <v>1548</v>
      </c>
    </row>
    <row r="50" spans="2:6" x14ac:dyDescent="0.2">
      <c r="C50" s="95" t="s">
        <v>1549</v>
      </c>
      <c r="D50" s="7" t="s">
        <v>1550</v>
      </c>
    </row>
    <row r="51" spans="2:6" x14ac:dyDescent="0.2">
      <c r="C51" s="95" t="s">
        <v>1551</v>
      </c>
      <c r="D51" s="7" t="s">
        <v>1552</v>
      </c>
    </row>
    <row r="52" spans="2:6" x14ac:dyDescent="0.2">
      <c r="C52" s="95" t="s">
        <v>1553</v>
      </c>
      <c r="D52" s="7" t="s">
        <v>1554</v>
      </c>
    </row>
    <row r="55" spans="2:6" ht="13.5" thickBot="1" x14ac:dyDescent="0.25">
      <c r="B55" s="2" t="s">
        <v>1001</v>
      </c>
      <c r="C55" s="2"/>
      <c r="D55" s="2"/>
      <c r="E55" s="2"/>
      <c r="F55" s="2"/>
    </row>
    <row r="56" spans="2:6" x14ac:dyDescent="0.2">
      <c r="B56" t="s">
        <v>1555</v>
      </c>
    </row>
    <row r="58" spans="2:6" x14ac:dyDescent="0.2">
      <c r="C58" s="79" t="s">
        <v>1556</v>
      </c>
      <c r="D58" s="101" t="e">
        <f ca="1">MID(CELL("filename"),FIND("[",CELL("filename"))+1,FIND("]",CELL("filename"))-FIND("[",CELL("filename"))-1)</f>
        <v>#VALUE!</v>
      </c>
    </row>
    <row r="59" spans="2:6" x14ac:dyDescent="0.2">
      <c r="B59" s="102" t="s">
        <v>3183</v>
      </c>
    </row>
  </sheetData>
  <sheetProtection password="F663" sheet="1" objects="1" scenarios="1"/>
  <phoneticPr fontId="0" type="noConversion"/>
  <pageMargins left="0.38" right="0.36" top="0.7" bottom="0.65" header="0.49" footer="0.4"/>
  <pageSetup paperSize="9" scale="90" fitToHeight="5" orientation="portrait" r:id="rId1"/>
  <headerFooter alignWithMargins="0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N89"/>
  <sheetViews>
    <sheetView showGridLines="0" workbookViewId="0">
      <pane ySplit="1" topLeftCell="A64" activePane="bottomLeft" state="frozen"/>
      <selection activeCell="A3" sqref="A3"/>
      <selection pane="bottomLeft" activeCell="D88" sqref="D88"/>
    </sheetView>
  </sheetViews>
  <sheetFormatPr defaultRowHeight="12.75" x14ac:dyDescent="0.2"/>
  <cols>
    <col min="1" max="1" width="2.7109375" customWidth="1"/>
    <col min="3" max="3" width="10.5703125" customWidth="1"/>
    <col min="4" max="4" width="13.140625" customWidth="1"/>
    <col min="5" max="5" width="12.42578125" customWidth="1"/>
    <col min="6" max="6" width="12.140625" customWidth="1"/>
    <col min="7" max="7" width="13.42578125" customWidth="1"/>
    <col min="8" max="8" width="10.85546875" customWidth="1"/>
    <col min="10" max="10" width="10.140625" customWidth="1"/>
  </cols>
  <sheetData>
    <row r="1" spans="1:14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7"/>
      <c r="J1" s="477"/>
      <c r="K1" s="1"/>
      <c r="L1" s="1"/>
      <c r="M1" s="1"/>
      <c r="N1" s="1"/>
    </row>
    <row r="3" spans="1:14" x14ac:dyDescent="0.2">
      <c r="C3" s="6" t="s">
        <v>990</v>
      </c>
      <c r="D3" s="6" t="s">
        <v>2448</v>
      </c>
    </row>
    <row r="4" spans="1:14" x14ac:dyDescent="0.2">
      <c r="C4" s="77">
        <v>2.1</v>
      </c>
      <c r="D4" s="8">
        <f>CEILING(C4,1)</f>
        <v>3</v>
      </c>
      <c r="E4" s="13" t="s">
        <v>2449</v>
      </c>
    </row>
    <row r="5" spans="1:14" x14ac:dyDescent="0.2">
      <c r="C5" s="77">
        <v>1.5</v>
      </c>
      <c r="D5" s="8">
        <f>CEILING(C5,1)</f>
        <v>2</v>
      </c>
      <c r="E5" s="13" t="s">
        <v>2450</v>
      </c>
    </row>
    <row r="6" spans="1:14" x14ac:dyDescent="0.2">
      <c r="C6" s="77">
        <v>1.9</v>
      </c>
      <c r="D6" s="8">
        <f>CEILING(C6,1)</f>
        <v>2</v>
      </c>
      <c r="E6" s="13" t="s">
        <v>2451</v>
      </c>
    </row>
    <row r="7" spans="1:14" x14ac:dyDescent="0.2">
      <c r="C7" s="7">
        <v>20</v>
      </c>
      <c r="D7" s="8">
        <f>CEILING(C7,30)</f>
        <v>30</v>
      </c>
      <c r="E7" s="13" t="s">
        <v>2452</v>
      </c>
    </row>
    <row r="8" spans="1:14" x14ac:dyDescent="0.2">
      <c r="C8" s="7">
        <v>25</v>
      </c>
      <c r="D8" s="8">
        <f>CEILING(C8,30)</f>
        <v>30</v>
      </c>
      <c r="E8" s="13" t="s">
        <v>2453</v>
      </c>
    </row>
    <row r="9" spans="1:14" x14ac:dyDescent="0.2">
      <c r="C9" s="7">
        <v>40</v>
      </c>
      <c r="D9" s="8">
        <f>CEILING(C9,30)</f>
        <v>60</v>
      </c>
      <c r="E9" s="13" t="s">
        <v>2454</v>
      </c>
    </row>
    <row r="11" spans="1:14" ht="13.5" thickBot="1" x14ac:dyDescent="0.25">
      <c r="B11" s="2" t="s">
        <v>2865</v>
      </c>
      <c r="C11" s="2"/>
      <c r="D11" s="2"/>
      <c r="E11" s="2"/>
      <c r="F11" s="2"/>
      <c r="G11" s="2"/>
      <c r="H11" s="2"/>
    </row>
    <row r="12" spans="1:14" x14ac:dyDescent="0.2">
      <c r="B12" t="s">
        <v>2455</v>
      </c>
    </row>
    <row r="14" spans="1:14" ht="13.5" thickBot="1" x14ac:dyDescent="0.25">
      <c r="B14" s="2" t="s">
        <v>998</v>
      </c>
      <c r="C14" s="2"/>
      <c r="D14" s="2"/>
      <c r="E14" s="2"/>
      <c r="F14" s="2"/>
      <c r="G14" s="2"/>
      <c r="H14" s="2"/>
    </row>
    <row r="15" spans="1:14" x14ac:dyDescent="0.2">
      <c r="B15" s="61" t="s">
        <v>2456</v>
      </c>
    </row>
    <row r="16" spans="1:14" x14ac:dyDescent="0.2">
      <c r="B16" t="s">
        <v>2457</v>
      </c>
    </row>
    <row r="18" spans="2:8" ht="13.5" thickBot="1" x14ac:dyDescent="0.25">
      <c r="B18" s="2" t="s">
        <v>3355</v>
      </c>
      <c r="C18" s="2"/>
      <c r="D18" s="2"/>
      <c r="E18" s="2"/>
      <c r="F18" s="2"/>
      <c r="G18" s="2"/>
      <c r="H18" s="2"/>
    </row>
    <row r="19" spans="2:8" x14ac:dyDescent="0.2">
      <c r="B19" t="s">
        <v>2424</v>
      </c>
    </row>
    <row r="21" spans="2:8" ht="13.5" thickBot="1" x14ac:dyDescent="0.25">
      <c r="B21" s="2" t="s">
        <v>1937</v>
      </c>
      <c r="C21" s="2"/>
      <c r="D21" s="2"/>
      <c r="E21" s="2"/>
      <c r="F21" s="2"/>
      <c r="G21" s="2"/>
      <c r="H21" s="2"/>
    </row>
    <row r="22" spans="2:8" x14ac:dyDescent="0.2">
      <c r="B22" t="s">
        <v>2458</v>
      </c>
    </row>
    <row r="23" spans="2:8" x14ac:dyDescent="0.2">
      <c r="B23" t="s">
        <v>2459</v>
      </c>
    </row>
    <row r="24" spans="2:8" x14ac:dyDescent="0.2">
      <c r="B24" t="s">
        <v>2460</v>
      </c>
    </row>
    <row r="25" spans="2:8" x14ac:dyDescent="0.2">
      <c r="B25" t="s">
        <v>3731</v>
      </c>
    </row>
    <row r="27" spans="2:8" ht="25.5" x14ac:dyDescent="0.2">
      <c r="D27" s="6" t="s">
        <v>3732</v>
      </c>
      <c r="E27" s="78" t="s">
        <v>3733</v>
      </c>
    </row>
    <row r="28" spans="2:8" x14ac:dyDescent="0.2">
      <c r="C28" s="79" t="s">
        <v>3734</v>
      </c>
      <c r="D28" s="7">
        <v>3</v>
      </c>
      <c r="E28" s="8">
        <f>CEILING(D28,7)</f>
        <v>7</v>
      </c>
      <c r="F28" s="13" t="s">
        <v>3042</v>
      </c>
    </row>
    <row r="29" spans="2:8" x14ac:dyDescent="0.2">
      <c r="C29" s="79" t="s">
        <v>3043</v>
      </c>
      <c r="D29" s="7">
        <v>4</v>
      </c>
      <c r="E29" s="8">
        <f>CEILING(D29,7)</f>
        <v>7</v>
      </c>
      <c r="F29" s="13" t="s">
        <v>3044</v>
      </c>
    </row>
    <row r="30" spans="2:8" x14ac:dyDescent="0.2">
      <c r="C30" s="79" t="s">
        <v>3045</v>
      </c>
      <c r="D30" s="7">
        <v>10</v>
      </c>
      <c r="E30" s="8">
        <f>CEILING(D30,7)</f>
        <v>14</v>
      </c>
      <c r="F30" s="13" t="s">
        <v>3046</v>
      </c>
    </row>
    <row r="33" spans="2:8" ht="13.5" thickBot="1" x14ac:dyDescent="0.25">
      <c r="B33" s="2" t="s">
        <v>1962</v>
      </c>
      <c r="C33" s="2"/>
      <c r="D33" s="2"/>
      <c r="E33" s="2"/>
      <c r="F33" s="2"/>
      <c r="G33" s="2"/>
      <c r="H33" s="2"/>
    </row>
    <row r="34" spans="2:8" x14ac:dyDescent="0.2">
      <c r="B34" t="s">
        <v>3047</v>
      </c>
    </row>
    <row r="35" spans="2:8" x14ac:dyDescent="0.2">
      <c r="B35" t="s">
        <v>3048</v>
      </c>
    </row>
    <row r="36" spans="2:8" x14ac:dyDescent="0.2">
      <c r="B36" t="s">
        <v>3049</v>
      </c>
    </row>
    <row r="38" spans="2:8" x14ac:dyDescent="0.2">
      <c r="B38" t="s">
        <v>3050</v>
      </c>
    </row>
    <row r="39" spans="2:8" x14ac:dyDescent="0.2">
      <c r="B39" t="s">
        <v>3051</v>
      </c>
    </row>
    <row r="40" spans="2:8" x14ac:dyDescent="0.2">
      <c r="B40" t="s">
        <v>3052</v>
      </c>
    </row>
    <row r="41" spans="2:8" x14ac:dyDescent="0.2">
      <c r="B41" t="s">
        <v>3053</v>
      </c>
    </row>
    <row r="43" spans="2:8" x14ac:dyDescent="0.2">
      <c r="C43" t="s">
        <v>1013</v>
      </c>
    </row>
    <row r="44" spans="2:8" ht="25.5" x14ac:dyDescent="0.2">
      <c r="C44" s="6" t="s">
        <v>3054</v>
      </c>
      <c r="D44" s="57" t="s">
        <v>3055</v>
      </c>
      <c r="E44" s="57" t="s">
        <v>3056</v>
      </c>
      <c r="F44" s="57" t="s">
        <v>3057</v>
      </c>
    </row>
    <row r="45" spans="2:8" x14ac:dyDescent="0.2">
      <c r="C45" s="7" t="s">
        <v>3058</v>
      </c>
      <c r="D45" s="7">
        <v>1000</v>
      </c>
      <c r="E45" s="7">
        <v>300</v>
      </c>
      <c r="F45" s="80">
        <f>D45/E45</f>
        <v>3.3333333333333335</v>
      </c>
      <c r="G45" s="13" t="s">
        <v>3059</v>
      </c>
    </row>
    <row r="46" spans="2:8" x14ac:dyDescent="0.2">
      <c r="C46" s="7" t="s">
        <v>3060</v>
      </c>
      <c r="D46" s="7">
        <v>5000</v>
      </c>
      <c r="E46" s="7">
        <v>600</v>
      </c>
      <c r="F46" s="80">
        <f>D46/E46</f>
        <v>8.3333333333333339</v>
      </c>
      <c r="G46" s="13" t="s">
        <v>3061</v>
      </c>
    </row>
    <row r="47" spans="2:8" x14ac:dyDescent="0.2">
      <c r="C47" s="7" t="s">
        <v>3062</v>
      </c>
      <c r="D47" s="7">
        <v>2000</v>
      </c>
      <c r="E47" s="7">
        <v>350</v>
      </c>
      <c r="F47" s="80">
        <f>D47/E47</f>
        <v>5.7142857142857144</v>
      </c>
      <c r="G47" s="13" t="s">
        <v>3063</v>
      </c>
    </row>
    <row r="49" spans="2:8" x14ac:dyDescent="0.2">
      <c r="B49" t="s">
        <v>3064</v>
      </c>
    </row>
    <row r="50" spans="2:8" x14ac:dyDescent="0.2">
      <c r="B50" t="s">
        <v>3065</v>
      </c>
    </row>
    <row r="52" spans="2:8" x14ac:dyDescent="0.2">
      <c r="C52" t="s">
        <v>1024</v>
      </c>
      <c r="F52" s="81"/>
    </row>
    <row r="53" spans="2:8" ht="25.5" x14ac:dyDescent="0.2">
      <c r="C53" s="6" t="s">
        <v>3054</v>
      </c>
      <c r="D53" s="57" t="s">
        <v>3055</v>
      </c>
      <c r="E53" s="57" t="s">
        <v>3056</v>
      </c>
      <c r="F53" s="57" t="s">
        <v>3057</v>
      </c>
    </row>
    <row r="54" spans="2:8" x14ac:dyDescent="0.2">
      <c r="C54" s="7" t="s">
        <v>3058</v>
      </c>
      <c r="D54" s="7">
        <v>1000</v>
      </c>
      <c r="E54" s="7">
        <v>300</v>
      </c>
      <c r="F54" s="82">
        <f>CEILING(D54/E54,1)</f>
        <v>4</v>
      </c>
      <c r="G54" s="13" t="s">
        <v>3066</v>
      </c>
    </row>
    <row r="55" spans="2:8" x14ac:dyDescent="0.2">
      <c r="C55" s="7" t="s">
        <v>3060</v>
      </c>
      <c r="D55" s="7">
        <v>5000</v>
      </c>
      <c r="E55" s="7">
        <v>600</v>
      </c>
      <c r="F55" s="82">
        <f>CEILING(D55/E55,1)</f>
        <v>9</v>
      </c>
      <c r="G55" s="13" t="s">
        <v>3067</v>
      </c>
    </row>
    <row r="56" spans="2:8" x14ac:dyDescent="0.2">
      <c r="C56" s="7" t="s">
        <v>3062</v>
      </c>
      <c r="D56" s="7">
        <v>2000</v>
      </c>
      <c r="E56" s="7">
        <v>350</v>
      </c>
      <c r="F56" s="82">
        <f>CEILING(D56/E56,1)</f>
        <v>6</v>
      </c>
      <c r="G56" s="13" t="s">
        <v>3068</v>
      </c>
    </row>
    <row r="59" spans="2:8" ht="13.5" thickBot="1" x14ac:dyDescent="0.25">
      <c r="B59" s="2" t="s">
        <v>1977</v>
      </c>
      <c r="C59" s="2"/>
      <c r="D59" s="2"/>
      <c r="E59" s="2"/>
      <c r="F59" s="2"/>
      <c r="G59" s="2"/>
      <c r="H59" s="2"/>
    </row>
    <row r="60" spans="2:8" x14ac:dyDescent="0.2">
      <c r="B60" t="s">
        <v>3069</v>
      </c>
    </row>
    <row r="61" spans="2:8" x14ac:dyDescent="0.2">
      <c r="B61" t="s">
        <v>3070</v>
      </c>
    </row>
    <row r="62" spans="2:8" x14ac:dyDescent="0.2">
      <c r="B62" t="s">
        <v>3071</v>
      </c>
    </row>
    <row r="63" spans="2:8" x14ac:dyDescent="0.2">
      <c r="B63" t="s">
        <v>3072</v>
      </c>
    </row>
    <row r="65" spans="2:6" x14ac:dyDescent="0.2">
      <c r="B65" t="s">
        <v>1466</v>
      </c>
    </row>
    <row r="67" spans="2:6" x14ac:dyDescent="0.2">
      <c r="B67" t="s">
        <v>1013</v>
      </c>
    </row>
    <row r="68" spans="2:6" x14ac:dyDescent="0.2">
      <c r="B68" s="6" t="s">
        <v>3054</v>
      </c>
      <c r="C68" s="6" t="s">
        <v>1467</v>
      </c>
      <c r="D68" s="6" t="s">
        <v>1468</v>
      </c>
      <c r="E68" s="6" t="s">
        <v>1469</v>
      </c>
    </row>
    <row r="69" spans="2:6" x14ac:dyDescent="0.2">
      <c r="B69" s="7" t="s">
        <v>1470</v>
      </c>
      <c r="C69" s="7">
        <v>11</v>
      </c>
      <c r="D69" s="83">
        <v>20</v>
      </c>
      <c r="E69" s="84">
        <f>D69/C69</f>
        <v>1.8181818181818181</v>
      </c>
      <c r="F69" s="13" t="s">
        <v>1471</v>
      </c>
    </row>
    <row r="70" spans="2:6" x14ac:dyDescent="0.2">
      <c r="B70" s="7" t="s">
        <v>1472</v>
      </c>
      <c r="C70" s="7">
        <v>7</v>
      </c>
      <c r="D70" s="85">
        <v>18.25</v>
      </c>
      <c r="E70" s="84">
        <f>D70/C70</f>
        <v>2.6071428571428572</v>
      </c>
      <c r="F70" s="13" t="s">
        <v>1473</v>
      </c>
    </row>
    <row r="71" spans="2:6" x14ac:dyDescent="0.2">
      <c r="B71" s="7" t="s">
        <v>1474</v>
      </c>
      <c r="C71" s="7">
        <v>5</v>
      </c>
      <c r="D71" s="85">
        <v>28.1</v>
      </c>
      <c r="E71" s="84">
        <f>D71/C71</f>
        <v>5.62</v>
      </c>
      <c r="F71" s="13" t="s">
        <v>1475</v>
      </c>
    </row>
    <row r="72" spans="2:6" x14ac:dyDescent="0.2">
      <c r="B72" s="7" t="s">
        <v>1476</v>
      </c>
      <c r="C72" s="7">
        <v>16</v>
      </c>
      <c r="D72" s="83">
        <v>28</v>
      </c>
      <c r="E72" s="84">
        <f>D72/C72</f>
        <v>1.75</v>
      </c>
      <c r="F72" s="13" t="s">
        <v>1477</v>
      </c>
    </row>
    <row r="75" spans="2:6" x14ac:dyDescent="0.2">
      <c r="B75" t="s">
        <v>1478</v>
      </c>
    </row>
    <row r="76" spans="2:6" x14ac:dyDescent="0.2">
      <c r="B76" t="s">
        <v>1479</v>
      </c>
    </row>
    <row r="78" spans="2:6" x14ac:dyDescent="0.2">
      <c r="B78" t="s">
        <v>1024</v>
      </c>
    </row>
    <row r="79" spans="2:6" x14ac:dyDescent="0.2">
      <c r="B79" s="6" t="s">
        <v>3054</v>
      </c>
      <c r="C79" s="6" t="s">
        <v>1480</v>
      </c>
      <c r="D79" s="6" t="s">
        <v>1468</v>
      </c>
      <c r="E79" s="6" t="s">
        <v>1469</v>
      </c>
      <c r="F79" s="6" t="s">
        <v>1481</v>
      </c>
    </row>
    <row r="80" spans="2:6" x14ac:dyDescent="0.2">
      <c r="B80" s="7" t="s">
        <v>1470</v>
      </c>
      <c r="C80" s="7">
        <v>11</v>
      </c>
      <c r="D80" s="83">
        <v>20</v>
      </c>
      <c r="E80" s="84">
        <f>D80/C80</f>
        <v>1.8181818181818181</v>
      </c>
      <c r="F80" s="56">
        <f>INT(E80)+CEILING(MOD(E80,1),0.99)</f>
        <v>1.99</v>
      </c>
    </row>
    <row r="81" spans="2:8" x14ac:dyDescent="0.2">
      <c r="B81" s="7" t="s">
        <v>1472</v>
      </c>
      <c r="C81" s="7">
        <v>7</v>
      </c>
      <c r="D81" s="85">
        <v>18.25</v>
      </c>
      <c r="E81" s="84">
        <f>D81/C81</f>
        <v>2.6071428571428572</v>
      </c>
      <c r="F81" s="56">
        <f>INT(E81)+CEILING(MOD(E81,1),0.99)</f>
        <v>2.99</v>
      </c>
    </row>
    <row r="82" spans="2:8" x14ac:dyDescent="0.2">
      <c r="B82" s="7" t="s">
        <v>1474</v>
      </c>
      <c r="C82" s="7">
        <v>5</v>
      </c>
      <c r="D82" s="85">
        <v>28.1</v>
      </c>
      <c r="E82" s="84">
        <f>D82/C82</f>
        <v>5.62</v>
      </c>
      <c r="F82" s="56">
        <f>INT(E82)+CEILING(MOD(E82,1),0.99)</f>
        <v>5.99</v>
      </c>
    </row>
    <row r="83" spans="2:8" x14ac:dyDescent="0.2">
      <c r="B83" s="7" t="s">
        <v>1476</v>
      </c>
      <c r="C83" s="7">
        <v>16</v>
      </c>
      <c r="D83" s="83">
        <v>28</v>
      </c>
      <c r="E83" s="84">
        <f>D83/C83</f>
        <v>1.75</v>
      </c>
      <c r="F83" s="56">
        <f>INT(E83)+CEILING(MOD(E83,1),0.99)</f>
        <v>1.99</v>
      </c>
    </row>
    <row r="84" spans="2:8" x14ac:dyDescent="0.2">
      <c r="F84" s="13" t="s">
        <v>1482</v>
      </c>
    </row>
    <row r="86" spans="2:8" ht="13.5" thickBot="1" x14ac:dyDescent="0.25">
      <c r="B86" s="2" t="s">
        <v>1483</v>
      </c>
      <c r="C86" s="2"/>
      <c r="D86" s="2"/>
      <c r="E86" s="2"/>
      <c r="F86" s="2"/>
      <c r="G86" s="2"/>
      <c r="H86" s="2"/>
    </row>
    <row r="87" spans="2:8" x14ac:dyDescent="0.2">
      <c r="B87" s="86" t="s">
        <v>1484</v>
      </c>
      <c r="E87" t="s">
        <v>1485</v>
      </c>
    </row>
    <row r="88" spans="2:8" x14ac:dyDescent="0.2">
      <c r="B88" s="86" t="s">
        <v>1486</v>
      </c>
      <c r="E88" t="s">
        <v>1487</v>
      </c>
    </row>
    <row r="89" spans="2:8" x14ac:dyDescent="0.2">
      <c r="B89" s="86" t="s">
        <v>1488</v>
      </c>
      <c r="E89" t="s">
        <v>1489</v>
      </c>
    </row>
  </sheetData>
  <sheetProtection password="F663" sheet="1" objects="1" scenarios="1"/>
  <phoneticPr fontId="0" type="noConversion"/>
  <pageMargins left="0.34" right="0.32" top="0.78" bottom="1.1599999999999999" header="0.51181102362204722" footer="0.51181102362204722"/>
  <pageSetup paperSize="9" scale="90" fitToHeight="5" orientation="portrait" r:id="rId1"/>
  <headerFooter alignWithMargins="0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O42"/>
  <sheetViews>
    <sheetView showGridLines="0" workbookViewId="0">
      <pane ySplit="1" topLeftCell="A2" activePane="bottomLeft" state="frozen"/>
      <selection activeCell="A3" sqref="A3"/>
      <selection pane="bottomLeft" activeCell="D13" sqref="D13"/>
    </sheetView>
  </sheetViews>
  <sheetFormatPr defaultRowHeight="12.75" x14ac:dyDescent="0.2"/>
  <cols>
    <col min="1" max="1" width="2.7109375" customWidth="1"/>
    <col min="3" max="3" width="13.28515625" customWidth="1"/>
    <col min="4" max="4" width="16.7109375" customWidth="1"/>
    <col min="9" max="9" width="6.28515625" customWidth="1"/>
    <col min="11" max="11" width="11" customWidth="1"/>
  </cols>
  <sheetData>
    <row r="1" spans="1:15" ht="47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7"/>
      <c r="K1" s="477"/>
      <c r="L1" s="1"/>
      <c r="M1" s="1"/>
      <c r="N1" s="1"/>
      <c r="O1" s="1"/>
    </row>
    <row r="2" spans="1:15" x14ac:dyDescent="0.2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</row>
    <row r="3" spans="1:15" x14ac:dyDescent="0.2">
      <c r="A3" s="480"/>
      <c r="B3" s="480"/>
      <c r="C3" s="481" t="s">
        <v>2432</v>
      </c>
      <c r="D3" s="481" t="s">
        <v>2433</v>
      </c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</row>
    <row r="4" spans="1:15" x14ac:dyDescent="0.2">
      <c r="A4" s="480"/>
      <c r="B4" s="480"/>
      <c r="C4" s="507">
        <v>0</v>
      </c>
      <c r="D4" s="484" t="e">
        <f ca="1">A$2:A$2(C4)</f>
        <v>#REF!</v>
      </c>
      <c r="E4" s="485" t="s">
        <v>2434</v>
      </c>
      <c r="F4" s="480"/>
      <c r="G4" s="480"/>
      <c r="H4" s="480"/>
      <c r="I4" s="480"/>
      <c r="J4" s="480"/>
      <c r="K4" s="480"/>
      <c r="L4" s="480"/>
      <c r="M4" s="480"/>
      <c r="N4" s="480"/>
      <c r="O4" s="480"/>
    </row>
    <row r="5" spans="1:15" x14ac:dyDescent="0.2">
      <c r="A5" s="480"/>
      <c r="B5" s="480"/>
      <c r="C5" s="507">
        <v>1</v>
      </c>
      <c r="D5" s="484">
        <f t="shared" ref="D5:D13" si="0">BIN2DEC(C5)</f>
        <v>1</v>
      </c>
      <c r="E5" s="485" t="s">
        <v>2435</v>
      </c>
      <c r="F5" s="480"/>
      <c r="G5" s="480"/>
      <c r="H5" s="480"/>
      <c r="I5" s="480"/>
      <c r="J5" s="480"/>
      <c r="K5" s="480"/>
      <c r="L5" s="480"/>
      <c r="M5" s="480"/>
      <c r="N5" s="480"/>
      <c r="O5" s="480"/>
    </row>
    <row r="6" spans="1:15" x14ac:dyDescent="0.2">
      <c r="A6" s="480"/>
      <c r="B6" s="480"/>
      <c r="C6" s="507">
        <v>10</v>
      </c>
      <c r="D6" s="484">
        <f t="shared" si="0"/>
        <v>2</v>
      </c>
      <c r="E6" s="485" t="s">
        <v>2436</v>
      </c>
      <c r="F6" s="480"/>
      <c r="G6" s="480"/>
      <c r="H6" s="480"/>
      <c r="I6" s="480"/>
      <c r="J6" s="480"/>
      <c r="K6" s="480"/>
      <c r="L6" s="480"/>
      <c r="M6" s="480"/>
      <c r="N6" s="480"/>
      <c r="O6" s="480"/>
    </row>
    <row r="7" spans="1:15" x14ac:dyDescent="0.2">
      <c r="A7" s="480"/>
      <c r="B7" s="480"/>
      <c r="C7" s="507">
        <v>11</v>
      </c>
      <c r="D7" s="484">
        <f t="shared" si="0"/>
        <v>3</v>
      </c>
      <c r="E7" s="485" t="s">
        <v>2437</v>
      </c>
      <c r="F7" s="480"/>
      <c r="G7" s="480"/>
      <c r="H7" s="480"/>
      <c r="I7" s="480"/>
      <c r="J7" s="480"/>
      <c r="K7" s="480"/>
      <c r="L7" s="480"/>
      <c r="M7" s="480"/>
      <c r="N7" s="480"/>
      <c r="O7" s="480"/>
    </row>
    <row r="8" spans="1:15" x14ac:dyDescent="0.2">
      <c r="A8" s="480"/>
      <c r="B8" s="480"/>
      <c r="C8" s="507">
        <v>111111111</v>
      </c>
      <c r="D8" s="484">
        <f t="shared" si="0"/>
        <v>511</v>
      </c>
      <c r="E8" s="485" t="s">
        <v>2438</v>
      </c>
      <c r="F8" s="480"/>
      <c r="G8" s="480"/>
      <c r="H8" s="480"/>
      <c r="I8" s="480"/>
      <c r="J8" s="480"/>
      <c r="K8" s="480"/>
      <c r="L8" s="480"/>
      <c r="M8" s="480"/>
      <c r="N8" s="480"/>
      <c r="O8" s="480"/>
    </row>
    <row r="9" spans="1:15" x14ac:dyDescent="0.2">
      <c r="A9" s="480"/>
      <c r="B9" s="480"/>
      <c r="C9" s="507">
        <v>1111111111</v>
      </c>
      <c r="D9" s="484">
        <f t="shared" si="0"/>
        <v>-1</v>
      </c>
      <c r="E9" s="485" t="s">
        <v>2439</v>
      </c>
      <c r="F9" s="480"/>
      <c r="G9" s="480"/>
      <c r="H9" s="480"/>
      <c r="I9" s="480"/>
      <c r="J9" s="480"/>
      <c r="K9" s="480"/>
      <c r="L9" s="480"/>
      <c r="M9" s="480"/>
      <c r="N9" s="480"/>
      <c r="O9" s="480"/>
    </row>
    <row r="10" spans="1:15" x14ac:dyDescent="0.2">
      <c r="A10" s="480"/>
      <c r="B10" s="480"/>
      <c r="C10" s="507">
        <v>1111111110</v>
      </c>
      <c r="D10" s="484">
        <f t="shared" si="0"/>
        <v>-2</v>
      </c>
      <c r="E10" s="485" t="s">
        <v>2440</v>
      </c>
      <c r="F10" s="480"/>
      <c r="G10" s="480"/>
      <c r="H10" s="480"/>
      <c r="I10" s="480"/>
      <c r="J10" s="480"/>
      <c r="K10" s="480"/>
      <c r="L10" s="480"/>
      <c r="M10" s="480"/>
      <c r="N10" s="480"/>
      <c r="O10" s="480"/>
    </row>
    <row r="11" spans="1:15" x14ac:dyDescent="0.2">
      <c r="A11" s="480"/>
      <c r="B11" s="480"/>
      <c r="C11" s="507">
        <v>1111111101</v>
      </c>
      <c r="D11" s="484">
        <f t="shared" si="0"/>
        <v>-3</v>
      </c>
      <c r="E11" s="485" t="s">
        <v>2441</v>
      </c>
      <c r="F11" s="480"/>
      <c r="G11" s="480"/>
      <c r="H11" s="480"/>
      <c r="I11" s="480"/>
      <c r="J11" s="480"/>
      <c r="K11" s="480"/>
      <c r="L11" s="480"/>
      <c r="M11" s="480"/>
      <c r="N11" s="480"/>
      <c r="O11" s="480"/>
    </row>
    <row r="12" spans="1:15" x14ac:dyDescent="0.2">
      <c r="A12" s="480"/>
      <c r="B12" s="480"/>
      <c r="C12" s="507">
        <v>1000000000</v>
      </c>
      <c r="D12" s="484">
        <f t="shared" si="0"/>
        <v>-512</v>
      </c>
      <c r="E12" s="485" t="s">
        <v>2442</v>
      </c>
      <c r="F12" s="480"/>
      <c r="G12" s="480"/>
      <c r="H12" s="480"/>
      <c r="I12" s="480"/>
      <c r="J12" s="480"/>
      <c r="K12" s="480"/>
      <c r="L12" s="480"/>
      <c r="M12" s="480"/>
      <c r="N12" s="480"/>
      <c r="O12" s="480"/>
    </row>
    <row r="13" spans="1:15" x14ac:dyDescent="0.2">
      <c r="A13" s="480"/>
      <c r="B13" s="480"/>
      <c r="C13" s="507">
        <v>11111111111</v>
      </c>
      <c r="D13" s="484" t="e">
        <f t="shared" si="0"/>
        <v>#NUM!</v>
      </c>
      <c r="E13" s="485" t="s">
        <v>2443</v>
      </c>
      <c r="F13" s="480"/>
      <c r="G13" s="480"/>
      <c r="H13" s="480"/>
      <c r="I13" s="480"/>
      <c r="J13" s="480"/>
      <c r="K13" s="480"/>
      <c r="L13" s="480"/>
      <c r="M13" s="480"/>
      <c r="N13" s="480"/>
      <c r="O13" s="480"/>
    </row>
    <row r="14" spans="1:15" x14ac:dyDescent="0.2">
      <c r="A14" s="480"/>
      <c r="B14" s="480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</row>
    <row r="15" spans="1:15" ht="13.5" thickBot="1" x14ac:dyDescent="0.25">
      <c r="A15" s="480"/>
      <c r="B15" s="486" t="s">
        <v>2865</v>
      </c>
      <c r="C15" s="486"/>
      <c r="D15" s="486"/>
      <c r="E15" s="486"/>
      <c r="F15" s="486"/>
      <c r="G15" s="486"/>
      <c r="H15" s="486"/>
      <c r="I15" s="486"/>
      <c r="J15" s="480"/>
      <c r="K15" s="480"/>
      <c r="L15" s="480"/>
      <c r="M15" s="480"/>
      <c r="N15" s="480"/>
      <c r="O15" s="480"/>
    </row>
    <row r="16" spans="1:15" x14ac:dyDescent="0.2">
      <c r="A16" s="480"/>
      <c r="B16" s="480" t="s">
        <v>2444</v>
      </c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</row>
    <row r="17" spans="1:15" x14ac:dyDescent="0.2">
      <c r="A17" s="480"/>
      <c r="B17" s="480" t="s">
        <v>2445</v>
      </c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</row>
    <row r="18" spans="1:15" x14ac:dyDescent="0.2">
      <c r="A18" s="480"/>
      <c r="B18" s="480"/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</row>
    <row r="19" spans="1:15" ht="13.5" thickBot="1" x14ac:dyDescent="0.25">
      <c r="A19" s="480"/>
      <c r="B19" s="486" t="s">
        <v>998</v>
      </c>
      <c r="C19" s="486"/>
      <c r="D19" s="486"/>
      <c r="E19" s="486"/>
      <c r="F19" s="486"/>
      <c r="G19" s="486"/>
      <c r="H19" s="486"/>
      <c r="I19" s="486"/>
      <c r="J19" s="480"/>
      <c r="K19" s="480"/>
      <c r="L19" s="480"/>
      <c r="M19" s="480"/>
      <c r="N19" s="480"/>
      <c r="O19" s="480"/>
    </row>
    <row r="20" spans="1:15" x14ac:dyDescent="0.2">
      <c r="A20" s="480"/>
      <c r="B20" s="487" t="s">
        <v>2446</v>
      </c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</row>
    <row r="21" spans="1:15" x14ac:dyDescent="0.2">
      <c r="A21" s="480"/>
      <c r="B21" s="480" t="s">
        <v>2447</v>
      </c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</row>
    <row r="22" spans="1:15" x14ac:dyDescent="0.2">
      <c r="A22" s="480"/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</row>
    <row r="23" spans="1:15" ht="13.5" thickBot="1" x14ac:dyDescent="0.25">
      <c r="A23" s="480"/>
      <c r="B23" s="486" t="s">
        <v>3355</v>
      </c>
      <c r="C23" s="486"/>
      <c r="D23" s="486"/>
      <c r="E23" s="486"/>
      <c r="F23" s="486"/>
      <c r="G23" s="486"/>
      <c r="H23" s="486"/>
      <c r="I23" s="486"/>
      <c r="J23" s="480"/>
      <c r="K23" s="480"/>
      <c r="L23" s="480"/>
      <c r="M23" s="480"/>
      <c r="N23" s="480"/>
      <c r="O23" s="480"/>
    </row>
    <row r="24" spans="1:15" x14ac:dyDescent="0.2">
      <c r="A24" s="480"/>
      <c r="B24" s="480" t="s">
        <v>2424</v>
      </c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</row>
    <row r="25" spans="1:15" x14ac:dyDescent="0.2">
      <c r="A25" s="480"/>
      <c r="B25" s="480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</row>
    <row r="26" spans="1:15" x14ac:dyDescent="0.2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</row>
    <row r="27" spans="1:15" x14ac:dyDescent="0.2">
      <c r="A27" s="480"/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</row>
    <row r="28" spans="1:15" x14ac:dyDescent="0.2">
      <c r="A28" s="480"/>
      <c r="B28" s="480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</row>
    <row r="29" spans="1:15" x14ac:dyDescent="0.2">
      <c r="A29" s="480"/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</row>
    <row r="30" spans="1:15" x14ac:dyDescent="0.2">
      <c r="A30" s="480"/>
      <c r="B30" s="480"/>
      <c r="C30" s="480"/>
      <c r="D30" s="480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</row>
    <row r="31" spans="1:15" x14ac:dyDescent="0.2">
      <c r="A31" s="480"/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</row>
    <row r="32" spans="1:15" x14ac:dyDescent="0.2">
      <c r="A32" s="480"/>
      <c r="B32" s="480"/>
      <c r="C32" s="480"/>
      <c r="D32" s="480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</row>
    <row r="33" spans="1:15" x14ac:dyDescent="0.2">
      <c r="A33" s="480"/>
      <c r="B33" s="480"/>
      <c r="C33" s="480"/>
      <c r="D33" s="480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</row>
    <row r="34" spans="1:15" x14ac:dyDescent="0.2">
      <c r="A34" s="480"/>
      <c r="B34" s="480"/>
      <c r="C34" s="480"/>
      <c r="D34" s="48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</row>
    <row r="35" spans="1:15" x14ac:dyDescent="0.2">
      <c r="A35" s="480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</row>
    <row r="36" spans="1:15" x14ac:dyDescent="0.2">
      <c r="A36" s="480"/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</row>
    <row r="37" spans="1:15" x14ac:dyDescent="0.2">
      <c r="A37" s="480"/>
      <c r="B37" s="480"/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</row>
    <row r="38" spans="1:15" x14ac:dyDescent="0.2">
      <c r="A38" s="480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</row>
    <row r="39" spans="1:15" x14ac:dyDescent="0.2">
      <c r="A39" s="480"/>
      <c r="B39" s="480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</row>
    <row r="40" spans="1:15" x14ac:dyDescent="0.2">
      <c r="A40" s="480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</row>
    <row r="41" spans="1:15" x14ac:dyDescent="0.2">
      <c r="A41" s="480"/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</row>
    <row r="42" spans="1:15" x14ac:dyDescent="0.2">
      <c r="A42" s="480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</row>
  </sheetData>
  <sheetProtection password="F663" sheet="1" objects="1" scenarios="1"/>
  <phoneticPr fontId="0" type="noConversion"/>
  <pageMargins left="0.28999999999999998" right="0.31" top="0.98425196850393704" bottom="0.98425196850393704" header="0.511811023622047" footer="0.511811023622047"/>
  <pageSetup paperSize="9" scale="90" fitToHeight="5" orientation="portrait" r:id="rId1"/>
  <headerFooter alignWithMargins="0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51"/>
  <sheetViews>
    <sheetView showGridLines="0" workbookViewId="0">
      <pane ySplit="1" topLeftCell="A2" activePane="bottomLeft" state="frozen"/>
      <selection activeCell="A3" sqref="A3"/>
      <selection pane="bottomLeft" activeCell="K31" sqref="K31"/>
    </sheetView>
  </sheetViews>
  <sheetFormatPr defaultRowHeight="12.75" x14ac:dyDescent="0.2"/>
  <cols>
    <col min="1" max="1" width="2.7109375" customWidth="1"/>
    <col min="2" max="2" width="3.85546875" customWidth="1"/>
    <col min="3" max="3" width="5.5703125" customWidth="1"/>
    <col min="4" max="4" width="4.5703125" customWidth="1"/>
    <col min="5" max="5" width="8.42578125" customWidth="1"/>
    <col min="6" max="6" width="4.85546875" customWidth="1"/>
    <col min="7" max="7" width="4" customWidth="1"/>
    <col min="8" max="8" width="3.140625" customWidth="1"/>
    <col min="9" max="9" width="3.85546875" customWidth="1"/>
    <col min="10" max="10" width="4.28515625" customWidth="1"/>
    <col min="11" max="11" width="7.5703125" customWidth="1"/>
    <col min="13" max="13" width="13.28515625" customWidth="1"/>
    <col min="16" max="16" width="13.7109375" customWidth="1"/>
  </cols>
  <sheetData>
    <row r="1" spans="1:20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8"/>
      <c r="P1" s="477"/>
      <c r="Q1" s="1"/>
      <c r="R1" s="1"/>
      <c r="S1" s="1"/>
      <c r="T1" s="1"/>
    </row>
    <row r="2" spans="1:20" x14ac:dyDescent="0.2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</row>
    <row r="3" spans="1:20" x14ac:dyDescent="0.2">
      <c r="A3" s="480"/>
      <c r="B3" s="480"/>
      <c r="C3" s="480"/>
      <c r="D3" s="481" t="s">
        <v>2402</v>
      </c>
      <c r="E3" s="481" t="s">
        <v>2403</v>
      </c>
      <c r="F3" s="481" t="s">
        <v>2404</v>
      </c>
      <c r="G3" s="481" t="s">
        <v>2405</v>
      </c>
      <c r="H3" s="481" t="s">
        <v>2406</v>
      </c>
      <c r="I3" s="481" t="s">
        <v>2407</v>
      </c>
      <c r="J3" s="481" t="s">
        <v>2408</v>
      </c>
      <c r="K3" s="481" t="s">
        <v>2409</v>
      </c>
      <c r="L3" s="480"/>
      <c r="M3" s="480"/>
      <c r="N3" s="480"/>
      <c r="O3" s="480"/>
      <c r="P3" s="480"/>
      <c r="Q3" s="480"/>
      <c r="R3" s="480"/>
      <c r="S3" s="480"/>
      <c r="T3" s="480"/>
    </row>
    <row r="4" spans="1:20" x14ac:dyDescent="0.2">
      <c r="A4" s="480"/>
      <c r="B4" s="480"/>
      <c r="C4" s="482" t="s">
        <v>2410</v>
      </c>
      <c r="D4" s="483">
        <v>30</v>
      </c>
      <c r="E4" s="483">
        <v>31</v>
      </c>
      <c r="F4" s="483">
        <v>32</v>
      </c>
      <c r="G4" s="483">
        <v>29</v>
      </c>
      <c r="H4" s="483">
        <v>26</v>
      </c>
      <c r="I4" s="483">
        <v>28</v>
      </c>
      <c r="J4" s="483">
        <v>27</v>
      </c>
      <c r="K4" s="484">
        <f>AVERAGE(D4:J4)</f>
        <v>29</v>
      </c>
      <c r="L4" s="485" t="s">
        <v>2411</v>
      </c>
      <c r="M4" s="480"/>
      <c r="N4" s="480"/>
      <c r="O4" s="480"/>
      <c r="P4" s="480"/>
      <c r="Q4" s="480"/>
      <c r="R4" s="480"/>
      <c r="S4" s="480"/>
      <c r="T4" s="480"/>
    </row>
    <row r="5" spans="1:20" x14ac:dyDescent="0.2">
      <c r="A5" s="480"/>
      <c r="B5" s="480"/>
      <c r="C5" s="482" t="s">
        <v>2412</v>
      </c>
      <c r="D5" s="483">
        <v>0</v>
      </c>
      <c r="E5" s="483">
        <v>0</v>
      </c>
      <c r="F5" s="483">
        <v>0</v>
      </c>
      <c r="G5" s="483">
        <v>4</v>
      </c>
      <c r="H5" s="483">
        <v>6</v>
      </c>
      <c r="I5" s="483">
        <v>3</v>
      </c>
      <c r="J5" s="483">
        <v>1</v>
      </c>
      <c r="K5" s="484">
        <f>AVERAGE(D5:J5)</f>
        <v>2</v>
      </c>
      <c r="L5" s="485" t="s">
        <v>2413</v>
      </c>
      <c r="M5" s="480"/>
      <c r="N5" s="480"/>
      <c r="O5" s="480"/>
      <c r="P5" s="480"/>
      <c r="Q5" s="480"/>
      <c r="R5" s="480"/>
      <c r="S5" s="480"/>
      <c r="T5" s="480"/>
    </row>
    <row r="6" spans="1:20" x14ac:dyDescent="0.2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</row>
    <row r="7" spans="1:20" x14ac:dyDescent="0.2">
      <c r="A7" s="480"/>
      <c r="B7" s="480"/>
      <c r="C7" s="480"/>
      <c r="D7" s="481" t="s">
        <v>2402</v>
      </c>
      <c r="E7" s="481" t="s">
        <v>2403</v>
      </c>
      <c r="F7" s="481" t="s">
        <v>2404</v>
      </c>
      <c r="G7" s="481" t="s">
        <v>2405</v>
      </c>
      <c r="H7" s="481" t="s">
        <v>2406</v>
      </c>
      <c r="I7" s="481" t="s">
        <v>2407</v>
      </c>
      <c r="J7" s="481" t="s">
        <v>2408</v>
      </c>
      <c r="K7" s="481" t="s">
        <v>2409</v>
      </c>
      <c r="L7" s="480"/>
      <c r="M7" s="480"/>
      <c r="N7" s="480"/>
      <c r="O7" s="480"/>
      <c r="P7" s="480"/>
      <c r="Q7" s="480"/>
      <c r="R7" s="480"/>
      <c r="S7" s="480"/>
      <c r="T7" s="480"/>
    </row>
    <row r="8" spans="1:20" x14ac:dyDescent="0.2">
      <c r="A8" s="480"/>
      <c r="B8" s="480"/>
      <c r="C8" s="482" t="s">
        <v>2410</v>
      </c>
      <c r="D8" s="483">
        <v>30</v>
      </c>
      <c r="E8" s="483"/>
      <c r="F8" s="483">
        <v>32</v>
      </c>
      <c r="G8" s="483">
        <v>29</v>
      </c>
      <c r="H8" s="483">
        <v>26</v>
      </c>
      <c r="I8" s="483">
        <v>28</v>
      </c>
      <c r="J8" s="483">
        <v>27</v>
      </c>
      <c r="K8" s="484">
        <f>AVERAGE(D8:J8)</f>
        <v>28.666666666666668</v>
      </c>
      <c r="L8" s="485" t="s">
        <v>2414</v>
      </c>
      <c r="M8" s="480"/>
      <c r="N8" s="480"/>
      <c r="O8" s="480"/>
      <c r="P8" s="480"/>
      <c r="Q8" s="480"/>
      <c r="R8" s="480"/>
      <c r="S8" s="480"/>
      <c r="T8" s="480"/>
    </row>
    <row r="9" spans="1:20" x14ac:dyDescent="0.2">
      <c r="A9" s="480"/>
      <c r="B9" s="480"/>
      <c r="C9" s="482" t="s">
        <v>2412</v>
      </c>
      <c r="D9" s="483">
        <v>0</v>
      </c>
      <c r="E9" s="483"/>
      <c r="F9" s="483">
        <v>0</v>
      </c>
      <c r="G9" s="483">
        <v>4</v>
      </c>
      <c r="H9" s="483">
        <v>6</v>
      </c>
      <c r="I9" s="483">
        <v>3</v>
      </c>
      <c r="J9" s="483">
        <v>1</v>
      </c>
      <c r="K9" s="484">
        <f>AVERAGE(D9:J9)</f>
        <v>2.3333333333333335</v>
      </c>
      <c r="L9" s="485" t="s">
        <v>2415</v>
      </c>
      <c r="M9" s="480"/>
      <c r="N9" s="480"/>
      <c r="O9" s="480"/>
      <c r="P9" s="480"/>
      <c r="Q9" s="480"/>
      <c r="R9" s="480"/>
      <c r="S9" s="480"/>
      <c r="T9" s="480"/>
    </row>
    <row r="10" spans="1:20" x14ac:dyDescent="0.2">
      <c r="A10" s="480"/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0"/>
      <c r="Q10" s="480"/>
      <c r="R10" s="480"/>
      <c r="S10" s="480"/>
      <c r="T10" s="480"/>
    </row>
    <row r="11" spans="1:20" x14ac:dyDescent="0.2">
      <c r="A11" s="480"/>
      <c r="B11" s="480"/>
      <c r="C11" s="480"/>
      <c r="D11" s="481" t="s">
        <v>2402</v>
      </c>
      <c r="E11" s="481" t="s">
        <v>2403</v>
      </c>
      <c r="F11" s="481" t="s">
        <v>2404</v>
      </c>
      <c r="G11" s="481" t="s">
        <v>2405</v>
      </c>
      <c r="H11" s="481" t="s">
        <v>2406</v>
      </c>
      <c r="I11" s="481" t="s">
        <v>2407</v>
      </c>
      <c r="J11" s="481" t="s">
        <v>2408</v>
      </c>
      <c r="K11" s="481" t="s">
        <v>2409</v>
      </c>
      <c r="L11" s="480"/>
      <c r="M11" s="480"/>
      <c r="N11" s="480"/>
      <c r="O11" s="480"/>
      <c r="P11" s="480"/>
      <c r="Q11" s="480"/>
      <c r="R11" s="480"/>
      <c r="S11" s="480"/>
      <c r="T11" s="480"/>
    </row>
    <row r="12" spans="1:20" x14ac:dyDescent="0.2">
      <c r="A12" s="480"/>
      <c r="B12" s="480"/>
      <c r="C12" s="482" t="s">
        <v>2410</v>
      </c>
      <c r="D12" s="483">
        <v>30</v>
      </c>
      <c r="E12" s="483" t="s">
        <v>2416</v>
      </c>
      <c r="F12" s="483">
        <v>32</v>
      </c>
      <c r="G12" s="483">
        <v>29</v>
      </c>
      <c r="H12" s="483">
        <v>26</v>
      </c>
      <c r="I12" s="483">
        <v>28</v>
      </c>
      <c r="J12" s="483">
        <v>27</v>
      </c>
      <c r="K12" s="484">
        <f>AVERAGE(D12:J12)</f>
        <v>28.666666666666668</v>
      </c>
      <c r="L12" s="485" t="s">
        <v>2417</v>
      </c>
      <c r="M12" s="480"/>
      <c r="N12" s="480"/>
      <c r="O12" s="480"/>
      <c r="P12" s="480"/>
      <c r="Q12" s="480"/>
      <c r="R12" s="480"/>
      <c r="S12" s="480"/>
      <c r="T12" s="480"/>
    </row>
    <row r="13" spans="1:20" x14ac:dyDescent="0.2">
      <c r="A13" s="480"/>
      <c r="B13" s="480"/>
      <c r="C13" s="482" t="s">
        <v>2412</v>
      </c>
      <c r="D13" s="483">
        <v>0</v>
      </c>
      <c r="E13" s="483" t="s">
        <v>2418</v>
      </c>
      <c r="F13" s="483">
        <v>0</v>
      </c>
      <c r="G13" s="483">
        <v>4</v>
      </c>
      <c r="H13" s="483">
        <v>6</v>
      </c>
      <c r="I13" s="483">
        <v>3</v>
      </c>
      <c r="J13" s="483">
        <v>1</v>
      </c>
      <c r="K13" s="484">
        <f>AVERAGE(D13:J13)</f>
        <v>2.3333333333333335</v>
      </c>
      <c r="L13" s="485" t="s">
        <v>2419</v>
      </c>
      <c r="M13" s="480"/>
      <c r="N13" s="480"/>
      <c r="O13" s="480"/>
      <c r="P13" s="480"/>
      <c r="Q13" s="480"/>
      <c r="R13" s="480"/>
      <c r="S13" s="480"/>
      <c r="T13" s="480"/>
    </row>
    <row r="14" spans="1:20" x14ac:dyDescent="0.2">
      <c r="A14" s="480"/>
      <c r="B14" s="480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</row>
    <row r="15" spans="1:20" ht="13.5" thickBot="1" x14ac:dyDescent="0.25">
      <c r="A15" s="480"/>
      <c r="B15" s="486" t="s">
        <v>2865</v>
      </c>
      <c r="C15" s="486"/>
      <c r="D15" s="486"/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0"/>
      <c r="P15" s="480"/>
      <c r="Q15" s="480"/>
      <c r="R15" s="480"/>
      <c r="S15" s="480"/>
      <c r="T15" s="480"/>
    </row>
    <row r="16" spans="1:20" x14ac:dyDescent="0.2">
      <c r="A16" s="480"/>
      <c r="B16" s="480" t="s">
        <v>2420</v>
      </c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80"/>
      <c r="T16" s="480"/>
    </row>
    <row r="17" spans="1:20" x14ac:dyDescent="0.2">
      <c r="A17" s="480"/>
      <c r="B17" s="480" t="s">
        <v>2421</v>
      </c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0"/>
      <c r="S17" s="480"/>
      <c r="T17" s="480"/>
    </row>
    <row r="18" spans="1:20" x14ac:dyDescent="0.2">
      <c r="A18" s="480"/>
      <c r="B18" s="480" t="s">
        <v>2422</v>
      </c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0"/>
      <c r="S18" s="480"/>
      <c r="T18" s="480"/>
    </row>
    <row r="19" spans="1:20" x14ac:dyDescent="0.2">
      <c r="A19" s="480"/>
      <c r="B19" s="480"/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0"/>
      <c r="S19" s="480"/>
      <c r="T19" s="480"/>
    </row>
    <row r="20" spans="1:20" ht="13.5" thickBot="1" x14ac:dyDescent="0.25">
      <c r="A20" s="480"/>
      <c r="B20" s="486" t="s">
        <v>998</v>
      </c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0"/>
      <c r="P20" s="480"/>
      <c r="Q20" s="480"/>
      <c r="R20" s="480"/>
      <c r="S20" s="480"/>
      <c r="T20" s="480"/>
    </row>
    <row r="21" spans="1:20" x14ac:dyDescent="0.2">
      <c r="A21" s="480"/>
      <c r="B21" s="487" t="s">
        <v>2423</v>
      </c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0"/>
      <c r="S21" s="480"/>
      <c r="T21" s="480"/>
    </row>
    <row r="22" spans="1:20" x14ac:dyDescent="0.2">
      <c r="A22" s="480"/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0"/>
      <c r="S22" s="480"/>
      <c r="T22" s="480"/>
    </row>
    <row r="23" spans="1:20" ht="13.5" thickBot="1" x14ac:dyDescent="0.25">
      <c r="A23" s="480"/>
      <c r="B23" s="486" t="s">
        <v>3355</v>
      </c>
      <c r="C23" s="486"/>
      <c r="D23" s="486"/>
      <c r="E23" s="486"/>
      <c r="F23" s="486"/>
      <c r="G23" s="486"/>
      <c r="H23" s="486"/>
      <c r="I23" s="486"/>
      <c r="J23" s="486"/>
      <c r="K23" s="486"/>
      <c r="L23" s="486"/>
      <c r="M23" s="486"/>
      <c r="N23" s="486"/>
      <c r="O23" s="480"/>
      <c r="P23" s="480"/>
      <c r="Q23" s="480"/>
      <c r="R23" s="480"/>
      <c r="S23" s="480"/>
      <c r="T23" s="480"/>
    </row>
    <row r="24" spans="1:20" x14ac:dyDescent="0.2">
      <c r="A24" s="480"/>
      <c r="B24" s="480" t="s">
        <v>2424</v>
      </c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0"/>
      <c r="S24" s="480"/>
      <c r="T24" s="480"/>
    </row>
    <row r="25" spans="1:20" x14ac:dyDescent="0.2">
      <c r="A25" s="480"/>
      <c r="B25" s="480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0"/>
      <c r="S25" s="480"/>
      <c r="T25" s="480"/>
    </row>
    <row r="26" spans="1:20" ht="13.5" thickBot="1" x14ac:dyDescent="0.25">
      <c r="A26" s="480"/>
      <c r="B26" s="486" t="s">
        <v>2659</v>
      </c>
      <c r="C26" s="486"/>
      <c r="D26" s="486"/>
      <c r="E26" s="486"/>
      <c r="F26" s="486"/>
      <c r="G26" s="486"/>
      <c r="H26" s="486"/>
      <c r="I26" s="486"/>
      <c r="J26" s="486"/>
      <c r="K26" s="486"/>
      <c r="L26" s="486"/>
      <c r="M26" s="486"/>
      <c r="N26" s="486"/>
      <c r="O26" s="480"/>
      <c r="P26" s="480"/>
      <c r="Q26" s="480"/>
      <c r="R26" s="480"/>
      <c r="S26" s="480"/>
      <c r="T26" s="480"/>
    </row>
    <row r="27" spans="1:20" x14ac:dyDescent="0.2">
      <c r="A27" s="480"/>
      <c r="B27" s="480" t="s">
        <v>2425</v>
      </c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0"/>
      <c r="S27" s="480"/>
      <c r="T27" s="480"/>
    </row>
    <row r="28" spans="1:20" x14ac:dyDescent="0.2">
      <c r="A28" s="480"/>
      <c r="B28" s="480" t="s">
        <v>2426</v>
      </c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0"/>
      <c r="S28" s="480"/>
      <c r="T28" s="480"/>
    </row>
    <row r="29" spans="1:20" x14ac:dyDescent="0.2">
      <c r="A29" s="480"/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0"/>
      <c r="S29" s="480"/>
      <c r="T29" s="480"/>
    </row>
    <row r="30" spans="1:20" x14ac:dyDescent="0.2">
      <c r="A30" s="480"/>
      <c r="B30" s="480"/>
      <c r="C30" s="480"/>
      <c r="D30" s="481" t="s">
        <v>2402</v>
      </c>
      <c r="E30" s="481" t="s">
        <v>2403</v>
      </c>
      <c r="F30" s="481" t="s">
        <v>2404</v>
      </c>
      <c r="G30" s="481" t="s">
        <v>2405</v>
      </c>
      <c r="H30" s="481" t="s">
        <v>2406</v>
      </c>
      <c r="I30" s="481" t="s">
        <v>2407</v>
      </c>
      <c r="J30" s="481" t="s">
        <v>2408</v>
      </c>
      <c r="K30" s="481" t="s">
        <v>2409</v>
      </c>
      <c r="L30" s="480"/>
      <c r="M30" s="480"/>
      <c r="N30" s="480"/>
      <c r="O30" s="480"/>
      <c r="P30" s="480"/>
      <c r="Q30" s="480"/>
      <c r="R30" s="480"/>
      <c r="S30" s="480"/>
      <c r="T30" s="480"/>
    </row>
    <row r="31" spans="1:20" x14ac:dyDescent="0.2">
      <c r="A31" s="480"/>
      <c r="B31" s="480"/>
      <c r="C31" s="482" t="s">
        <v>2410</v>
      </c>
      <c r="D31" s="483">
        <v>30</v>
      </c>
      <c r="E31" s="483" t="s">
        <v>2416</v>
      </c>
      <c r="F31" s="483">
        <v>32</v>
      </c>
      <c r="G31" s="483">
        <v>29</v>
      </c>
      <c r="H31" s="483">
        <v>26</v>
      </c>
      <c r="I31" s="483">
        <v>28</v>
      </c>
      <c r="J31" s="483">
        <v>27</v>
      </c>
      <c r="K31" s="484">
        <f>SUM(D31:J31)/COUNTA(D31:J31)</f>
        <v>24.571428571428573</v>
      </c>
      <c r="L31" s="485" t="s">
        <v>2427</v>
      </c>
      <c r="M31" s="480"/>
      <c r="N31" s="480"/>
      <c r="O31" s="480"/>
      <c r="P31" s="480"/>
      <c r="Q31" s="480"/>
      <c r="R31" s="480"/>
      <c r="S31" s="480"/>
      <c r="T31" s="480"/>
    </row>
    <row r="32" spans="1:20" x14ac:dyDescent="0.2">
      <c r="A32" s="480"/>
      <c r="B32" s="480"/>
      <c r="C32" s="482" t="s">
        <v>2412</v>
      </c>
      <c r="D32" s="483">
        <v>0</v>
      </c>
      <c r="E32" s="483" t="s">
        <v>2418</v>
      </c>
      <c r="F32" s="483">
        <v>0</v>
      </c>
      <c r="G32" s="483">
        <v>4</v>
      </c>
      <c r="H32" s="483">
        <v>6</v>
      </c>
      <c r="I32" s="483">
        <v>3</v>
      </c>
      <c r="J32" s="483">
        <v>1</v>
      </c>
      <c r="K32" s="484">
        <f>SUM(D32:J32)/COUNTA(D32:J32)</f>
        <v>2</v>
      </c>
      <c r="L32" s="485" t="s">
        <v>2428</v>
      </c>
      <c r="M32" s="480"/>
      <c r="N32" s="480"/>
      <c r="O32" s="480"/>
      <c r="P32" s="480"/>
      <c r="Q32" s="480"/>
      <c r="R32" s="480"/>
      <c r="S32" s="480"/>
      <c r="T32" s="480"/>
    </row>
    <row r="33" spans="1:20" x14ac:dyDescent="0.2">
      <c r="A33" s="480"/>
      <c r="B33" s="480"/>
      <c r="C33" s="480"/>
      <c r="D33" s="480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0"/>
      <c r="S33" s="480"/>
      <c r="T33" s="480"/>
    </row>
    <row r="34" spans="1:20" x14ac:dyDescent="0.2">
      <c r="A34" s="480"/>
      <c r="B34" s="480"/>
      <c r="C34" s="480"/>
      <c r="D34" s="481" t="s">
        <v>2402</v>
      </c>
      <c r="E34" s="481" t="s">
        <v>2403</v>
      </c>
      <c r="F34" s="481" t="s">
        <v>2404</v>
      </c>
      <c r="G34" s="481" t="s">
        <v>2405</v>
      </c>
      <c r="H34" s="481" t="s">
        <v>2406</v>
      </c>
      <c r="I34" s="481" t="s">
        <v>2407</v>
      </c>
      <c r="J34" s="481" t="s">
        <v>2408</v>
      </c>
      <c r="K34" s="481" t="s">
        <v>2409</v>
      </c>
      <c r="L34" s="480"/>
      <c r="M34" s="480"/>
      <c r="N34" s="480"/>
      <c r="O34" s="480"/>
      <c r="P34" s="480"/>
      <c r="Q34" s="480"/>
      <c r="R34" s="480"/>
      <c r="S34" s="480"/>
      <c r="T34" s="480"/>
    </row>
    <row r="35" spans="1:20" x14ac:dyDescent="0.2">
      <c r="A35" s="480"/>
      <c r="B35" s="480"/>
      <c r="C35" s="482" t="s">
        <v>2410</v>
      </c>
      <c r="D35" s="483">
        <v>30</v>
      </c>
      <c r="E35" s="483"/>
      <c r="F35" s="483">
        <v>32</v>
      </c>
      <c r="G35" s="483">
        <v>29</v>
      </c>
      <c r="H35" s="483">
        <v>26</v>
      </c>
      <c r="I35" s="483">
        <v>28</v>
      </c>
      <c r="J35" s="483">
        <v>27</v>
      </c>
      <c r="K35" s="484">
        <f>SUM(D35:J35)/COUNTA(D35:J35)</f>
        <v>28.666666666666668</v>
      </c>
      <c r="L35" s="485" t="s">
        <v>2429</v>
      </c>
      <c r="M35" s="480"/>
      <c r="N35" s="480"/>
      <c r="O35" s="480"/>
      <c r="P35" s="480"/>
      <c r="Q35" s="480"/>
      <c r="R35" s="480"/>
      <c r="S35" s="480"/>
      <c r="T35" s="480"/>
    </row>
    <row r="36" spans="1:20" x14ac:dyDescent="0.2">
      <c r="A36" s="480"/>
      <c r="B36" s="480"/>
      <c r="C36" s="482" t="s">
        <v>2412</v>
      </c>
      <c r="D36" s="483">
        <v>0</v>
      </c>
      <c r="E36" s="483"/>
      <c r="F36" s="483">
        <v>0</v>
      </c>
      <c r="G36" s="483">
        <v>4</v>
      </c>
      <c r="H36" s="483">
        <v>6</v>
      </c>
      <c r="I36" s="483">
        <v>3</v>
      </c>
      <c r="J36" s="483">
        <v>1</v>
      </c>
      <c r="K36" s="484">
        <f>SUM(D36:J36)/COUNTA(D36:J36)</f>
        <v>2.3333333333333335</v>
      </c>
      <c r="L36" s="485" t="s">
        <v>2430</v>
      </c>
      <c r="M36" s="480"/>
      <c r="N36" s="480"/>
      <c r="O36" s="480"/>
      <c r="P36" s="480"/>
      <c r="Q36" s="480"/>
      <c r="R36" s="480"/>
      <c r="S36" s="480"/>
      <c r="T36" s="480"/>
    </row>
    <row r="37" spans="1:20" x14ac:dyDescent="0.2">
      <c r="A37" s="480"/>
      <c r="B37" s="480"/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0"/>
      <c r="S37" s="480"/>
      <c r="T37" s="480"/>
    </row>
    <row r="38" spans="1:20" x14ac:dyDescent="0.2">
      <c r="A38" s="480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0"/>
      <c r="S38" s="480"/>
      <c r="T38" s="480"/>
    </row>
    <row r="39" spans="1:20" x14ac:dyDescent="0.2">
      <c r="A39" s="480"/>
      <c r="B39" s="480" t="s">
        <v>2431</v>
      </c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80"/>
      <c r="T39" s="480"/>
    </row>
    <row r="40" spans="1:20" x14ac:dyDescent="0.2">
      <c r="A40" s="480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80"/>
      <c r="T40" s="480"/>
    </row>
    <row r="41" spans="1:20" x14ac:dyDescent="0.2">
      <c r="A41" s="480"/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</row>
    <row r="42" spans="1:20" x14ac:dyDescent="0.2">
      <c r="A42" s="480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</row>
    <row r="43" spans="1:20" x14ac:dyDescent="0.2">
      <c r="A43" s="480"/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80"/>
      <c r="T43" s="480"/>
    </row>
    <row r="44" spans="1:20" x14ac:dyDescent="0.2">
      <c r="A44" s="480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480"/>
      <c r="O44" s="480"/>
      <c r="P44" s="480"/>
      <c r="Q44" s="480"/>
      <c r="R44" s="480"/>
      <c r="S44" s="480"/>
      <c r="T44" s="480"/>
    </row>
    <row r="45" spans="1:20" x14ac:dyDescent="0.2">
      <c r="A45" s="480"/>
      <c r="B45" s="480"/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  <c r="P45" s="480"/>
      <c r="Q45" s="480"/>
      <c r="R45" s="480"/>
      <c r="S45" s="480"/>
      <c r="T45" s="480"/>
    </row>
    <row r="46" spans="1:20" x14ac:dyDescent="0.2">
      <c r="A46" s="480"/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</row>
    <row r="47" spans="1:20" x14ac:dyDescent="0.2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</row>
    <row r="48" spans="1:20" x14ac:dyDescent="0.2">
      <c r="A48" s="480"/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</row>
    <row r="49" spans="1:20" x14ac:dyDescent="0.2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</row>
    <row r="50" spans="1:20" x14ac:dyDescent="0.2">
      <c r="A50" s="480"/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  <c r="S50" s="480"/>
      <c r="T50" s="480"/>
    </row>
    <row r="51" spans="1:20" x14ac:dyDescent="0.2">
      <c r="A51" s="480"/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0"/>
      <c r="S51" s="480"/>
      <c r="T51" s="480"/>
    </row>
  </sheetData>
  <sheetProtection password="F663" sheet="1" objects="1" scenarios="1"/>
  <phoneticPr fontId="0" type="noConversion"/>
  <pageMargins left="0.31" right="0.23" top="0.59" bottom="0.98425196850393704" header="0.41" footer="0.511811023622047"/>
  <pageSetup paperSize="9" scale="90" fitToHeight="5" orientation="portrait" r:id="rId1"/>
  <headerFooter alignWithMargins="0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I36"/>
  <sheetViews>
    <sheetView showGridLines="0" workbookViewId="0">
      <pane ySplit="1" topLeftCell="A2" activePane="bottomLeft" state="frozen"/>
      <selection activeCell="A3" sqref="A3"/>
      <selection pane="bottomLeft" activeCell="H7" sqref="H7"/>
    </sheetView>
  </sheetViews>
  <sheetFormatPr defaultRowHeight="12.75" x14ac:dyDescent="0.2"/>
  <cols>
    <col min="1" max="1" width="2.7109375" customWidth="1"/>
    <col min="7" max="7" width="20.5703125" customWidth="1"/>
    <col min="8" max="8" width="14" customWidth="1"/>
    <col min="10" max="10" width="8.7109375" customWidth="1"/>
  </cols>
  <sheetData>
    <row r="1" spans="1:9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2" spans="1:9" ht="13.5" thickBot="1" x14ac:dyDescent="0.25"/>
    <row r="3" spans="1:9" ht="13.5" thickTop="1" x14ac:dyDescent="0.2">
      <c r="B3" s="49" t="s">
        <v>3143</v>
      </c>
      <c r="C3" s="64" t="s">
        <v>1946</v>
      </c>
      <c r="D3" s="65" t="s">
        <v>3144</v>
      </c>
      <c r="F3" s="8">
        <f>AREAS(PeopleLists)</f>
        <v>2</v>
      </c>
      <c r="G3" s="66" t="s">
        <v>3145</v>
      </c>
    </row>
    <row r="4" spans="1:9" x14ac:dyDescent="0.2">
      <c r="C4" s="67" t="s">
        <v>3361</v>
      </c>
      <c r="D4" s="68">
        <v>18</v>
      </c>
    </row>
    <row r="5" spans="1:9" x14ac:dyDescent="0.2">
      <c r="C5" s="67" t="s">
        <v>3362</v>
      </c>
      <c r="D5" s="68">
        <v>17</v>
      </c>
    </row>
    <row r="6" spans="1:9" ht="13.5" thickBot="1" x14ac:dyDescent="0.25">
      <c r="C6" s="69" t="s">
        <v>3363</v>
      </c>
      <c r="D6" s="70">
        <v>20</v>
      </c>
    </row>
    <row r="7" spans="1:9" ht="14.25" thickTop="1" thickBot="1" x14ac:dyDescent="0.25"/>
    <row r="8" spans="1:9" ht="13.5" thickTop="1" x14ac:dyDescent="0.2">
      <c r="B8" s="49" t="s">
        <v>3146</v>
      </c>
      <c r="C8" s="71" t="s">
        <v>1946</v>
      </c>
      <c r="D8" s="72" t="s">
        <v>3144</v>
      </c>
    </row>
    <row r="9" spans="1:9" x14ac:dyDescent="0.2">
      <c r="C9" s="73" t="s">
        <v>1952</v>
      </c>
      <c r="D9" s="74">
        <v>20</v>
      </c>
    </row>
    <row r="10" spans="1:9" x14ac:dyDescent="0.2">
      <c r="C10" s="73" t="s">
        <v>3134</v>
      </c>
      <c r="D10" s="74">
        <v>16</v>
      </c>
    </row>
    <row r="11" spans="1:9" ht="13.5" thickBot="1" x14ac:dyDescent="0.25">
      <c r="C11" s="75" t="s">
        <v>3136</v>
      </c>
      <c r="D11" s="76">
        <v>19</v>
      </c>
    </row>
    <row r="12" spans="1:9" ht="13.5" thickTop="1" x14ac:dyDescent="0.2"/>
    <row r="13" spans="1:9" ht="13.5" thickBot="1" x14ac:dyDescent="0.25">
      <c r="B13" s="2" t="s">
        <v>3118</v>
      </c>
      <c r="C13" s="2"/>
      <c r="D13" s="2"/>
      <c r="E13" s="2"/>
      <c r="F13" s="2"/>
      <c r="G13" s="2"/>
      <c r="H13" s="2"/>
    </row>
    <row r="14" spans="1:9" x14ac:dyDescent="0.2">
      <c r="B14" t="s">
        <v>3147</v>
      </c>
    </row>
    <row r="15" spans="1:9" x14ac:dyDescent="0.2">
      <c r="B15" t="s">
        <v>3148</v>
      </c>
    </row>
    <row r="16" spans="1:9" x14ac:dyDescent="0.2">
      <c r="B16" t="s">
        <v>3149</v>
      </c>
    </row>
    <row r="17" spans="2:8" x14ac:dyDescent="0.2">
      <c r="B17" t="s">
        <v>3150</v>
      </c>
    </row>
    <row r="18" spans="2:8" x14ac:dyDescent="0.2">
      <c r="B18" t="s">
        <v>3151</v>
      </c>
    </row>
    <row r="20" spans="2:8" ht="13.5" thickBot="1" x14ac:dyDescent="0.25">
      <c r="B20" s="2" t="s">
        <v>998</v>
      </c>
      <c r="C20" s="2"/>
      <c r="D20" s="2"/>
      <c r="E20" s="2"/>
      <c r="F20" s="2"/>
      <c r="G20" s="2"/>
      <c r="H20" s="2"/>
    </row>
    <row r="21" spans="2:8" x14ac:dyDescent="0.2">
      <c r="B21" t="s">
        <v>3152</v>
      </c>
    </row>
    <row r="23" spans="2:8" ht="13.5" thickBot="1" x14ac:dyDescent="0.25">
      <c r="B23" s="2" t="s">
        <v>3355</v>
      </c>
      <c r="C23" s="2"/>
      <c r="D23" s="2"/>
      <c r="E23" s="2"/>
      <c r="F23" s="2"/>
      <c r="G23" s="2"/>
      <c r="H23" s="2"/>
    </row>
    <row r="24" spans="2:8" x14ac:dyDescent="0.2">
      <c r="B24" t="s">
        <v>3153</v>
      </c>
    </row>
    <row r="26" spans="2:8" ht="13.5" thickBot="1" x14ac:dyDescent="0.25">
      <c r="B26" s="2" t="s">
        <v>1001</v>
      </c>
      <c r="C26" s="2"/>
      <c r="D26" s="2"/>
      <c r="E26" s="2"/>
      <c r="F26" s="2"/>
      <c r="G26" s="2"/>
      <c r="H26" s="2"/>
    </row>
    <row r="27" spans="2:8" x14ac:dyDescent="0.2">
      <c r="B27" t="s">
        <v>3154</v>
      </c>
    </row>
    <row r="28" spans="2:8" x14ac:dyDescent="0.2">
      <c r="B28" t="s">
        <v>2395</v>
      </c>
    </row>
    <row r="29" spans="2:8" x14ac:dyDescent="0.2">
      <c r="B29" t="s">
        <v>2396</v>
      </c>
    </row>
    <row r="30" spans="2:8" x14ac:dyDescent="0.2">
      <c r="B30" t="s">
        <v>2397</v>
      </c>
    </row>
    <row r="32" spans="2:8" ht="13.5" thickBot="1" x14ac:dyDescent="0.25">
      <c r="B32" s="2" t="s">
        <v>2659</v>
      </c>
      <c r="C32" s="2"/>
      <c r="D32" s="2"/>
      <c r="E32" s="2"/>
      <c r="F32" s="2"/>
      <c r="G32" s="2"/>
      <c r="H32" s="2"/>
    </row>
    <row r="33" spans="2:2" x14ac:dyDescent="0.2">
      <c r="B33" t="s">
        <v>2398</v>
      </c>
    </row>
    <row r="34" spans="2:2" x14ac:dyDescent="0.2">
      <c r="B34" t="s">
        <v>2399</v>
      </c>
    </row>
    <row r="35" spans="2:2" x14ac:dyDescent="0.2">
      <c r="B35" t="s">
        <v>2400</v>
      </c>
    </row>
    <row r="36" spans="2:2" x14ac:dyDescent="0.2">
      <c r="B36" t="s">
        <v>2401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66"/>
  <sheetViews>
    <sheetView showGridLines="0" workbookViewId="0">
      <pane ySplit="1" topLeftCell="A18" activePane="bottomLeft" state="frozen"/>
      <selection activeCell="A3" sqref="A3"/>
      <selection pane="bottomLeft" activeCell="C41" sqref="C41"/>
    </sheetView>
  </sheetViews>
  <sheetFormatPr defaultRowHeight="12.75" x14ac:dyDescent="0.2"/>
  <cols>
    <col min="1" max="1" width="2.7109375" customWidth="1"/>
    <col min="6" max="6" width="12.7109375" customWidth="1"/>
    <col min="7" max="7" width="11.85546875" customWidth="1"/>
    <col min="9" max="9" width="11.7109375" customWidth="1"/>
    <col min="10" max="10" width="11.5703125" customWidth="1"/>
  </cols>
  <sheetData>
    <row r="1" spans="1:15" ht="40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  <c r="K1" s="1"/>
      <c r="L1" s="1"/>
      <c r="M1" s="1"/>
      <c r="N1" s="1"/>
      <c r="O1" s="1"/>
    </row>
    <row r="2" spans="1:15" x14ac:dyDescent="0.2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</row>
    <row r="3" spans="1:15" x14ac:dyDescent="0.2">
      <c r="A3" s="480"/>
      <c r="B3" s="480"/>
      <c r="C3" s="501" t="s">
        <v>3112</v>
      </c>
      <c r="D3" s="501"/>
      <c r="E3" s="481" t="s">
        <v>3113</v>
      </c>
      <c r="F3" s="480"/>
      <c r="G3" s="480"/>
      <c r="H3" s="480"/>
      <c r="I3" s="480"/>
      <c r="J3" s="480"/>
      <c r="K3" s="480"/>
      <c r="L3" s="480"/>
      <c r="M3" s="480"/>
      <c r="N3" s="480"/>
      <c r="O3" s="480"/>
    </row>
    <row r="4" spans="1:15" x14ac:dyDescent="0.2">
      <c r="A4" s="480"/>
      <c r="B4" s="480"/>
      <c r="C4" s="483">
        <v>500</v>
      </c>
      <c r="D4" s="483">
        <v>800</v>
      </c>
      <c r="E4" s="484" t="b">
        <f>AND(C4&gt;=100,D4&gt;=100)</f>
        <v>1</v>
      </c>
      <c r="F4" s="502" t="s">
        <v>3114</v>
      </c>
      <c r="G4" s="480"/>
      <c r="H4" s="480"/>
      <c r="I4" s="480"/>
      <c r="J4" s="480"/>
      <c r="K4" s="480"/>
      <c r="L4" s="480"/>
      <c r="M4" s="480"/>
      <c r="N4" s="480"/>
      <c r="O4" s="480"/>
    </row>
    <row r="5" spans="1:15" x14ac:dyDescent="0.2">
      <c r="A5" s="480"/>
      <c r="B5" s="480"/>
      <c r="C5" s="483">
        <v>500</v>
      </c>
      <c r="D5" s="483">
        <v>25</v>
      </c>
      <c r="E5" s="484" t="b">
        <f>AND(C5&gt;=100,D5&gt;=100)</f>
        <v>0</v>
      </c>
      <c r="F5" s="502" t="s">
        <v>3115</v>
      </c>
      <c r="G5" s="480"/>
      <c r="H5" s="480"/>
      <c r="I5" s="480"/>
      <c r="J5" s="480"/>
      <c r="K5" s="480"/>
      <c r="L5" s="480"/>
      <c r="M5" s="480"/>
      <c r="N5" s="480"/>
      <c r="O5" s="480"/>
    </row>
    <row r="6" spans="1:15" x14ac:dyDescent="0.2">
      <c r="A6" s="480"/>
      <c r="B6" s="480"/>
      <c r="C6" s="483">
        <v>25</v>
      </c>
      <c r="D6" s="483">
        <v>500</v>
      </c>
      <c r="E6" s="484" t="b">
        <f>AND(C6&gt;=100,D6&gt;=100)</f>
        <v>0</v>
      </c>
      <c r="F6" s="502" t="s">
        <v>3116</v>
      </c>
      <c r="G6" s="480"/>
      <c r="H6" s="480"/>
      <c r="I6" s="480"/>
      <c r="J6" s="480"/>
      <c r="K6" s="480"/>
      <c r="L6" s="480"/>
      <c r="M6" s="480"/>
      <c r="N6" s="480"/>
      <c r="O6" s="480"/>
    </row>
    <row r="7" spans="1:15" x14ac:dyDescent="0.2">
      <c r="A7" s="480"/>
      <c r="B7" s="480"/>
      <c r="C7" s="480"/>
      <c r="D7" s="483">
        <v>12</v>
      </c>
      <c r="E7" s="484" t="b">
        <f>AND(D7&gt;=1,D7&lt;=52)</f>
        <v>1</v>
      </c>
      <c r="F7" s="502" t="s">
        <v>3117</v>
      </c>
      <c r="G7" s="480"/>
      <c r="H7" s="480"/>
      <c r="I7" s="480"/>
      <c r="J7" s="480"/>
      <c r="K7" s="480"/>
      <c r="L7" s="480"/>
      <c r="M7" s="480"/>
      <c r="N7" s="480"/>
      <c r="O7" s="480"/>
    </row>
    <row r="8" spans="1:15" x14ac:dyDescent="0.2">
      <c r="A8" s="480"/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</row>
    <row r="9" spans="1:15" ht="13.5" thickBot="1" x14ac:dyDescent="0.25">
      <c r="A9" s="480"/>
      <c r="B9" s="486" t="s">
        <v>3118</v>
      </c>
      <c r="C9" s="486"/>
      <c r="D9" s="486"/>
      <c r="E9" s="486"/>
      <c r="F9" s="486"/>
      <c r="G9" s="486"/>
      <c r="H9" s="486"/>
      <c r="I9" s="486"/>
      <c r="J9" s="480"/>
      <c r="K9" s="480"/>
      <c r="L9" s="480"/>
      <c r="M9" s="480"/>
      <c r="N9" s="480"/>
      <c r="O9" s="480"/>
    </row>
    <row r="10" spans="1:15" x14ac:dyDescent="0.2">
      <c r="A10" s="480"/>
      <c r="B10" s="480" t="s">
        <v>3119</v>
      </c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</row>
    <row r="11" spans="1:15" x14ac:dyDescent="0.2">
      <c r="A11" s="480"/>
      <c r="B11" s="480" t="s">
        <v>3120</v>
      </c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</row>
    <row r="12" spans="1:15" x14ac:dyDescent="0.2">
      <c r="A12" s="480"/>
      <c r="B12" s="480" t="s">
        <v>3121</v>
      </c>
      <c r="C12" s="480"/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</row>
    <row r="13" spans="1:15" x14ac:dyDescent="0.2">
      <c r="A13" s="480"/>
      <c r="B13" s="480" t="s">
        <v>3122</v>
      </c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</row>
    <row r="14" spans="1:15" x14ac:dyDescent="0.2">
      <c r="A14" s="480"/>
      <c r="B14" s="480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</row>
    <row r="15" spans="1:15" ht="13.5" thickBot="1" x14ac:dyDescent="0.25">
      <c r="A15" s="480"/>
      <c r="B15" s="486" t="s">
        <v>998</v>
      </c>
      <c r="C15" s="486"/>
      <c r="D15" s="486"/>
      <c r="E15" s="486"/>
      <c r="F15" s="486"/>
      <c r="G15" s="486"/>
      <c r="H15" s="486"/>
      <c r="I15" s="486"/>
      <c r="J15" s="480"/>
      <c r="K15" s="480"/>
      <c r="L15" s="480"/>
      <c r="M15" s="480"/>
      <c r="N15" s="480"/>
      <c r="O15" s="480"/>
    </row>
    <row r="16" spans="1:15" x14ac:dyDescent="0.2">
      <c r="A16" s="480"/>
      <c r="B16" s="480" t="s">
        <v>3123</v>
      </c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</row>
    <row r="17" spans="1:15" x14ac:dyDescent="0.2">
      <c r="A17" s="480"/>
      <c r="B17" s="480" t="s">
        <v>3124</v>
      </c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</row>
    <row r="18" spans="1:15" x14ac:dyDescent="0.2">
      <c r="A18" s="480"/>
      <c r="B18" s="480"/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</row>
    <row r="19" spans="1:15" ht="13.5" thickBot="1" x14ac:dyDescent="0.25">
      <c r="A19" s="480"/>
      <c r="B19" s="486" t="s">
        <v>3355</v>
      </c>
      <c r="C19" s="486"/>
      <c r="D19" s="486"/>
      <c r="E19" s="486"/>
      <c r="F19" s="486"/>
      <c r="G19" s="486"/>
      <c r="H19" s="486"/>
      <c r="I19" s="486"/>
      <c r="J19" s="480"/>
      <c r="K19" s="480"/>
      <c r="L19" s="480"/>
      <c r="M19" s="480"/>
      <c r="N19" s="480"/>
      <c r="O19" s="480"/>
    </row>
    <row r="20" spans="1:15" x14ac:dyDescent="0.2">
      <c r="A20" s="480"/>
      <c r="B20" s="480" t="s">
        <v>3125</v>
      </c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</row>
    <row r="21" spans="1:15" x14ac:dyDescent="0.2">
      <c r="A21" s="480"/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</row>
    <row r="22" spans="1:15" ht="13.5" thickBot="1" x14ac:dyDescent="0.25">
      <c r="A22" s="480"/>
      <c r="B22" s="486" t="s">
        <v>1937</v>
      </c>
      <c r="C22" s="486"/>
      <c r="D22" s="486"/>
      <c r="E22" s="486"/>
      <c r="F22" s="486"/>
      <c r="G22" s="486"/>
      <c r="H22" s="486"/>
      <c r="I22" s="486"/>
      <c r="J22" s="480"/>
      <c r="K22" s="480"/>
      <c r="L22" s="480"/>
      <c r="M22" s="480"/>
      <c r="N22" s="480"/>
      <c r="O22" s="480"/>
    </row>
    <row r="23" spans="1:15" x14ac:dyDescent="0.2">
      <c r="A23" s="480"/>
      <c r="B23" s="480" t="s">
        <v>3126</v>
      </c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</row>
    <row r="24" spans="1:15" x14ac:dyDescent="0.2">
      <c r="A24" s="480"/>
      <c r="B24" s="480" t="s">
        <v>3127</v>
      </c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</row>
    <row r="25" spans="1:15" x14ac:dyDescent="0.2">
      <c r="A25" s="480"/>
      <c r="B25" s="480" t="s">
        <v>3128</v>
      </c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</row>
    <row r="26" spans="1:15" x14ac:dyDescent="0.2">
      <c r="A26" s="480"/>
      <c r="B26" s="480" t="s">
        <v>3129</v>
      </c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</row>
    <row r="27" spans="1:15" x14ac:dyDescent="0.2">
      <c r="A27" s="480"/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</row>
    <row r="28" spans="1:15" x14ac:dyDescent="0.2">
      <c r="A28" s="480"/>
      <c r="B28" s="481" t="s">
        <v>1946</v>
      </c>
      <c r="C28" s="481" t="s">
        <v>3130</v>
      </c>
      <c r="D28" s="481" t="s">
        <v>3131</v>
      </c>
      <c r="E28" s="481" t="s">
        <v>3132</v>
      </c>
      <c r="F28" s="481" t="s">
        <v>3133</v>
      </c>
      <c r="G28" s="480"/>
      <c r="H28" s="480"/>
      <c r="I28" s="480"/>
      <c r="J28" s="480"/>
      <c r="K28" s="480"/>
      <c r="L28" s="480"/>
      <c r="M28" s="480"/>
      <c r="N28" s="480"/>
      <c r="O28" s="480"/>
    </row>
    <row r="29" spans="1:15" x14ac:dyDescent="0.2">
      <c r="A29" s="480"/>
      <c r="B29" s="483" t="s">
        <v>3361</v>
      </c>
      <c r="C29" s="483">
        <v>80</v>
      </c>
      <c r="D29" s="483">
        <v>75</v>
      </c>
      <c r="E29" s="483">
        <v>85</v>
      </c>
      <c r="F29" s="484" t="b">
        <f t="shared" ref="F29:F38" si="0">AND(C29&gt;=AVERAGE($C$29:$C$38),D29&gt;=AVERAGE($D$29:$D$38),E29&gt;=AVERAGE($E$29:$E$38))</f>
        <v>1</v>
      </c>
      <c r="G29" s="480"/>
      <c r="H29" s="480"/>
      <c r="I29" s="480"/>
      <c r="J29" s="480"/>
      <c r="K29" s="480"/>
      <c r="L29" s="480"/>
      <c r="M29" s="480"/>
      <c r="N29" s="480"/>
      <c r="O29" s="480"/>
    </row>
    <row r="30" spans="1:15" x14ac:dyDescent="0.2">
      <c r="A30" s="480"/>
      <c r="B30" s="483" t="s">
        <v>3362</v>
      </c>
      <c r="C30" s="483">
        <v>50</v>
      </c>
      <c r="D30" s="483">
        <v>30</v>
      </c>
      <c r="E30" s="483">
        <v>40</v>
      </c>
      <c r="F30" s="484" t="b">
        <f t="shared" si="0"/>
        <v>0</v>
      </c>
      <c r="G30" s="480"/>
      <c r="H30" s="480"/>
      <c r="I30" s="480"/>
      <c r="J30" s="480"/>
      <c r="K30" s="480"/>
      <c r="L30" s="480"/>
      <c r="M30" s="480"/>
      <c r="N30" s="480"/>
      <c r="O30" s="480"/>
    </row>
    <row r="31" spans="1:15" x14ac:dyDescent="0.2">
      <c r="A31" s="480"/>
      <c r="B31" s="483" t="s">
        <v>3363</v>
      </c>
      <c r="C31" s="483">
        <v>60</v>
      </c>
      <c r="D31" s="483">
        <v>70</v>
      </c>
      <c r="E31" s="483">
        <v>50</v>
      </c>
      <c r="F31" s="484" t="b">
        <f t="shared" si="0"/>
        <v>0</v>
      </c>
      <c r="G31" s="480"/>
      <c r="H31" s="480"/>
      <c r="I31" s="480"/>
      <c r="J31" s="480"/>
      <c r="K31" s="480"/>
      <c r="L31" s="480"/>
      <c r="M31" s="480"/>
      <c r="N31" s="480"/>
      <c r="O31" s="480"/>
    </row>
    <row r="32" spans="1:15" x14ac:dyDescent="0.2">
      <c r="A32" s="480"/>
      <c r="B32" s="483" t="s">
        <v>1952</v>
      </c>
      <c r="C32" s="483">
        <v>90</v>
      </c>
      <c r="D32" s="483">
        <v>85</v>
      </c>
      <c r="E32" s="483">
        <v>95</v>
      </c>
      <c r="F32" s="484" t="b">
        <f t="shared" si="0"/>
        <v>1</v>
      </c>
      <c r="G32" s="480"/>
      <c r="H32" s="480"/>
      <c r="I32" s="480"/>
      <c r="J32" s="480"/>
      <c r="K32" s="480"/>
      <c r="L32" s="480"/>
      <c r="M32" s="480"/>
      <c r="N32" s="480"/>
      <c r="O32" s="480"/>
    </row>
    <row r="33" spans="1:15" x14ac:dyDescent="0.2">
      <c r="A33" s="480"/>
      <c r="B33" s="483" t="s">
        <v>3134</v>
      </c>
      <c r="C33" s="483">
        <v>20</v>
      </c>
      <c r="D33" s="483">
        <v>30</v>
      </c>
      <c r="E33" s="483" t="s">
        <v>3135</v>
      </c>
      <c r="F33" s="484" t="b">
        <f t="shared" si="0"/>
        <v>0</v>
      </c>
      <c r="G33" s="480"/>
      <c r="H33" s="480"/>
      <c r="I33" s="480"/>
      <c r="J33" s="480"/>
      <c r="K33" s="480"/>
      <c r="L33" s="480"/>
      <c r="M33" s="480"/>
      <c r="N33" s="480"/>
      <c r="O33" s="480"/>
    </row>
    <row r="34" spans="1:15" x14ac:dyDescent="0.2">
      <c r="A34" s="480"/>
      <c r="B34" s="483" t="s">
        <v>3136</v>
      </c>
      <c r="C34" s="483">
        <v>40</v>
      </c>
      <c r="D34" s="483">
        <v>60</v>
      </c>
      <c r="E34" s="483">
        <v>80</v>
      </c>
      <c r="F34" s="484" t="b">
        <f t="shared" si="0"/>
        <v>0</v>
      </c>
      <c r="G34" s="480"/>
      <c r="H34" s="480"/>
      <c r="I34" s="480"/>
      <c r="J34" s="480"/>
      <c r="K34" s="480"/>
      <c r="L34" s="480"/>
      <c r="M34" s="480"/>
      <c r="N34" s="480"/>
      <c r="O34" s="480"/>
    </row>
    <row r="35" spans="1:15" x14ac:dyDescent="0.2">
      <c r="A35" s="480"/>
      <c r="B35" s="483" t="s">
        <v>3137</v>
      </c>
      <c r="C35" s="483">
        <v>10</v>
      </c>
      <c r="D35" s="483">
        <v>90</v>
      </c>
      <c r="E35" s="483">
        <v>80</v>
      </c>
      <c r="F35" s="484" t="b">
        <f t="shared" si="0"/>
        <v>0</v>
      </c>
      <c r="G35" s="480"/>
      <c r="H35" s="480"/>
      <c r="I35" s="480"/>
      <c r="J35" s="480"/>
      <c r="K35" s="480"/>
      <c r="L35" s="480"/>
      <c r="M35" s="480"/>
      <c r="N35" s="480"/>
      <c r="O35" s="480"/>
    </row>
    <row r="36" spans="1:15" x14ac:dyDescent="0.2">
      <c r="A36" s="480"/>
      <c r="B36" s="483" t="s">
        <v>3138</v>
      </c>
      <c r="C36" s="483">
        <v>80</v>
      </c>
      <c r="D36" s="483">
        <v>70</v>
      </c>
      <c r="E36" s="483">
        <v>60</v>
      </c>
      <c r="F36" s="484" t="b">
        <f t="shared" si="0"/>
        <v>1</v>
      </c>
      <c r="G36" s="480"/>
      <c r="H36" s="480"/>
      <c r="I36" s="480"/>
      <c r="J36" s="480"/>
      <c r="K36" s="480"/>
      <c r="L36" s="480"/>
      <c r="M36" s="480"/>
      <c r="N36" s="480"/>
      <c r="O36" s="480"/>
    </row>
    <row r="37" spans="1:15" x14ac:dyDescent="0.2">
      <c r="A37" s="480"/>
      <c r="B37" s="483" t="s">
        <v>3139</v>
      </c>
      <c r="C37" s="483">
        <v>30</v>
      </c>
      <c r="D37" s="483">
        <v>10</v>
      </c>
      <c r="E37" s="483">
        <v>20</v>
      </c>
      <c r="F37" s="484" t="b">
        <f t="shared" si="0"/>
        <v>0</v>
      </c>
      <c r="G37" s="480"/>
      <c r="H37" s="480"/>
      <c r="I37" s="480"/>
      <c r="J37" s="480"/>
      <c r="K37" s="480"/>
      <c r="L37" s="480"/>
      <c r="M37" s="480"/>
      <c r="N37" s="480"/>
      <c r="O37" s="480"/>
    </row>
    <row r="38" spans="1:15" x14ac:dyDescent="0.2">
      <c r="A38" s="480"/>
      <c r="B38" s="483" t="s">
        <v>3140</v>
      </c>
      <c r="C38" s="483">
        <v>10</v>
      </c>
      <c r="D38" s="483">
        <v>20</v>
      </c>
      <c r="E38" s="483">
        <v>30</v>
      </c>
      <c r="F38" s="484" t="b">
        <f t="shared" si="0"/>
        <v>0</v>
      </c>
      <c r="G38" s="480"/>
      <c r="H38" s="480"/>
      <c r="I38" s="480"/>
      <c r="J38" s="480"/>
      <c r="K38" s="480"/>
      <c r="L38" s="480"/>
      <c r="M38" s="480"/>
      <c r="N38" s="480"/>
      <c r="O38" s="480"/>
    </row>
    <row r="39" spans="1:15" x14ac:dyDescent="0.2">
      <c r="A39" s="480"/>
      <c r="B39" s="480"/>
      <c r="C39" s="480"/>
      <c r="D39" s="480"/>
      <c r="E39" s="480"/>
      <c r="F39" s="503" t="s">
        <v>3141</v>
      </c>
      <c r="G39" s="480"/>
      <c r="H39" s="480"/>
      <c r="I39" s="480"/>
      <c r="J39" s="480"/>
      <c r="K39" s="480"/>
      <c r="L39" s="480"/>
      <c r="M39" s="480"/>
      <c r="N39" s="480"/>
      <c r="O39" s="480"/>
    </row>
    <row r="40" spans="1:15" x14ac:dyDescent="0.2">
      <c r="A40" s="480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</row>
    <row r="41" spans="1:15" x14ac:dyDescent="0.2">
      <c r="A41" s="480"/>
      <c r="B41" s="504" t="s">
        <v>3142</v>
      </c>
      <c r="C41" s="484">
        <f>AVERAGE(C29:C38)</f>
        <v>47</v>
      </c>
      <c r="D41" s="484">
        <f>AVERAGE(D29:D38)</f>
        <v>54</v>
      </c>
      <c r="E41" s="484">
        <f>AVERAGE(E29:E38)</f>
        <v>60</v>
      </c>
      <c r="F41" s="480"/>
      <c r="G41" s="480"/>
      <c r="H41" s="480"/>
      <c r="I41" s="480"/>
      <c r="J41" s="480"/>
      <c r="K41" s="480"/>
      <c r="L41" s="480"/>
      <c r="M41" s="480"/>
      <c r="N41" s="480"/>
      <c r="O41" s="480"/>
    </row>
    <row r="42" spans="1:15" x14ac:dyDescent="0.2">
      <c r="A42" s="480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</row>
    <row r="43" spans="1:15" x14ac:dyDescent="0.2">
      <c r="A43" s="480"/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</row>
    <row r="44" spans="1:15" x14ac:dyDescent="0.2">
      <c r="A44" s="480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480"/>
      <c r="O44" s="480"/>
    </row>
    <row r="45" spans="1:15" x14ac:dyDescent="0.2">
      <c r="A45" s="480"/>
      <c r="B45" s="480"/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</row>
    <row r="46" spans="1:15" x14ac:dyDescent="0.2">
      <c r="A46" s="480"/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</row>
    <row r="47" spans="1:15" x14ac:dyDescent="0.2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</row>
    <row r="48" spans="1:15" x14ac:dyDescent="0.2">
      <c r="A48" s="480"/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</row>
    <row r="49" spans="1:15" x14ac:dyDescent="0.2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</row>
    <row r="50" spans="1:15" x14ac:dyDescent="0.2">
      <c r="A50" s="480"/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</row>
    <row r="51" spans="1:15" x14ac:dyDescent="0.2">
      <c r="A51" s="480"/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</row>
    <row r="52" spans="1:15" x14ac:dyDescent="0.2">
      <c r="A52" s="480"/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</row>
    <row r="53" spans="1:15" x14ac:dyDescent="0.2">
      <c r="A53" s="480"/>
      <c r="B53" s="480"/>
      <c r="C53" s="480"/>
      <c r="D53" s="480"/>
      <c r="E53" s="480"/>
      <c r="F53" s="480"/>
      <c r="G53" s="480"/>
      <c r="H53" s="480"/>
      <c r="I53" s="480"/>
      <c r="J53" s="480"/>
      <c r="K53" s="480"/>
      <c r="L53" s="480"/>
      <c r="M53" s="480"/>
      <c r="N53" s="480"/>
      <c r="O53" s="480"/>
    </row>
    <row r="54" spans="1:15" x14ac:dyDescent="0.2">
      <c r="A54" s="480"/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</row>
    <row r="55" spans="1:15" x14ac:dyDescent="0.2">
      <c r="A55" s="480"/>
      <c r="B55" s="480"/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</row>
    <row r="56" spans="1:15" x14ac:dyDescent="0.2">
      <c r="A56" s="480"/>
      <c r="B56" s="480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</row>
    <row r="57" spans="1:15" x14ac:dyDescent="0.2">
      <c r="A57" s="480"/>
      <c r="B57" s="480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</row>
    <row r="58" spans="1:15" x14ac:dyDescent="0.2">
      <c r="A58" s="480"/>
      <c r="B58" s="480"/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</row>
    <row r="59" spans="1:15" x14ac:dyDescent="0.2">
      <c r="A59" s="480"/>
      <c r="B59" s="480"/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  <c r="N59" s="480"/>
      <c r="O59" s="480"/>
    </row>
    <row r="60" spans="1:15" x14ac:dyDescent="0.2">
      <c r="A60" s="480"/>
      <c r="B60" s="480"/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  <c r="N60" s="480"/>
      <c r="O60" s="480"/>
    </row>
    <row r="61" spans="1:15" x14ac:dyDescent="0.2">
      <c r="A61" s="480"/>
      <c r="B61" s="480"/>
      <c r="C61" s="480"/>
      <c r="D61" s="480"/>
      <c r="E61" s="480"/>
      <c r="F61" s="480"/>
      <c r="G61" s="480"/>
      <c r="H61" s="480"/>
      <c r="I61" s="480"/>
      <c r="J61" s="480"/>
      <c r="K61" s="480"/>
      <c r="L61" s="480"/>
      <c r="M61" s="480"/>
      <c r="N61" s="480"/>
      <c r="O61" s="480"/>
    </row>
    <row r="62" spans="1:15" x14ac:dyDescent="0.2">
      <c r="A62" s="480"/>
      <c r="B62" s="480"/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480"/>
      <c r="N62" s="480"/>
      <c r="O62" s="480"/>
    </row>
    <row r="63" spans="1:15" x14ac:dyDescent="0.2">
      <c r="A63" s="480"/>
      <c r="B63" s="480"/>
      <c r="C63" s="480"/>
      <c r="D63" s="480"/>
      <c r="E63" s="480"/>
      <c r="F63" s="480"/>
      <c r="G63" s="480"/>
      <c r="H63" s="480"/>
      <c r="I63" s="480"/>
      <c r="J63" s="480"/>
      <c r="K63" s="480"/>
      <c r="L63" s="480"/>
      <c r="M63" s="480"/>
      <c r="N63" s="480"/>
      <c r="O63" s="480"/>
    </row>
    <row r="64" spans="1:15" x14ac:dyDescent="0.2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  <c r="O64" s="480"/>
    </row>
    <row r="65" spans="1:15" x14ac:dyDescent="0.2">
      <c r="A65" s="480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</row>
    <row r="66" spans="1:15" x14ac:dyDescent="0.2">
      <c r="A66" s="480"/>
      <c r="B66" s="480"/>
      <c r="C66" s="480"/>
      <c r="D66" s="480"/>
      <c r="E66" s="480"/>
      <c r="F66" s="480"/>
      <c r="G66" s="480"/>
      <c r="H66" s="480"/>
      <c r="I66" s="480"/>
      <c r="J66" s="480"/>
      <c r="K66" s="480"/>
      <c r="L66" s="480"/>
      <c r="M66" s="480"/>
      <c r="N66" s="480"/>
      <c r="O66" s="480"/>
    </row>
  </sheetData>
  <sheetProtection password="F663" sheet="1" objects="1" scenarios="1"/>
  <phoneticPr fontId="0" type="noConversion"/>
  <pageMargins left="0.74803149606299213" right="0.74803149606299213" top="0.98425196850393704" bottom="0.98425196850393704" header="0.51181102362204722" footer="0.51181102362204722"/>
  <pageSetup paperSize="9" scale="90" fitToHeight="5" orientation="portrait" r:id="rId1"/>
  <headerFooter alignWithMargins="0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J40"/>
  <sheetViews>
    <sheetView showGridLines="0" workbookViewId="0">
      <pane ySplit="1" topLeftCell="A2" activePane="bottomLeft" state="frozen"/>
      <selection activeCell="A3" sqref="A3"/>
      <selection pane="bottomLeft" activeCell="H6" sqref="H6"/>
    </sheetView>
  </sheetViews>
  <sheetFormatPr defaultRowHeight="12.75" x14ac:dyDescent="0.2"/>
  <cols>
    <col min="1" max="1" width="2.7109375" customWidth="1"/>
    <col min="4" max="4" width="11.28515625" customWidth="1"/>
    <col min="5" max="5" width="10.85546875" customWidth="1"/>
    <col min="6" max="6" width="10.5703125" customWidth="1"/>
    <col min="9" max="9" width="12.28515625" customWidth="1"/>
  </cols>
  <sheetData>
    <row r="1" spans="1:10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6"/>
      <c r="J1" s="478"/>
    </row>
    <row r="3" spans="1:10" x14ac:dyDescent="0.2">
      <c r="D3" s="20"/>
      <c r="E3" s="59" t="s">
        <v>1026</v>
      </c>
      <c r="F3" s="7">
        <v>2</v>
      </c>
    </row>
    <row r="4" spans="1:10" x14ac:dyDescent="0.2">
      <c r="D4" s="20"/>
      <c r="E4" s="59" t="s">
        <v>1027</v>
      </c>
      <c r="F4" s="7">
        <v>3</v>
      </c>
    </row>
    <row r="5" spans="1:10" x14ac:dyDescent="0.2">
      <c r="D5" s="20"/>
      <c r="E5" s="59" t="s">
        <v>1028</v>
      </c>
      <c r="F5" s="7" t="s">
        <v>1029</v>
      </c>
    </row>
    <row r="7" spans="1:10" x14ac:dyDescent="0.2">
      <c r="D7" s="25" t="str">
        <f>ADDRESS(F4,F3,1,TRUE)</f>
        <v>$B$3</v>
      </c>
      <c r="E7" s="60" t="s">
        <v>1030</v>
      </c>
    </row>
    <row r="8" spans="1:10" x14ac:dyDescent="0.2">
      <c r="D8" s="25" t="str">
        <f>ADDRESS(F4,F3,2,TRUE)</f>
        <v>B$3</v>
      </c>
      <c r="E8" s="60" t="s">
        <v>1031</v>
      </c>
    </row>
    <row r="9" spans="1:10" x14ac:dyDescent="0.2">
      <c r="D9" s="25" t="str">
        <f>ADDRESS(F4,F3,3,TRUE)</f>
        <v>$B3</v>
      </c>
      <c r="E9" s="60" t="s">
        <v>1032</v>
      </c>
    </row>
    <row r="10" spans="1:10" x14ac:dyDescent="0.2">
      <c r="D10" s="25" t="str">
        <f>ADDRESS(F4,F3,4,TRUE)</f>
        <v>B3</v>
      </c>
      <c r="E10" s="60" t="s">
        <v>1033</v>
      </c>
    </row>
    <row r="12" spans="1:10" x14ac:dyDescent="0.2">
      <c r="D12" s="25" t="str">
        <f>ADDRESS(F4,F3,1,FALSE)</f>
        <v>R3C2</v>
      </c>
      <c r="E12" s="60" t="s">
        <v>1034</v>
      </c>
    </row>
    <row r="13" spans="1:10" x14ac:dyDescent="0.2">
      <c r="D13" s="25" t="str">
        <f>ADDRESS(F4,F3,2,FALSE)</f>
        <v>R3C[2]</v>
      </c>
      <c r="E13" s="60" t="s">
        <v>1035</v>
      </c>
    </row>
    <row r="14" spans="1:10" x14ac:dyDescent="0.2">
      <c r="D14" s="25" t="str">
        <f>ADDRESS(F4,F3,3,FALSE)</f>
        <v>R[3]C2</v>
      </c>
      <c r="E14" s="60" t="s">
        <v>1036</v>
      </c>
    </row>
    <row r="15" spans="1:10" x14ac:dyDescent="0.2">
      <c r="D15" s="25" t="str">
        <f>ADDRESS(F4,F3,4,FALSE)</f>
        <v>R[3]C[2]</v>
      </c>
      <c r="E15" s="60" t="s">
        <v>1037</v>
      </c>
    </row>
    <row r="17" spans="2:9" x14ac:dyDescent="0.2">
      <c r="D17" s="25" t="str">
        <f>ADDRESS(F4,F3,1,TRUE,F5)</f>
        <v>Hello!$B$3</v>
      </c>
      <c r="E17" s="60" t="s">
        <v>2861</v>
      </c>
    </row>
    <row r="18" spans="2:9" x14ac:dyDescent="0.2">
      <c r="D18" s="25" t="str">
        <f>ADDRESS(F4,F3,2,TRUE,F5)</f>
        <v>Hello!B$3</v>
      </c>
      <c r="E18" s="60" t="s">
        <v>2862</v>
      </c>
    </row>
    <row r="19" spans="2:9" x14ac:dyDescent="0.2">
      <c r="D19" s="25" t="str">
        <f>ADDRESS(F4,F3,3,TRUE,F5)</f>
        <v>Hello!$B3</v>
      </c>
      <c r="E19" s="60" t="s">
        <v>2863</v>
      </c>
    </row>
    <row r="20" spans="2:9" x14ac:dyDescent="0.2">
      <c r="D20" s="25" t="str">
        <f>ADDRESS(F4,F3,4,TRUE,F5)</f>
        <v>Hello!B3</v>
      </c>
      <c r="E20" s="60" t="s">
        <v>2864</v>
      </c>
    </row>
    <row r="22" spans="2:9" ht="13.5" thickBot="1" x14ac:dyDescent="0.25">
      <c r="B22" s="2" t="s">
        <v>2865</v>
      </c>
      <c r="C22" s="2"/>
      <c r="D22" s="2"/>
      <c r="E22" s="2"/>
      <c r="F22" s="2"/>
      <c r="G22" s="2"/>
      <c r="H22" s="2"/>
      <c r="I22" s="2"/>
    </row>
    <row r="23" spans="2:9" x14ac:dyDescent="0.2">
      <c r="B23" t="s">
        <v>2866</v>
      </c>
    </row>
    <row r="24" spans="2:9" x14ac:dyDescent="0.2">
      <c r="B24" t="s">
        <v>2867</v>
      </c>
    </row>
    <row r="25" spans="2:9" x14ac:dyDescent="0.2">
      <c r="B25" t="s">
        <v>2868</v>
      </c>
    </row>
    <row r="27" spans="2:9" ht="13.5" thickBot="1" x14ac:dyDescent="0.25">
      <c r="B27" s="2" t="s">
        <v>998</v>
      </c>
      <c r="C27" s="2"/>
      <c r="D27" s="2"/>
      <c r="E27" s="2"/>
      <c r="F27" s="2"/>
      <c r="G27" s="2"/>
      <c r="H27" s="2"/>
      <c r="I27" s="2"/>
    </row>
    <row r="28" spans="2:9" x14ac:dyDescent="0.2">
      <c r="B28" s="61" t="s">
        <v>2869</v>
      </c>
    </row>
    <row r="29" spans="2:9" x14ac:dyDescent="0.2">
      <c r="B29" t="s">
        <v>2870</v>
      </c>
    </row>
    <row r="30" spans="2:9" x14ac:dyDescent="0.2">
      <c r="B30" t="s">
        <v>2871</v>
      </c>
    </row>
    <row r="31" spans="2:9" ht="18.95" customHeight="1" x14ac:dyDescent="0.2">
      <c r="B31" t="s">
        <v>2872</v>
      </c>
    </row>
    <row r="32" spans="2:9" x14ac:dyDescent="0.2">
      <c r="B32" t="s">
        <v>2873</v>
      </c>
    </row>
    <row r="33" spans="2:2" x14ac:dyDescent="0.2">
      <c r="B33" t="s">
        <v>2874</v>
      </c>
    </row>
    <row r="34" spans="2:2" x14ac:dyDescent="0.2">
      <c r="B34" t="s">
        <v>2875</v>
      </c>
    </row>
    <row r="35" spans="2:2" x14ac:dyDescent="0.2">
      <c r="B35" t="s">
        <v>2876</v>
      </c>
    </row>
    <row r="36" spans="2:2" ht="18.95" customHeight="1" x14ac:dyDescent="0.2">
      <c r="B36" t="s">
        <v>2877</v>
      </c>
    </row>
    <row r="37" spans="2:2" x14ac:dyDescent="0.2">
      <c r="B37" t="s">
        <v>3108</v>
      </c>
    </row>
    <row r="38" spans="2:2" x14ac:dyDescent="0.2">
      <c r="B38" t="s">
        <v>3109</v>
      </c>
    </row>
    <row r="39" spans="2:2" ht="18.95" customHeight="1" x14ac:dyDescent="0.2">
      <c r="B39" t="s">
        <v>3110</v>
      </c>
    </row>
    <row r="40" spans="2:2" x14ac:dyDescent="0.2">
      <c r="B40" t="s">
        <v>3111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93"/>
  <sheetViews>
    <sheetView showGridLines="0" workbookViewId="0">
      <pane ySplit="1" topLeftCell="A27" activePane="bottomLeft" state="frozen"/>
      <selection activeCell="A3" sqref="A3"/>
      <selection pane="bottomLeft" activeCell="F45" sqref="F45"/>
    </sheetView>
  </sheetViews>
  <sheetFormatPr defaultRowHeight="12.75" x14ac:dyDescent="0.2"/>
  <cols>
    <col min="1" max="1" width="2.710937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15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7"/>
      <c r="J1" s="477"/>
      <c r="K1" s="477"/>
      <c r="L1" s="1"/>
      <c r="M1" s="1"/>
      <c r="N1" s="1"/>
      <c r="O1" s="1"/>
    </row>
    <row r="2" spans="1:15" x14ac:dyDescent="0.2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</row>
    <row r="3" spans="1:15" x14ac:dyDescent="0.2">
      <c r="A3" s="480"/>
      <c r="B3" s="480"/>
      <c r="C3" s="481" t="s">
        <v>990</v>
      </c>
      <c r="D3" s="481" t="s">
        <v>991</v>
      </c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</row>
    <row r="4" spans="1:15" x14ac:dyDescent="0.2">
      <c r="A4" s="480"/>
      <c r="B4" s="480"/>
      <c r="C4" s="483">
        <v>10</v>
      </c>
      <c r="D4" s="484">
        <f>ABS(C4)</f>
        <v>10</v>
      </c>
      <c r="E4" s="485" t="s">
        <v>992</v>
      </c>
      <c r="F4" s="480"/>
      <c r="G4" s="480"/>
      <c r="H4" s="480"/>
      <c r="I4" s="480"/>
      <c r="J4" s="480"/>
      <c r="K4" s="480"/>
      <c r="L4" s="480"/>
      <c r="M4" s="480"/>
      <c r="N4" s="480"/>
      <c r="O4" s="480"/>
    </row>
    <row r="5" spans="1:15" x14ac:dyDescent="0.2">
      <c r="A5" s="480"/>
      <c r="B5" s="480"/>
      <c r="C5" s="483">
        <v>-10</v>
      </c>
      <c r="D5" s="484">
        <f>ABS(C5)</f>
        <v>10</v>
      </c>
      <c r="E5" s="485" t="s">
        <v>993</v>
      </c>
      <c r="F5" s="480"/>
      <c r="G5" s="480"/>
      <c r="H5" s="480"/>
      <c r="I5" s="480"/>
      <c r="J5" s="480"/>
      <c r="K5" s="480"/>
      <c r="L5" s="480"/>
      <c r="M5" s="480"/>
      <c r="N5" s="480"/>
      <c r="O5" s="480"/>
    </row>
    <row r="6" spans="1:15" x14ac:dyDescent="0.2">
      <c r="A6" s="480"/>
      <c r="B6" s="480"/>
      <c r="C6" s="483">
        <v>1.25</v>
      </c>
      <c r="D6" s="484">
        <f>ABS(C6)</f>
        <v>1.25</v>
      </c>
      <c r="E6" s="485" t="s">
        <v>994</v>
      </c>
      <c r="F6" s="480"/>
      <c r="G6" s="480"/>
      <c r="H6" s="480"/>
      <c r="I6" s="480"/>
      <c r="J6" s="480"/>
      <c r="K6" s="480"/>
      <c r="L6" s="480"/>
      <c r="M6" s="480"/>
      <c r="N6" s="480"/>
      <c r="O6" s="480"/>
    </row>
    <row r="7" spans="1:15" x14ac:dyDescent="0.2">
      <c r="A7" s="480"/>
      <c r="B7" s="480"/>
      <c r="C7" s="483">
        <v>-1.25</v>
      </c>
      <c r="D7" s="484">
        <f>ABS(C7)</f>
        <v>1.25</v>
      </c>
      <c r="E7" s="485" t="s">
        <v>995</v>
      </c>
      <c r="F7" s="480"/>
      <c r="G7" s="480"/>
      <c r="H7" s="480"/>
      <c r="I7" s="480"/>
      <c r="J7" s="480"/>
      <c r="K7" s="480"/>
      <c r="L7" s="480"/>
      <c r="M7" s="480"/>
      <c r="N7" s="480"/>
      <c r="O7" s="480"/>
    </row>
    <row r="8" spans="1:15" x14ac:dyDescent="0.2">
      <c r="A8" s="480"/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</row>
    <row r="9" spans="1:15" ht="13.5" thickBot="1" x14ac:dyDescent="0.25">
      <c r="A9" s="480"/>
      <c r="B9" s="486" t="s">
        <v>996</v>
      </c>
      <c r="C9" s="486"/>
      <c r="D9" s="486"/>
      <c r="E9" s="486"/>
      <c r="F9" s="486"/>
      <c r="G9" s="486"/>
      <c r="H9" s="486"/>
      <c r="I9" s="480"/>
      <c r="J9" s="480"/>
      <c r="K9" s="480"/>
      <c r="L9" s="480"/>
      <c r="M9" s="480"/>
      <c r="N9" s="480"/>
      <c r="O9" s="480"/>
    </row>
    <row r="10" spans="1:15" x14ac:dyDescent="0.2">
      <c r="A10" s="480"/>
      <c r="B10" s="480" t="s">
        <v>997</v>
      </c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</row>
    <row r="11" spans="1:15" x14ac:dyDescent="0.2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</row>
    <row r="12" spans="1:15" ht="13.5" thickBot="1" x14ac:dyDescent="0.25">
      <c r="A12" s="480"/>
      <c r="B12" s="486" t="s">
        <v>998</v>
      </c>
      <c r="C12" s="486"/>
      <c r="D12" s="486"/>
      <c r="E12" s="486"/>
      <c r="F12" s="486"/>
      <c r="G12" s="486"/>
      <c r="H12" s="486"/>
      <c r="I12" s="480"/>
      <c r="J12" s="480"/>
      <c r="K12" s="480"/>
      <c r="L12" s="480"/>
      <c r="M12" s="480"/>
      <c r="N12" s="480"/>
      <c r="O12" s="480"/>
    </row>
    <row r="13" spans="1:15" x14ac:dyDescent="0.2">
      <c r="A13" s="480"/>
      <c r="B13" s="480" t="s">
        <v>999</v>
      </c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</row>
    <row r="14" spans="1:15" x14ac:dyDescent="0.2">
      <c r="A14" s="480"/>
      <c r="B14" s="480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</row>
    <row r="15" spans="1:15" ht="13.5" thickBot="1" x14ac:dyDescent="0.25">
      <c r="A15" s="480"/>
      <c r="B15" s="486" t="s">
        <v>3355</v>
      </c>
      <c r="C15" s="486"/>
      <c r="D15" s="486"/>
      <c r="E15" s="486"/>
      <c r="F15" s="486"/>
      <c r="G15" s="486"/>
      <c r="H15" s="486"/>
      <c r="I15" s="480"/>
      <c r="J15" s="480"/>
      <c r="K15" s="480"/>
      <c r="L15" s="480"/>
      <c r="M15" s="480"/>
      <c r="N15" s="480"/>
      <c r="O15" s="480"/>
    </row>
    <row r="16" spans="1:15" x14ac:dyDescent="0.2">
      <c r="A16" s="480"/>
      <c r="B16" s="480" t="s">
        <v>1000</v>
      </c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</row>
    <row r="17" spans="1:15" x14ac:dyDescent="0.2">
      <c r="A17" s="480"/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</row>
    <row r="18" spans="1:15" ht="13.5" thickBot="1" x14ac:dyDescent="0.25">
      <c r="A18" s="480"/>
      <c r="B18" s="486" t="s">
        <v>1001</v>
      </c>
      <c r="C18" s="486"/>
      <c r="D18" s="486"/>
      <c r="E18" s="486"/>
      <c r="F18" s="486"/>
      <c r="G18" s="486"/>
      <c r="H18" s="486"/>
      <c r="I18" s="480"/>
      <c r="J18" s="480"/>
      <c r="K18" s="480"/>
      <c r="L18" s="480"/>
      <c r="M18" s="480"/>
      <c r="N18" s="480"/>
      <c r="O18" s="480"/>
    </row>
    <row r="19" spans="1:15" x14ac:dyDescent="0.2">
      <c r="A19" s="480"/>
      <c r="B19" s="480" t="s">
        <v>1002</v>
      </c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</row>
    <row r="20" spans="1:15" x14ac:dyDescent="0.2">
      <c r="A20" s="480"/>
      <c r="B20" s="480" t="s">
        <v>1003</v>
      </c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</row>
    <row r="21" spans="1:15" x14ac:dyDescent="0.2">
      <c r="A21" s="480"/>
      <c r="B21" s="480" t="s">
        <v>1004</v>
      </c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</row>
    <row r="22" spans="1:15" x14ac:dyDescent="0.2">
      <c r="A22" s="480"/>
      <c r="B22" s="480" t="s">
        <v>1005</v>
      </c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</row>
    <row r="23" spans="1:15" x14ac:dyDescent="0.2">
      <c r="A23" s="480"/>
      <c r="B23" s="480" t="s">
        <v>1006</v>
      </c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</row>
    <row r="24" spans="1:15" x14ac:dyDescent="0.2">
      <c r="A24" s="480"/>
      <c r="B24" s="480" t="s">
        <v>1007</v>
      </c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</row>
    <row r="25" spans="1:15" x14ac:dyDescent="0.2">
      <c r="A25" s="480"/>
      <c r="B25" s="480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</row>
    <row r="26" spans="1:15" x14ac:dyDescent="0.2">
      <c r="A26" s="480"/>
      <c r="B26" s="480" t="s">
        <v>1008</v>
      </c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</row>
    <row r="27" spans="1:15" x14ac:dyDescent="0.2">
      <c r="A27" s="480"/>
      <c r="B27" s="480"/>
      <c r="C27" s="480" t="s">
        <v>1009</v>
      </c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</row>
    <row r="28" spans="1:15" x14ac:dyDescent="0.2">
      <c r="A28" s="480"/>
      <c r="B28" s="480"/>
      <c r="C28" s="480" t="s">
        <v>1010</v>
      </c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</row>
    <row r="29" spans="1:15" x14ac:dyDescent="0.2">
      <c r="A29" s="480"/>
      <c r="B29" s="480"/>
      <c r="C29" s="480" t="s">
        <v>1011</v>
      </c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</row>
    <row r="30" spans="1:15" x14ac:dyDescent="0.2">
      <c r="A30" s="480"/>
      <c r="B30" s="480"/>
      <c r="C30" s="480" t="s">
        <v>1012</v>
      </c>
      <c r="D30" s="480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</row>
    <row r="31" spans="1:15" x14ac:dyDescent="0.2">
      <c r="A31" s="480"/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</row>
    <row r="32" spans="1:15" x14ac:dyDescent="0.2">
      <c r="A32" s="480"/>
      <c r="B32" s="480"/>
      <c r="C32" s="480" t="s">
        <v>1013</v>
      </c>
      <c r="D32" s="480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</row>
    <row r="33" spans="1:15" ht="25.5" x14ac:dyDescent="0.2">
      <c r="A33" s="480"/>
      <c r="B33" s="480"/>
      <c r="C33" s="495" t="s">
        <v>1014</v>
      </c>
      <c r="D33" s="496" t="s">
        <v>1015</v>
      </c>
      <c r="E33" s="496" t="s">
        <v>1016</v>
      </c>
      <c r="F33" s="497" t="s">
        <v>1017</v>
      </c>
      <c r="G33" s="496" t="s">
        <v>1018</v>
      </c>
      <c r="H33" s="480"/>
      <c r="I33" s="480"/>
      <c r="J33" s="480"/>
      <c r="K33" s="480"/>
      <c r="L33" s="480"/>
      <c r="M33" s="480"/>
      <c r="N33" s="480"/>
      <c r="O33" s="480"/>
    </row>
    <row r="34" spans="1:15" x14ac:dyDescent="0.2">
      <c r="A34" s="480"/>
      <c r="B34" s="480"/>
      <c r="C34" s="498" t="s">
        <v>1019</v>
      </c>
      <c r="D34" s="483">
        <v>120</v>
      </c>
      <c r="E34" s="483">
        <v>120</v>
      </c>
      <c r="F34" s="484">
        <f>D34-E34</f>
        <v>0</v>
      </c>
      <c r="G34" s="499">
        <f>F34/D34</f>
        <v>0</v>
      </c>
      <c r="H34" s="480"/>
      <c r="I34" s="480"/>
      <c r="J34" s="480"/>
      <c r="K34" s="480"/>
      <c r="L34" s="480"/>
      <c r="M34" s="480"/>
      <c r="N34" s="480"/>
      <c r="O34" s="480"/>
    </row>
    <row r="35" spans="1:15" x14ac:dyDescent="0.2">
      <c r="A35" s="480"/>
      <c r="B35" s="480"/>
      <c r="C35" s="498" t="s">
        <v>1020</v>
      </c>
      <c r="D35" s="483">
        <v>120</v>
      </c>
      <c r="E35" s="483">
        <v>90</v>
      </c>
      <c r="F35" s="484">
        <f>D35-E35</f>
        <v>30</v>
      </c>
      <c r="G35" s="499">
        <f>F35/D35</f>
        <v>0.25</v>
      </c>
      <c r="H35" s="480"/>
      <c r="I35" s="480"/>
      <c r="J35" s="480"/>
      <c r="K35" s="480"/>
      <c r="L35" s="480"/>
      <c r="M35" s="480"/>
      <c r="N35" s="480"/>
      <c r="O35" s="480"/>
    </row>
    <row r="36" spans="1:15" x14ac:dyDescent="0.2">
      <c r="A36" s="480"/>
      <c r="B36" s="480"/>
      <c r="C36" s="498" t="s">
        <v>1021</v>
      </c>
      <c r="D36" s="483">
        <v>120</v>
      </c>
      <c r="E36" s="483">
        <v>150</v>
      </c>
      <c r="F36" s="484">
        <f>D36-E36</f>
        <v>-30</v>
      </c>
      <c r="G36" s="499">
        <f>F36/D36</f>
        <v>-0.25</v>
      </c>
      <c r="H36" s="480"/>
      <c r="I36" s="480"/>
      <c r="J36" s="480"/>
      <c r="K36" s="480"/>
      <c r="L36" s="480"/>
      <c r="M36" s="480"/>
      <c r="N36" s="480"/>
      <c r="O36" s="480"/>
    </row>
    <row r="37" spans="1:15" x14ac:dyDescent="0.2">
      <c r="A37" s="480"/>
      <c r="B37" s="480"/>
      <c r="C37" s="480"/>
      <c r="D37" s="480"/>
      <c r="E37" s="480"/>
      <c r="F37" s="500" t="s">
        <v>1022</v>
      </c>
      <c r="G37" s="480"/>
      <c r="H37" s="480"/>
      <c r="I37" s="480"/>
      <c r="J37" s="480"/>
      <c r="K37" s="480"/>
      <c r="L37" s="480"/>
      <c r="M37" s="480"/>
      <c r="N37" s="480"/>
      <c r="O37" s="480"/>
    </row>
    <row r="38" spans="1:15" x14ac:dyDescent="0.2">
      <c r="A38" s="480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</row>
    <row r="39" spans="1:15" x14ac:dyDescent="0.2">
      <c r="A39" s="480"/>
      <c r="B39" s="480" t="s">
        <v>1023</v>
      </c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</row>
    <row r="40" spans="1:15" x14ac:dyDescent="0.2">
      <c r="A40" s="480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</row>
    <row r="41" spans="1:15" x14ac:dyDescent="0.2">
      <c r="A41" s="480"/>
      <c r="B41" s="480"/>
      <c r="C41" s="480" t="s">
        <v>1024</v>
      </c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</row>
    <row r="42" spans="1:15" ht="25.5" x14ac:dyDescent="0.2">
      <c r="A42" s="480"/>
      <c r="B42" s="480"/>
      <c r="C42" s="495" t="s">
        <v>1014</v>
      </c>
      <c r="D42" s="496" t="s">
        <v>1015</v>
      </c>
      <c r="E42" s="496" t="s">
        <v>1016</v>
      </c>
      <c r="F42" s="497" t="s">
        <v>1017</v>
      </c>
      <c r="G42" s="496" t="s">
        <v>1018</v>
      </c>
      <c r="H42" s="480"/>
      <c r="I42" s="480"/>
      <c r="J42" s="480"/>
      <c r="K42" s="480"/>
      <c r="L42" s="480"/>
      <c r="M42" s="480"/>
      <c r="N42" s="480"/>
      <c r="O42" s="480"/>
    </row>
    <row r="43" spans="1:15" x14ac:dyDescent="0.2">
      <c r="A43" s="480"/>
      <c r="B43" s="480"/>
      <c r="C43" s="498" t="s">
        <v>1019</v>
      </c>
      <c r="D43" s="483">
        <v>120</v>
      </c>
      <c r="E43" s="483">
        <v>120</v>
      </c>
      <c r="F43" s="484">
        <f>ABS(D43-E43)</f>
        <v>0</v>
      </c>
      <c r="G43" s="499">
        <f>F43/D43</f>
        <v>0</v>
      </c>
      <c r="H43" s="480"/>
      <c r="I43" s="480"/>
      <c r="J43" s="480"/>
      <c r="K43" s="480"/>
      <c r="L43" s="480"/>
      <c r="M43" s="480"/>
      <c r="N43" s="480"/>
      <c r="O43" s="480"/>
    </row>
    <row r="44" spans="1:15" x14ac:dyDescent="0.2">
      <c r="A44" s="480"/>
      <c r="B44" s="480"/>
      <c r="C44" s="498" t="s">
        <v>1020</v>
      </c>
      <c r="D44" s="483">
        <v>120</v>
      </c>
      <c r="E44" s="483">
        <v>90</v>
      </c>
      <c r="F44" s="484">
        <f>ABS(D44-E44)</f>
        <v>30</v>
      </c>
      <c r="G44" s="499">
        <f>F44/D44</f>
        <v>0.25</v>
      </c>
      <c r="H44" s="480"/>
      <c r="I44" s="480"/>
      <c r="J44" s="480"/>
      <c r="K44" s="480"/>
      <c r="L44" s="480"/>
      <c r="M44" s="480"/>
      <c r="N44" s="480"/>
      <c r="O44" s="480"/>
    </row>
    <row r="45" spans="1:15" x14ac:dyDescent="0.2">
      <c r="A45" s="480"/>
      <c r="B45" s="480"/>
      <c r="C45" s="498" t="s">
        <v>1021</v>
      </c>
      <c r="D45" s="483">
        <v>120</v>
      </c>
      <c r="E45" s="483">
        <v>150</v>
      </c>
      <c r="F45" s="484">
        <f>ABS(D45-E45)</f>
        <v>30</v>
      </c>
      <c r="G45" s="499">
        <f>F45/D45</f>
        <v>0.25</v>
      </c>
      <c r="H45" s="480"/>
      <c r="I45" s="480"/>
      <c r="J45" s="480"/>
      <c r="K45" s="480"/>
      <c r="L45" s="480"/>
      <c r="M45" s="480"/>
      <c r="N45" s="480"/>
      <c r="O45" s="480"/>
    </row>
    <row r="46" spans="1:15" x14ac:dyDescent="0.2">
      <c r="A46" s="480"/>
      <c r="B46" s="480"/>
      <c r="C46" s="480"/>
      <c r="D46" s="480"/>
      <c r="E46" s="480"/>
      <c r="F46" s="500" t="s">
        <v>1025</v>
      </c>
      <c r="G46" s="480"/>
      <c r="H46" s="480"/>
      <c r="I46" s="480"/>
      <c r="J46" s="480"/>
      <c r="K46" s="480"/>
      <c r="L46" s="480"/>
      <c r="M46" s="480"/>
      <c r="N46" s="480"/>
      <c r="O46" s="480"/>
    </row>
    <row r="47" spans="1:15" x14ac:dyDescent="0.2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</row>
    <row r="48" spans="1:15" x14ac:dyDescent="0.2">
      <c r="A48" s="480"/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</row>
    <row r="49" spans="1:15" x14ac:dyDescent="0.2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</row>
    <row r="50" spans="1:15" x14ac:dyDescent="0.2">
      <c r="A50" s="480"/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</row>
    <row r="51" spans="1:15" x14ac:dyDescent="0.2">
      <c r="A51" s="480"/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</row>
    <row r="52" spans="1:15" x14ac:dyDescent="0.2">
      <c r="A52" s="480"/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</row>
    <row r="53" spans="1:15" x14ac:dyDescent="0.2">
      <c r="A53" s="480"/>
      <c r="B53" s="480"/>
      <c r="C53" s="480"/>
      <c r="D53" s="480"/>
      <c r="E53" s="480"/>
      <c r="F53" s="480"/>
      <c r="G53" s="480"/>
      <c r="H53" s="480"/>
      <c r="I53" s="480"/>
      <c r="J53" s="480"/>
      <c r="K53" s="480"/>
      <c r="L53" s="480"/>
      <c r="M53" s="480"/>
      <c r="N53" s="480"/>
      <c r="O53" s="480"/>
    </row>
    <row r="54" spans="1:15" x14ac:dyDescent="0.2">
      <c r="A54" s="480"/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</row>
    <row r="55" spans="1:15" x14ac:dyDescent="0.2">
      <c r="A55" s="480"/>
      <c r="B55" s="480"/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</row>
    <row r="56" spans="1:15" x14ac:dyDescent="0.2">
      <c r="A56" s="480"/>
      <c r="B56" s="480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</row>
    <row r="57" spans="1:15" x14ac:dyDescent="0.2">
      <c r="A57" s="480"/>
      <c r="B57" s="480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</row>
    <row r="58" spans="1:15" x14ac:dyDescent="0.2">
      <c r="A58" s="480"/>
      <c r="B58" s="480"/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</row>
    <row r="59" spans="1:15" x14ac:dyDescent="0.2">
      <c r="A59" s="480"/>
      <c r="B59" s="480"/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  <c r="N59" s="480"/>
      <c r="O59" s="480"/>
    </row>
    <row r="60" spans="1:15" x14ac:dyDescent="0.2">
      <c r="A60" s="480"/>
      <c r="B60" s="480"/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  <c r="N60" s="480"/>
      <c r="O60" s="480"/>
    </row>
    <row r="61" spans="1:15" x14ac:dyDescent="0.2">
      <c r="A61" s="480"/>
      <c r="B61" s="480"/>
      <c r="C61" s="480"/>
      <c r="D61" s="480"/>
      <c r="E61" s="480"/>
      <c r="F61" s="480"/>
      <c r="G61" s="480"/>
      <c r="H61" s="480"/>
      <c r="I61" s="480"/>
      <c r="J61" s="480"/>
      <c r="K61" s="480"/>
      <c r="L61" s="480"/>
      <c r="M61" s="480"/>
      <c r="N61" s="480"/>
      <c r="O61" s="480"/>
    </row>
    <row r="62" spans="1:15" x14ac:dyDescent="0.2">
      <c r="A62" s="480"/>
      <c r="B62" s="480"/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480"/>
      <c r="N62" s="480"/>
      <c r="O62" s="480"/>
    </row>
    <row r="63" spans="1:15" x14ac:dyDescent="0.2">
      <c r="A63" s="480"/>
      <c r="B63" s="480"/>
      <c r="C63" s="480"/>
      <c r="D63" s="480"/>
      <c r="E63" s="480"/>
      <c r="F63" s="480"/>
      <c r="G63" s="480"/>
      <c r="H63" s="480"/>
      <c r="I63" s="480"/>
      <c r="J63" s="480"/>
      <c r="K63" s="480"/>
      <c r="L63" s="480"/>
      <c r="M63" s="480"/>
      <c r="N63" s="480"/>
      <c r="O63" s="480"/>
    </row>
    <row r="64" spans="1:15" x14ac:dyDescent="0.2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  <c r="O64" s="480"/>
    </row>
    <row r="65" spans="1:15" x14ac:dyDescent="0.2">
      <c r="A65" s="480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</row>
    <row r="66" spans="1:15" x14ac:dyDescent="0.2">
      <c r="A66" s="480"/>
      <c r="B66" s="480"/>
      <c r="C66" s="480"/>
      <c r="D66" s="480"/>
      <c r="E66" s="480"/>
      <c r="F66" s="480"/>
      <c r="G66" s="480"/>
      <c r="H66" s="480"/>
      <c r="I66" s="480"/>
      <c r="J66" s="480"/>
      <c r="K66" s="480"/>
      <c r="L66" s="480"/>
      <c r="M66" s="480"/>
      <c r="N66" s="480"/>
      <c r="O66" s="480"/>
    </row>
    <row r="67" spans="1:15" x14ac:dyDescent="0.2">
      <c r="A67" s="480"/>
      <c r="B67" s="480"/>
      <c r="C67" s="480"/>
      <c r="D67" s="480"/>
      <c r="E67" s="480"/>
      <c r="F67" s="480"/>
      <c r="G67" s="480"/>
      <c r="H67" s="480"/>
      <c r="I67" s="480"/>
      <c r="J67" s="480"/>
      <c r="K67" s="480"/>
      <c r="L67" s="480"/>
      <c r="M67" s="480"/>
      <c r="N67" s="480"/>
      <c r="O67" s="480"/>
    </row>
    <row r="68" spans="1:15" x14ac:dyDescent="0.2">
      <c r="A68" s="480"/>
      <c r="B68" s="480"/>
      <c r="C68" s="480"/>
      <c r="D68" s="480"/>
      <c r="E68" s="480"/>
      <c r="F68" s="480"/>
      <c r="G68" s="480"/>
      <c r="H68" s="480"/>
      <c r="I68" s="480"/>
      <c r="J68" s="480"/>
      <c r="K68" s="480"/>
      <c r="L68" s="480"/>
      <c r="M68" s="480"/>
      <c r="N68" s="480"/>
      <c r="O68" s="480"/>
    </row>
    <row r="69" spans="1:15" x14ac:dyDescent="0.2">
      <c r="A69" s="480"/>
      <c r="B69" s="480"/>
      <c r="C69" s="480"/>
      <c r="D69" s="480"/>
      <c r="E69" s="480"/>
      <c r="F69" s="480"/>
      <c r="G69" s="480"/>
      <c r="H69" s="480"/>
      <c r="I69" s="480"/>
      <c r="J69" s="480"/>
      <c r="K69" s="480"/>
      <c r="L69" s="480"/>
      <c r="M69" s="480"/>
      <c r="N69" s="480"/>
      <c r="O69" s="480"/>
    </row>
    <row r="70" spans="1:15" x14ac:dyDescent="0.2">
      <c r="A70" s="480"/>
      <c r="B70" s="480"/>
      <c r="C70" s="480"/>
      <c r="D70" s="480"/>
      <c r="E70" s="480"/>
      <c r="F70" s="480"/>
      <c r="G70" s="480"/>
      <c r="H70" s="480"/>
      <c r="I70" s="480"/>
      <c r="J70" s="480"/>
      <c r="K70" s="480"/>
      <c r="L70" s="480"/>
      <c r="M70" s="480"/>
      <c r="N70" s="480"/>
      <c r="O70" s="480"/>
    </row>
    <row r="71" spans="1:15" x14ac:dyDescent="0.2">
      <c r="A71" s="480"/>
      <c r="B71" s="480"/>
      <c r="C71" s="480"/>
      <c r="D71" s="480"/>
      <c r="E71" s="480"/>
      <c r="F71" s="480"/>
      <c r="G71" s="480"/>
      <c r="H71" s="480"/>
      <c r="I71" s="480"/>
      <c r="J71" s="480"/>
      <c r="K71" s="480"/>
      <c r="L71" s="480"/>
      <c r="M71" s="480"/>
      <c r="N71" s="480"/>
      <c r="O71" s="480"/>
    </row>
    <row r="72" spans="1:15" x14ac:dyDescent="0.2">
      <c r="A72" s="480"/>
      <c r="B72" s="480"/>
      <c r="C72" s="480"/>
      <c r="D72" s="480"/>
      <c r="E72" s="480"/>
      <c r="F72" s="480"/>
      <c r="G72" s="480"/>
      <c r="H72" s="480"/>
      <c r="I72" s="480"/>
      <c r="J72" s="480"/>
      <c r="K72" s="480"/>
      <c r="L72" s="480"/>
      <c r="M72" s="480"/>
      <c r="N72" s="480"/>
      <c r="O72" s="480"/>
    </row>
    <row r="73" spans="1:15" x14ac:dyDescent="0.2">
      <c r="A73" s="480"/>
      <c r="B73" s="480"/>
      <c r="C73" s="480"/>
      <c r="D73" s="480"/>
      <c r="E73" s="480"/>
      <c r="F73" s="480"/>
      <c r="G73" s="480"/>
      <c r="H73" s="480"/>
      <c r="I73" s="480"/>
      <c r="J73" s="480"/>
      <c r="K73" s="480"/>
      <c r="L73" s="480"/>
      <c r="M73" s="480"/>
      <c r="N73" s="480"/>
      <c r="O73" s="480"/>
    </row>
    <row r="74" spans="1:15" x14ac:dyDescent="0.2">
      <c r="A74" s="480"/>
      <c r="B74" s="480"/>
      <c r="C74" s="480"/>
      <c r="D74" s="480"/>
      <c r="E74" s="480"/>
      <c r="F74" s="480"/>
      <c r="G74" s="480"/>
      <c r="H74" s="480"/>
      <c r="I74" s="480"/>
      <c r="J74" s="480"/>
      <c r="K74" s="480"/>
      <c r="L74" s="480"/>
      <c r="M74" s="480"/>
      <c r="N74" s="480"/>
      <c r="O74" s="480"/>
    </row>
    <row r="75" spans="1:15" x14ac:dyDescent="0.2">
      <c r="A75" s="480"/>
      <c r="B75" s="480"/>
      <c r="C75" s="480"/>
      <c r="D75" s="480"/>
      <c r="E75" s="480"/>
      <c r="F75" s="480"/>
      <c r="G75" s="480"/>
      <c r="H75" s="480"/>
      <c r="I75" s="480"/>
      <c r="J75" s="480"/>
      <c r="K75" s="480"/>
      <c r="L75" s="480"/>
      <c r="M75" s="480"/>
      <c r="N75" s="480"/>
      <c r="O75" s="480"/>
    </row>
    <row r="76" spans="1:15" x14ac:dyDescent="0.2">
      <c r="A76" s="480"/>
      <c r="B76" s="480"/>
      <c r="C76" s="480"/>
      <c r="D76" s="480"/>
      <c r="E76" s="480"/>
      <c r="F76" s="480"/>
      <c r="G76" s="480"/>
      <c r="H76" s="480"/>
      <c r="I76" s="480"/>
      <c r="J76" s="480"/>
      <c r="K76" s="480"/>
      <c r="L76" s="480"/>
      <c r="M76" s="480"/>
      <c r="N76" s="480"/>
      <c r="O76" s="480"/>
    </row>
    <row r="77" spans="1:15" x14ac:dyDescent="0.2">
      <c r="A77" s="480"/>
      <c r="B77" s="480"/>
      <c r="C77" s="480"/>
      <c r="D77" s="480"/>
      <c r="E77" s="480"/>
      <c r="F77" s="480"/>
      <c r="G77" s="480"/>
      <c r="H77" s="480"/>
      <c r="I77" s="480"/>
      <c r="J77" s="480"/>
      <c r="K77" s="480"/>
      <c r="L77" s="480"/>
      <c r="M77" s="480"/>
      <c r="N77" s="480"/>
      <c r="O77" s="480"/>
    </row>
    <row r="78" spans="1:15" x14ac:dyDescent="0.2">
      <c r="A78" s="480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0"/>
      <c r="O78" s="480"/>
    </row>
    <row r="79" spans="1:15" x14ac:dyDescent="0.2">
      <c r="A79" s="480"/>
      <c r="B79" s="480"/>
      <c r="C79" s="480"/>
      <c r="D79" s="480"/>
      <c r="E79" s="480"/>
      <c r="F79" s="480"/>
      <c r="G79" s="480"/>
      <c r="H79" s="480"/>
      <c r="I79" s="480"/>
      <c r="J79" s="480"/>
      <c r="K79" s="480"/>
      <c r="L79" s="480"/>
      <c r="M79" s="480"/>
      <c r="N79" s="480"/>
      <c r="O79" s="480"/>
    </row>
    <row r="80" spans="1:15" x14ac:dyDescent="0.2">
      <c r="A80" s="480"/>
      <c r="B80" s="480"/>
      <c r="C80" s="480"/>
      <c r="D80" s="480"/>
      <c r="E80" s="480"/>
      <c r="F80" s="480"/>
      <c r="G80" s="480"/>
      <c r="H80" s="480"/>
      <c r="I80" s="480"/>
      <c r="J80" s="480"/>
      <c r="K80" s="480"/>
      <c r="L80" s="480"/>
      <c r="M80" s="480"/>
      <c r="N80" s="480"/>
      <c r="O80" s="480"/>
    </row>
    <row r="81" spans="1:15" x14ac:dyDescent="0.2">
      <c r="A81" s="480"/>
      <c r="B81" s="480"/>
      <c r="C81" s="480"/>
      <c r="D81" s="480"/>
      <c r="E81" s="480"/>
      <c r="F81" s="480"/>
      <c r="G81" s="480"/>
      <c r="H81" s="480"/>
      <c r="I81" s="480"/>
      <c r="J81" s="480"/>
      <c r="K81" s="480"/>
      <c r="L81" s="480"/>
      <c r="M81" s="480"/>
      <c r="N81" s="480"/>
      <c r="O81" s="480"/>
    </row>
    <row r="82" spans="1:15" x14ac:dyDescent="0.2">
      <c r="A82" s="480"/>
      <c r="B82" s="480"/>
      <c r="C82" s="480"/>
      <c r="D82" s="480"/>
      <c r="E82" s="480"/>
      <c r="F82" s="480"/>
      <c r="G82" s="480"/>
      <c r="H82" s="480"/>
      <c r="I82" s="480"/>
      <c r="J82" s="480"/>
      <c r="K82" s="480"/>
      <c r="L82" s="480"/>
      <c r="M82" s="480"/>
      <c r="N82" s="480"/>
      <c r="O82" s="480"/>
    </row>
    <row r="83" spans="1:15" x14ac:dyDescent="0.2">
      <c r="A83" s="480"/>
      <c r="B83" s="480"/>
      <c r="C83" s="480"/>
      <c r="D83" s="480"/>
      <c r="E83" s="480"/>
      <c r="F83" s="480"/>
      <c r="G83" s="480"/>
      <c r="H83" s="480"/>
      <c r="I83" s="480"/>
      <c r="J83" s="480"/>
      <c r="K83" s="480"/>
      <c r="L83" s="480"/>
      <c r="M83" s="480"/>
      <c r="N83" s="480"/>
      <c r="O83" s="480"/>
    </row>
    <row r="84" spans="1:15" x14ac:dyDescent="0.2">
      <c r="A84" s="480"/>
      <c r="B84" s="480"/>
      <c r="C84" s="480"/>
      <c r="D84" s="480"/>
      <c r="E84" s="480"/>
      <c r="F84" s="480"/>
      <c r="G84" s="480"/>
      <c r="H84" s="480"/>
      <c r="I84" s="480"/>
      <c r="J84" s="480"/>
      <c r="K84" s="480"/>
      <c r="L84" s="480"/>
      <c r="M84" s="480"/>
      <c r="N84" s="480"/>
      <c r="O84" s="480"/>
    </row>
    <row r="85" spans="1:15" x14ac:dyDescent="0.2">
      <c r="A85" s="480"/>
      <c r="B85" s="480"/>
      <c r="C85" s="480"/>
      <c r="D85" s="480"/>
      <c r="E85" s="480"/>
      <c r="F85" s="480"/>
      <c r="G85" s="480"/>
      <c r="H85" s="480"/>
      <c r="I85" s="480"/>
      <c r="J85" s="480"/>
      <c r="K85" s="480"/>
      <c r="L85" s="480"/>
      <c r="M85" s="480"/>
      <c r="N85" s="480"/>
      <c r="O85" s="480"/>
    </row>
    <row r="86" spans="1:15" x14ac:dyDescent="0.2">
      <c r="A86" s="480"/>
      <c r="B86" s="480"/>
      <c r="C86" s="480"/>
      <c r="D86" s="480"/>
      <c r="E86" s="480"/>
      <c r="F86" s="480"/>
      <c r="G86" s="480"/>
      <c r="H86" s="480"/>
      <c r="I86" s="480"/>
      <c r="J86" s="480"/>
      <c r="K86" s="480"/>
      <c r="L86" s="480"/>
      <c r="M86" s="480"/>
      <c r="N86" s="480"/>
      <c r="O86" s="480"/>
    </row>
    <row r="87" spans="1:15" x14ac:dyDescent="0.2">
      <c r="A87" s="480"/>
      <c r="B87" s="480"/>
      <c r="C87" s="480"/>
      <c r="D87" s="480"/>
      <c r="E87" s="480"/>
      <c r="F87" s="480"/>
      <c r="G87" s="480"/>
      <c r="H87" s="480"/>
      <c r="I87" s="480"/>
      <c r="J87" s="480"/>
      <c r="K87" s="480"/>
      <c r="L87" s="480"/>
      <c r="M87" s="480"/>
      <c r="N87" s="480"/>
      <c r="O87" s="480"/>
    </row>
    <row r="88" spans="1:15" x14ac:dyDescent="0.2">
      <c r="A88" s="480"/>
      <c r="B88" s="480"/>
      <c r="C88" s="480"/>
      <c r="D88" s="480"/>
      <c r="E88" s="480"/>
      <c r="F88" s="480"/>
      <c r="G88" s="480"/>
      <c r="H88" s="480"/>
      <c r="I88" s="480"/>
      <c r="J88" s="480"/>
      <c r="K88" s="480"/>
      <c r="L88" s="480"/>
      <c r="M88" s="480"/>
      <c r="N88" s="480"/>
      <c r="O88" s="480"/>
    </row>
    <row r="89" spans="1:15" x14ac:dyDescent="0.2">
      <c r="A89" s="480"/>
      <c r="B89" s="480"/>
      <c r="C89" s="480"/>
      <c r="D89" s="480"/>
      <c r="E89" s="480"/>
      <c r="F89" s="480"/>
      <c r="G89" s="480"/>
      <c r="H89" s="480"/>
      <c r="I89" s="480"/>
      <c r="J89" s="480"/>
      <c r="K89" s="480"/>
      <c r="L89" s="480"/>
      <c r="M89" s="480"/>
      <c r="N89" s="480"/>
      <c r="O89" s="480"/>
    </row>
    <row r="90" spans="1:15" x14ac:dyDescent="0.2">
      <c r="A90" s="480"/>
      <c r="B90" s="480"/>
      <c r="C90" s="480"/>
      <c r="D90" s="480"/>
      <c r="E90" s="480"/>
      <c r="F90" s="480"/>
      <c r="G90" s="480"/>
      <c r="H90" s="480"/>
      <c r="I90" s="480"/>
      <c r="J90" s="480"/>
      <c r="K90" s="480"/>
      <c r="L90" s="480"/>
      <c r="M90" s="480"/>
      <c r="N90" s="480"/>
      <c r="O90" s="480"/>
    </row>
    <row r="91" spans="1:15" x14ac:dyDescent="0.2">
      <c r="A91" s="480"/>
      <c r="B91" s="480"/>
      <c r="C91" s="480"/>
      <c r="D91" s="480"/>
      <c r="E91" s="480"/>
      <c r="F91" s="480"/>
      <c r="G91" s="480"/>
      <c r="H91" s="480"/>
      <c r="I91" s="480"/>
      <c r="J91" s="480"/>
      <c r="K91" s="480"/>
      <c r="L91" s="480"/>
      <c r="M91" s="480"/>
      <c r="N91" s="480"/>
      <c r="O91" s="480"/>
    </row>
    <row r="92" spans="1:15" x14ac:dyDescent="0.2">
      <c r="A92" s="480"/>
      <c r="B92" s="480"/>
      <c r="C92" s="480"/>
      <c r="D92" s="480"/>
      <c r="E92" s="480"/>
      <c r="F92" s="480"/>
      <c r="G92" s="480"/>
      <c r="H92" s="480"/>
      <c r="I92" s="480"/>
      <c r="J92" s="480"/>
      <c r="K92" s="480"/>
      <c r="L92" s="480"/>
      <c r="M92" s="480"/>
      <c r="N92" s="480"/>
      <c r="O92" s="480"/>
    </row>
    <row r="93" spans="1:15" x14ac:dyDescent="0.2">
      <c r="A93" s="480"/>
      <c r="B93" s="480"/>
      <c r="C93" s="480"/>
      <c r="D93" s="480"/>
      <c r="E93" s="480"/>
      <c r="F93" s="480"/>
      <c r="G93" s="480"/>
      <c r="H93" s="480"/>
      <c r="I93" s="480"/>
      <c r="J93" s="480"/>
      <c r="K93" s="480"/>
      <c r="L93" s="480"/>
      <c r="M93" s="480"/>
      <c r="N93" s="480"/>
      <c r="O93" s="480"/>
    </row>
  </sheetData>
  <sheetProtection password="F663" sheet="1" objects="1" scenarios="1"/>
  <phoneticPr fontId="0" type="noConversion"/>
  <pageMargins left="0.74803149606299202" right="0.74803149606299202" top="0.98425196850393704" bottom="0.98425196850393704" header="0.511811023622047" footer="0.511811023622047"/>
  <pageSetup paperSize="9" scale="80" fitToHeight="5" orientation="portrait" r:id="rId1"/>
  <headerFooter alignWithMargins="0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"/>
  <dimension ref="A1:O199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  <col min="9" max="9" width="11.5703125" customWidth="1"/>
    <col min="10" max="10" width="11.140625" customWidth="1"/>
  </cols>
  <sheetData>
    <row r="1" spans="1:15" ht="43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  <c r="J1" s="477"/>
      <c r="K1" s="1"/>
      <c r="L1" s="1"/>
      <c r="M1" s="1"/>
      <c r="N1" s="1"/>
      <c r="O1" s="1"/>
    </row>
    <row r="2" spans="1:15" x14ac:dyDescent="0.2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</row>
    <row r="3" spans="1:15" x14ac:dyDescent="0.2">
      <c r="A3" s="480"/>
      <c r="B3" s="480" t="s">
        <v>984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</row>
    <row r="4" spans="1:15" x14ac:dyDescent="0.2">
      <c r="A4" s="480"/>
      <c r="B4" s="480" t="s">
        <v>987</v>
      </c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</row>
    <row r="5" spans="1:15" x14ac:dyDescent="0.2">
      <c r="A5" s="480"/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</row>
    <row r="6" spans="1:15" x14ac:dyDescent="0.2">
      <c r="A6" s="480"/>
      <c r="B6" s="480" t="s">
        <v>985</v>
      </c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</row>
    <row r="7" spans="1:15" x14ac:dyDescent="0.2">
      <c r="A7" s="480"/>
      <c r="B7" s="480" t="s">
        <v>988</v>
      </c>
      <c r="C7" s="480"/>
      <c r="D7" s="480"/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0"/>
    </row>
    <row r="8" spans="1:15" x14ac:dyDescent="0.2">
      <c r="A8" s="480"/>
      <c r="B8" s="480" t="s">
        <v>986</v>
      </c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</row>
    <row r="9" spans="1:15" x14ac:dyDescent="0.2">
      <c r="A9" s="480"/>
      <c r="B9" s="480" t="s">
        <v>989</v>
      </c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</row>
    <row r="10" spans="1:15" x14ac:dyDescent="0.2">
      <c r="A10" s="480"/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</row>
    <row r="11" spans="1:15" x14ac:dyDescent="0.2">
      <c r="A11" s="480"/>
      <c r="B11" s="480"/>
      <c r="C11" s="505"/>
      <c r="D11" s="481" t="s">
        <v>3555</v>
      </c>
      <c r="E11" s="481" t="s">
        <v>3556</v>
      </c>
      <c r="F11" s="481" t="s">
        <v>3557</v>
      </c>
      <c r="G11" s="481" t="s">
        <v>3360</v>
      </c>
      <c r="H11" s="480"/>
      <c r="I11" s="480"/>
      <c r="J11" s="480"/>
      <c r="K11" s="480"/>
      <c r="L11" s="480"/>
      <c r="M11" s="480"/>
      <c r="N11" s="480"/>
      <c r="O11" s="480"/>
    </row>
    <row r="12" spans="1:15" x14ac:dyDescent="0.2">
      <c r="A12" s="480"/>
      <c r="B12" s="480"/>
      <c r="C12" s="506" t="s">
        <v>3356</v>
      </c>
      <c r="D12" s="483">
        <v>10</v>
      </c>
      <c r="E12" s="483">
        <v>50</v>
      </c>
      <c r="F12" s="483">
        <v>90</v>
      </c>
      <c r="G12" s="484">
        <f>SUM(D12:F12)</f>
        <v>150</v>
      </c>
      <c r="H12" s="480"/>
      <c r="I12" s="480"/>
      <c r="J12" s="480"/>
      <c r="K12" s="480"/>
      <c r="L12" s="480"/>
      <c r="M12" s="480"/>
      <c r="N12" s="480"/>
      <c r="O12" s="480"/>
    </row>
    <row r="13" spans="1:15" x14ac:dyDescent="0.2">
      <c r="A13" s="480"/>
      <c r="B13" s="480"/>
      <c r="C13" s="506" t="s">
        <v>3357</v>
      </c>
      <c r="D13" s="483">
        <v>20</v>
      </c>
      <c r="E13" s="483">
        <v>60</v>
      </c>
      <c r="F13" s="483">
        <v>100</v>
      </c>
      <c r="G13" s="484">
        <f>SUM(D13:F13)</f>
        <v>180</v>
      </c>
      <c r="H13" s="480"/>
      <c r="I13" s="480"/>
      <c r="J13" s="480"/>
      <c r="K13" s="480"/>
      <c r="L13" s="480"/>
      <c r="M13" s="480"/>
      <c r="N13" s="480"/>
      <c r="O13" s="480"/>
    </row>
    <row r="14" spans="1:15" x14ac:dyDescent="0.2">
      <c r="A14" s="480"/>
      <c r="B14" s="480"/>
      <c r="C14" s="506" t="s">
        <v>3358</v>
      </c>
      <c r="D14" s="483">
        <v>30</v>
      </c>
      <c r="E14" s="483">
        <v>70</v>
      </c>
      <c r="F14" s="483">
        <v>200</v>
      </c>
      <c r="G14" s="484">
        <f>SUM(G12:G13)</f>
        <v>330</v>
      </c>
      <c r="H14" s="480"/>
      <c r="I14" s="480"/>
      <c r="J14" s="480"/>
      <c r="K14" s="480"/>
      <c r="L14" s="480"/>
      <c r="M14" s="480"/>
      <c r="N14" s="480"/>
      <c r="O14" s="480"/>
    </row>
    <row r="15" spans="1:15" x14ac:dyDescent="0.2">
      <c r="A15" s="480"/>
      <c r="B15" s="480"/>
      <c r="C15" s="506" t="s">
        <v>3359</v>
      </c>
      <c r="D15" s="483">
        <v>40</v>
      </c>
      <c r="E15" s="483">
        <v>80</v>
      </c>
      <c r="F15" s="483">
        <v>300</v>
      </c>
      <c r="G15" s="484">
        <f>SUM(D15:F15)</f>
        <v>420</v>
      </c>
      <c r="H15" s="480"/>
      <c r="I15" s="480"/>
      <c r="J15" s="480"/>
      <c r="K15" s="480"/>
      <c r="L15" s="480"/>
      <c r="M15" s="480"/>
      <c r="N15" s="480"/>
      <c r="O15" s="480"/>
    </row>
    <row r="16" spans="1:15" x14ac:dyDescent="0.2">
      <c r="A16" s="480"/>
      <c r="B16" s="480"/>
      <c r="C16" s="506" t="s">
        <v>3360</v>
      </c>
      <c r="D16" s="484">
        <f>SUM(D12:D15)</f>
        <v>100</v>
      </c>
      <c r="E16" s="484">
        <f>SUM(E12:E15)</f>
        <v>260</v>
      </c>
      <c r="F16" s="484">
        <f>SUM(F12:F15)</f>
        <v>690</v>
      </c>
      <c r="G16" s="484">
        <f>SUM(D16:F16)</f>
        <v>1050</v>
      </c>
      <c r="H16" s="480"/>
      <c r="I16" s="480"/>
      <c r="J16" s="480"/>
      <c r="K16" s="480"/>
      <c r="L16" s="480"/>
      <c r="M16" s="480"/>
      <c r="N16" s="480"/>
      <c r="O16" s="480"/>
    </row>
    <row r="17" spans="1:15" x14ac:dyDescent="0.2">
      <c r="A17" s="480"/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</row>
    <row r="18" spans="1:15" x14ac:dyDescent="0.2">
      <c r="A18" s="480"/>
      <c r="B18" s="480"/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</row>
    <row r="19" spans="1:15" x14ac:dyDescent="0.2">
      <c r="A19" s="480"/>
      <c r="B19" s="480"/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</row>
    <row r="20" spans="1:15" x14ac:dyDescent="0.2">
      <c r="A20" s="480"/>
      <c r="B20" s="480"/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</row>
    <row r="21" spans="1:15" x14ac:dyDescent="0.2">
      <c r="A21" s="480"/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</row>
    <row r="22" spans="1:15" x14ac:dyDescent="0.2">
      <c r="A22" s="480"/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</row>
    <row r="23" spans="1:15" x14ac:dyDescent="0.2">
      <c r="A23" s="480"/>
      <c r="B23" s="480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</row>
    <row r="24" spans="1:15" x14ac:dyDescent="0.2">
      <c r="A24" s="480"/>
      <c r="B24" s="480"/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</row>
    <row r="25" spans="1:15" x14ac:dyDescent="0.2">
      <c r="A25" s="480"/>
      <c r="B25" s="480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</row>
    <row r="26" spans="1:15" x14ac:dyDescent="0.2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</row>
    <row r="27" spans="1:15" x14ac:dyDescent="0.2">
      <c r="A27" s="480"/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</row>
    <row r="28" spans="1:15" x14ac:dyDescent="0.2">
      <c r="A28" s="480"/>
      <c r="B28" s="480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</row>
    <row r="29" spans="1:15" x14ac:dyDescent="0.2">
      <c r="A29" s="480"/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</row>
    <row r="30" spans="1:15" x14ac:dyDescent="0.2">
      <c r="A30" s="480"/>
      <c r="B30" s="480"/>
      <c r="C30" s="480"/>
      <c r="D30" s="480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</row>
    <row r="31" spans="1:15" x14ac:dyDescent="0.2">
      <c r="A31" s="480"/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</row>
    <row r="32" spans="1:15" x14ac:dyDescent="0.2">
      <c r="A32" s="480"/>
      <c r="B32" s="480"/>
      <c r="C32" s="480"/>
      <c r="D32" s="480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</row>
    <row r="33" spans="1:15" x14ac:dyDescent="0.2">
      <c r="A33" s="480"/>
      <c r="B33" s="480"/>
      <c r="C33" s="480"/>
      <c r="D33" s="480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</row>
    <row r="34" spans="1:15" x14ac:dyDescent="0.2">
      <c r="A34" s="480"/>
      <c r="B34" s="480"/>
      <c r="C34" s="480"/>
      <c r="D34" s="48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</row>
    <row r="35" spans="1:15" x14ac:dyDescent="0.2">
      <c r="A35" s="480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</row>
    <row r="36" spans="1:15" x14ac:dyDescent="0.2">
      <c r="A36" s="480"/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</row>
    <row r="37" spans="1:15" x14ac:dyDescent="0.2">
      <c r="A37" s="480"/>
      <c r="B37" s="480"/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</row>
    <row r="38" spans="1:15" x14ac:dyDescent="0.2">
      <c r="A38" s="480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</row>
    <row r="39" spans="1:15" x14ac:dyDescent="0.2">
      <c r="A39" s="480"/>
      <c r="B39" s="480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</row>
    <row r="40" spans="1:15" x14ac:dyDescent="0.2">
      <c r="A40" s="480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</row>
    <row r="41" spans="1:15" x14ac:dyDescent="0.2">
      <c r="A41" s="480"/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</row>
    <row r="42" spans="1:15" x14ac:dyDescent="0.2">
      <c r="A42" s="480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</row>
    <row r="43" spans="1:15" x14ac:dyDescent="0.2">
      <c r="A43" s="480"/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</row>
    <row r="44" spans="1:15" x14ac:dyDescent="0.2">
      <c r="A44" s="480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480"/>
      <c r="O44" s="480"/>
    </row>
    <row r="45" spans="1:15" x14ac:dyDescent="0.2">
      <c r="A45" s="480"/>
      <c r="B45" s="480"/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</row>
    <row r="46" spans="1:15" x14ac:dyDescent="0.2">
      <c r="A46" s="480"/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</row>
    <row r="47" spans="1:15" x14ac:dyDescent="0.2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</row>
    <row r="48" spans="1:15" x14ac:dyDescent="0.2">
      <c r="A48" s="480"/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</row>
    <row r="49" spans="1:15" x14ac:dyDescent="0.2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</row>
    <row r="50" spans="1:15" x14ac:dyDescent="0.2">
      <c r="A50" s="480"/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</row>
    <row r="51" spans="1:15" x14ac:dyDescent="0.2">
      <c r="A51" s="480"/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</row>
    <row r="52" spans="1:15" x14ac:dyDescent="0.2">
      <c r="A52" s="480"/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</row>
    <row r="53" spans="1:15" x14ac:dyDescent="0.2">
      <c r="A53" s="480"/>
      <c r="B53" s="480"/>
      <c r="C53" s="480"/>
      <c r="D53" s="480"/>
      <c r="E53" s="480"/>
      <c r="F53" s="480"/>
      <c r="G53" s="480"/>
      <c r="H53" s="480"/>
      <c r="I53" s="480"/>
      <c r="J53" s="480"/>
      <c r="K53" s="480"/>
      <c r="L53" s="480"/>
      <c r="M53" s="480"/>
      <c r="N53" s="480"/>
      <c r="O53" s="480"/>
    </row>
    <row r="54" spans="1:15" x14ac:dyDescent="0.2">
      <c r="A54" s="480"/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</row>
    <row r="55" spans="1:15" x14ac:dyDescent="0.2">
      <c r="A55" s="480"/>
      <c r="B55" s="480"/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</row>
    <row r="56" spans="1:15" x14ac:dyDescent="0.2">
      <c r="A56" s="480"/>
      <c r="B56" s="480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</row>
    <row r="57" spans="1:15" x14ac:dyDescent="0.2">
      <c r="A57" s="480"/>
      <c r="B57" s="480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</row>
    <row r="58" spans="1:15" x14ac:dyDescent="0.2">
      <c r="A58" s="480"/>
      <c r="B58" s="480"/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</row>
    <row r="59" spans="1:15" x14ac:dyDescent="0.2">
      <c r="A59" s="480"/>
      <c r="B59" s="480"/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  <c r="N59" s="480"/>
      <c r="O59" s="480"/>
    </row>
    <row r="60" spans="1:15" x14ac:dyDescent="0.2">
      <c r="A60" s="480"/>
      <c r="B60" s="480"/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  <c r="N60" s="480"/>
      <c r="O60" s="480"/>
    </row>
    <row r="61" spans="1:15" x14ac:dyDescent="0.2">
      <c r="A61" s="480"/>
      <c r="B61" s="480"/>
      <c r="C61" s="480"/>
      <c r="D61" s="480"/>
      <c r="E61" s="480"/>
      <c r="F61" s="480"/>
      <c r="G61" s="480"/>
      <c r="H61" s="480"/>
      <c r="I61" s="480"/>
      <c r="J61" s="480"/>
      <c r="K61" s="480"/>
      <c r="L61" s="480"/>
      <c r="M61" s="480"/>
      <c r="N61" s="480"/>
      <c r="O61" s="480"/>
    </row>
    <row r="62" spans="1:15" x14ac:dyDescent="0.2">
      <c r="A62" s="480"/>
      <c r="B62" s="480"/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480"/>
      <c r="N62" s="480"/>
      <c r="O62" s="480"/>
    </row>
    <row r="63" spans="1:15" x14ac:dyDescent="0.2">
      <c r="A63" s="480"/>
      <c r="B63" s="480"/>
      <c r="C63" s="480"/>
      <c r="D63" s="480"/>
      <c r="E63" s="480"/>
      <c r="F63" s="480"/>
      <c r="G63" s="480"/>
      <c r="H63" s="480"/>
      <c r="I63" s="480"/>
      <c r="J63" s="480"/>
      <c r="K63" s="480"/>
      <c r="L63" s="480"/>
      <c r="M63" s="480"/>
      <c r="N63" s="480"/>
      <c r="O63" s="480"/>
    </row>
    <row r="64" spans="1:15" x14ac:dyDescent="0.2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  <c r="O64" s="480"/>
    </row>
    <row r="65" spans="1:15" x14ac:dyDescent="0.2">
      <c r="A65" s="480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</row>
    <row r="66" spans="1:15" x14ac:dyDescent="0.2">
      <c r="A66" s="480"/>
      <c r="B66" s="480"/>
      <c r="C66" s="480"/>
      <c r="D66" s="480"/>
      <c r="E66" s="480"/>
      <c r="F66" s="480"/>
      <c r="G66" s="480"/>
      <c r="H66" s="480"/>
      <c r="I66" s="480"/>
      <c r="J66" s="480"/>
      <c r="K66" s="480"/>
      <c r="L66" s="480"/>
      <c r="M66" s="480"/>
      <c r="N66" s="480"/>
      <c r="O66" s="480"/>
    </row>
    <row r="67" spans="1:15" x14ac:dyDescent="0.2">
      <c r="A67" s="480"/>
      <c r="B67" s="480"/>
      <c r="C67" s="480"/>
      <c r="D67" s="480"/>
      <c r="E67" s="480"/>
      <c r="F67" s="480"/>
      <c r="G67" s="480"/>
      <c r="H67" s="480"/>
      <c r="I67" s="480"/>
      <c r="J67" s="480"/>
      <c r="K67" s="480"/>
      <c r="L67" s="480"/>
      <c r="M67" s="480"/>
      <c r="N67" s="480"/>
      <c r="O67" s="480"/>
    </row>
    <row r="68" spans="1:15" x14ac:dyDescent="0.2">
      <c r="A68" s="480"/>
      <c r="B68" s="480"/>
      <c r="C68" s="480"/>
      <c r="D68" s="480"/>
      <c r="E68" s="480"/>
      <c r="F68" s="480"/>
      <c r="G68" s="480"/>
      <c r="H68" s="480"/>
      <c r="I68" s="480"/>
      <c r="J68" s="480"/>
      <c r="K68" s="480"/>
      <c r="L68" s="480"/>
      <c r="M68" s="480"/>
      <c r="N68" s="480"/>
      <c r="O68" s="480"/>
    </row>
    <row r="69" spans="1:15" x14ac:dyDescent="0.2">
      <c r="A69" s="480"/>
      <c r="B69" s="480"/>
      <c r="C69" s="480"/>
      <c r="D69" s="480"/>
      <c r="E69" s="480"/>
      <c r="F69" s="480"/>
      <c r="G69" s="480"/>
      <c r="H69" s="480"/>
      <c r="I69" s="480"/>
      <c r="J69" s="480"/>
      <c r="K69" s="480"/>
      <c r="L69" s="480"/>
      <c r="M69" s="480"/>
      <c r="N69" s="480"/>
      <c r="O69" s="480"/>
    </row>
    <row r="70" spans="1:15" x14ac:dyDescent="0.2">
      <c r="A70" s="480"/>
      <c r="B70" s="480"/>
      <c r="C70" s="480"/>
      <c r="D70" s="480"/>
      <c r="E70" s="480"/>
      <c r="F70" s="480"/>
      <c r="G70" s="480"/>
      <c r="H70" s="480"/>
      <c r="I70" s="480"/>
      <c r="J70" s="480"/>
      <c r="K70" s="480"/>
      <c r="L70" s="480"/>
      <c r="M70" s="480"/>
      <c r="N70" s="480"/>
      <c r="O70" s="480"/>
    </row>
    <row r="71" spans="1:15" x14ac:dyDescent="0.2">
      <c r="A71" s="480"/>
      <c r="B71" s="480"/>
      <c r="C71" s="480"/>
      <c r="D71" s="480"/>
      <c r="E71" s="480"/>
      <c r="F71" s="480"/>
      <c r="G71" s="480"/>
      <c r="H71" s="480"/>
      <c r="I71" s="480"/>
      <c r="J71" s="480"/>
      <c r="K71" s="480"/>
      <c r="L71" s="480"/>
      <c r="M71" s="480"/>
      <c r="N71" s="480"/>
      <c r="O71" s="480"/>
    </row>
    <row r="72" spans="1:15" x14ac:dyDescent="0.2">
      <c r="A72" s="480"/>
      <c r="B72" s="480"/>
      <c r="C72" s="480"/>
      <c r="D72" s="480"/>
      <c r="E72" s="480"/>
      <c r="F72" s="480"/>
      <c r="G72" s="480"/>
      <c r="H72" s="480"/>
      <c r="I72" s="480"/>
      <c r="J72" s="480"/>
      <c r="K72" s="480"/>
      <c r="L72" s="480"/>
      <c r="M72" s="480"/>
      <c r="N72" s="480"/>
      <c r="O72" s="480"/>
    </row>
    <row r="73" spans="1:15" x14ac:dyDescent="0.2">
      <c r="A73" s="480"/>
      <c r="B73" s="480"/>
      <c r="C73" s="480"/>
      <c r="D73" s="480"/>
      <c r="E73" s="480"/>
      <c r="F73" s="480"/>
      <c r="G73" s="480"/>
      <c r="H73" s="480"/>
      <c r="I73" s="480"/>
      <c r="J73" s="480"/>
      <c r="K73" s="480"/>
      <c r="L73" s="480"/>
      <c r="M73" s="480"/>
      <c r="N73" s="480"/>
      <c r="O73" s="480"/>
    </row>
    <row r="74" spans="1:15" x14ac:dyDescent="0.2">
      <c r="A74" s="480"/>
      <c r="B74" s="480"/>
      <c r="C74" s="480"/>
      <c r="D74" s="480"/>
      <c r="E74" s="480"/>
      <c r="F74" s="480"/>
      <c r="G74" s="480"/>
      <c r="H74" s="480"/>
      <c r="I74" s="480"/>
      <c r="J74" s="480"/>
      <c r="K74" s="480"/>
      <c r="L74" s="480"/>
      <c r="M74" s="480"/>
      <c r="N74" s="480"/>
      <c r="O74" s="480"/>
    </row>
    <row r="75" spans="1:15" x14ac:dyDescent="0.2">
      <c r="A75" s="480"/>
      <c r="B75" s="480"/>
      <c r="C75" s="480"/>
      <c r="D75" s="480"/>
      <c r="E75" s="480"/>
      <c r="F75" s="480"/>
      <c r="G75" s="480"/>
      <c r="H75" s="480"/>
      <c r="I75" s="480"/>
      <c r="J75" s="480"/>
      <c r="K75" s="480"/>
      <c r="L75" s="480"/>
      <c r="M75" s="480"/>
      <c r="N75" s="480"/>
      <c r="O75" s="480"/>
    </row>
    <row r="76" spans="1:15" x14ac:dyDescent="0.2">
      <c r="A76" s="480"/>
      <c r="B76" s="480"/>
      <c r="C76" s="480"/>
      <c r="D76" s="480"/>
      <c r="E76" s="480"/>
      <c r="F76" s="480"/>
      <c r="G76" s="480"/>
      <c r="H76" s="480"/>
      <c r="I76" s="480"/>
      <c r="J76" s="480"/>
      <c r="K76" s="480"/>
      <c r="L76" s="480"/>
      <c r="M76" s="480"/>
      <c r="N76" s="480"/>
      <c r="O76" s="480"/>
    </row>
    <row r="77" spans="1:15" x14ac:dyDescent="0.2">
      <c r="A77" s="480"/>
      <c r="B77" s="480"/>
      <c r="C77" s="480"/>
      <c r="D77" s="480"/>
      <c r="E77" s="480"/>
      <c r="F77" s="480"/>
      <c r="G77" s="480"/>
      <c r="H77" s="480"/>
      <c r="I77" s="480"/>
      <c r="J77" s="480"/>
      <c r="K77" s="480"/>
      <c r="L77" s="480"/>
      <c r="M77" s="480"/>
      <c r="N77" s="480"/>
      <c r="O77" s="480"/>
    </row>
    <row r="78" spans="1:15" x14ac:dyDescent="0.2">
      <c r="A78" s="480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0"/>
      <c r="O78" s="480"/>
    </row>
    <row r="79" spans="1:15" x14ac:dyDescent="0.2">
      <c r="A79" s="480"/>
      <c r="B79" s="480"/>
      <c r="C79" s="480"/>
      <c r="D79" s="480"/>
      <c r="E79" s="480"/>
      <c r="F79" s="480"/>
      <c r="G79" s="480"/>
      <c r="H79" s="480"/>
      <c r="I79" s="480"/>
      <c r="J79" s="480"/>
      <c r="K79" s="480"/>
      <c r="L79" s="480"/>
      <c r="M79" s="480"/>
      <c r="N79" s="480"/>
      <c r="O79" s="480"/>
    </row>
    <row r="80" spans="1:15" x14ac:dyDescent="0.2">
      <c r="A80" s="480"/>
      <c r="B80" s="480"/>
      <c r="C80" s="480"/>
      <c r="D80" s="480"/>
      <c r="E80" s="480"/>
      <c r="F80" s="480"/>
      <c r="G80" s="480"/>
      <c r="H80" s="480"/>
      <c r="I80" s="480"/>
      <c r="J80" s="480"/>
      <c r="K80" s="480"/>
      <c r="L80" s="480"/>
      <c r="M80" s="480"/>
      <c r="N80" s="480"/>
      <c r="O80" s="480"/>
    </row>
    <row r="81" spans="1:15" x14ac:dyDescent="0.2">
      <c r="A81" s="480"/>
      <c r="B81" s="480"/>
      <c r="C81" s="480"/>
      <c r="D81" s="480"/>
      <c r="E81" s="480"/>
      <c r="F81" s="480"/>
      <c r="G81" s="480"/>
      <c r="H81" s="480"/>
      <c r="I81" s="480"/>
      <c r="J81" s="480"/>
      <c r="K81" s="480"/>
      <c r="L81" s="480"/>
      <c r="M81" s="480"/>
      <c r="N81" s="480"/>
      <c r="O81" s="480"/>
    </row>
    <row r="82" spans="1:15" x14ac:dyDescent="0.2">
      <c r="A82" s="480"/>
      <c r="B82" s="480"/>
      <c r="C82" s="480"/>
      <c r="D82" s="480"/>
      <c r="E82" s="480"/>
      <c r="F82" s="480"/>
      <c r="G82" s="480"/>
      <c r="H82" s="480"/>
      <c r="I82" s="480"/>
      <c r="J82" s="480"/>
      <c r="K82" s="480"/>
      <c r="L82" s="480"/>
      <c r="M82" s="480"/>
      <c r="N82" s="480"/>
      <c r="O82" s="480"/>
    </row>
    <row r="83" spans="1:15" x14ac:dyDescent="0.2">
      <c r="A83" s="480"/>
      <c r="B83" s="480"/>
      <c r="C83" s="480"/>
      <c r="D83" s="480"/>
      <c r="E83" s="480"/>
      <c r="F83" s="480"/>
      <c r="G83" s="480"/>
      <c r="H83" s="480"/>
      <c r="I83" s="480"/>
      <c r="J83" s="480"/>
      <c r="K83" s="480"/>
      <c r="L83" s="480"/>
      <c r="M83" s="480"/>
      <c r="N83" s="480"/>
      <c r="O83" s="480"/>
    </row>
    <row r="84" spans="1:15" x14ac:dyDescent="0.2">
      <c r="A84" s="480"/>
      <c r="B84" s="480"/>
      <c r="C84" s="480"/>
      <c r="D84" s="480"/>
      <c r="E84" s="480"/>
      <c r="F84" s="480"/>
      <c r="G84" s="480"/>
      <c r="H84" s="480"/>
      <c r="I84" s="480"/>
      <c r="J84" s="480"/>
      <c r="K84" s="480"/>
      <c r="L84" s="480"/>
      <c r="M84" s="480"/>
      <c r="N84" s="480"/>
      <c r="O84" s="480"/>
    </row>
    <row r="85" spans="1:15" x14ac:dyDescent="0.2">
      <c r="A85" s="480"/>
      <c r="B85" s="480"/>
      <c r="C85" s="480"/>
      <c r="D85" s="480"/>
      <c r="E85" s="480"/>
      <c r="F85" s="480"/>
      <c r="G85" s="480"/>
      <c r="H85" s="480"/>
      <c r="I85" s="480"/>
      <c r="J85" s="480"/>
      <c r="K85" s="480"/>
      <c r="L85" s="480"/>
      <c r="M85" s="480"/>
      <c r="N85" s="480"/>
      <c r="O85" s="480"/>
    </row>
    <row r="86" spans="1:15" x14ac:dyDescent="0.2">
      <c r="A86" s="480"/>
      <c r="B86" s="480"/>
      <c r="C86" s="480"/>
      <c r="D86" s="480"/>
      <c r="E86" s="480"/>
      <c r="F86" s="480"/>
      <c r="G86" s="480"/>
      <c r="H86" s="480"/>
      <c r="I86" s="480"/>
      <c r="J86" s="480"/>
      <c r="K86" s="480"/>
      <c r="L86" s="480"/>
      <c r="M86" s="480"/>
      <c r="N86" s="480"/>
      <c r="O86" s="480"/>
    </row>
    <row r="87" spans="1:15" x14ac:dyDescent="0.2">
      <c r="A87" s="480"/>
      <c r="B87" s="480"/>
      <c r="C87" s="480"/>
      <c r="D87" s="480"/>
      <c r="E87" s="480"/>
      <c r="F87" s="480"/>
      <c r="G87" s="480"/>
      <c r="H87" s="480"/>
      <c r="I87" s="480"/>
      <c r="J87" s="480"/>
      <c r="K87" s="480"/>
      <c r="L87" s="480"/>
      <c r="M87" s="480"/>
      <c r="N87" s="480"/>
      <c r="O87" s="480"/>
    </row>
    <row r="88" spans="1:15" x14ac:dyDescent="0.2">
      <c r="A88" s="480"/>
      <c r="B88" s="480"/>
      <c r="C88" s="480"/>
      <c r="D88" s="480"/>
      <c r="E88" s="480"/>
      <c r="F88" s="480"/>
      <c r="G88" s="480"/>
      <c r="H88" s="480"/>
      <c r="I88" s="480"/>
      <c r="J88" s="480"/>
      <c r="K88" s="480"/>
      <c r="L88" s="480"/>
      <c r="M88" s="480"/>
      <c r="N88" s="480"/>
      <c r="O88" s="480"/>
    </row>
    <row r="89" spans="1:15" x14ac:dyDescent="0.2">
      <c r="A89" s="480"/>
      <c r="B89" s="480"/>
      <c r="C89" s="480"/>
      <c r="D89" s="480"/>
      <c r="E89" s="480"/>
      <c r="F89" s="480"/>
      <c r="G89" s="480"/>
      <c r="H89" s="480"/>
      <c r="I89" s="480"/>
      <c r="J89" s="480"/>
      <c r="K89" s="480"/>
      <c r="L89" s="480"/>
      <c r="M89" s="480"/>
      <c r="N89" s="480"/>
      <c r="O89" s="480"/>
    </row>
    <row r="90" spans="1:15" x14ac:dyDescent="0.2">
      <c r="A90" s="480"/>
      <c r="B90" s="480"/>
      <c r="C90" s="480"/>
      <c r="D90" s="480"/>
      <c r="E90" s="480"/>
      <c r="F90" s="480"/>
      <c r="G90" s="480"/>
      <c r="H90" s="480"/>
      <c r="I90" s="480"/>
      <c r="J90" s="480"/>
      <c r="K90" s="480"/>
      <c r="L90" s="480"/>
      <c r="M90" s="480"/>
      <c r="N90" s="480"/>
      <c r="O90" s="480"/>
    </row>
    <row r="91" spans="1:15" x14ac:dyDescent="0.2">
      <c r="A91" s="480"/>
      <c r="B91" s="480"/>
      <c r="C91" s="480"/>
      <c r="D91" s="480"/>
      <c r="E91" s="480"/>
      <c r="F91" s="480"/>
      <c r="G91" s="480"/>
      <c r="H91" s="480"/>
      <c r="I91" s="480"/>
      <c r="J91" s="480"/>
      <c r="K91" s="480"/>
      <c r="L91" s="480"/>
      <c r="M91" s="480"/>
      <c r="N91" s="480"/>
      <c r="O91" s="480"/>
    </row>
    <row r="92" spans="1:15" x14ac:dyDescent="0.2">
      <c r="A92" s="480"/>
      <c r="B92" s="480"/>
      <c r="C92" s="480"/>
      <c r="D92" s="480"/>
      <c r="E92" s="480"/>
      <c r="F92" s="480"/>
      <c r="G92" s="480"/>
      <c r="H92" s="480"/>
      <c r="I92" s="480"/>
      <c r="J92" s="480"/>
      <c r="K92" s="480"/>
      <c r="L92" s="480"/>
      <c r="M92" s="480"/>
      <c r="N92" s="480"/>
      <c r="O92" s="480"/>
    </row>
    <row r="93" spans="1:15" x14ac:dyDescent="0.2">
      <c r="A93" s="480"/>
      <c r="B93" s="480"/>
      <c r="C93" s="480"/>
      <c r="D93" s="480"/>
      <c r="E93" s="480"/>
      <c r="F93" s="480"/>
      <c r="G93" s="480"/>
      <c r="H93" s="480"/>
      <c r="I93" s="480"/>
      <c r="J93" s="480"/>
      <c r="K93" s="480"/>
      <c r="L93" s="480"/>
      <c r="M93" s="480"/>
      <c r="N93" s="480"/>
      <c r="O93" s="480"/>
    </row>
    <row r="94" spans="1:15" x14ac:dyDescent="0.2">
      <c r="A94" s="480"/>
      <c r="B94" s="480"/>
      <c r="C94" s="480"/>
      <c r="D94" s="480"/>
      <c r="E94" s="480"/>
      <c r="F94" s="480"/>
      <c r="G94" s="480"/>
      <c r="H94" s="480"/>
      <c r="I94" s="480"/>
      <c r="J94" s="480"/>
      <c r="K94" s="480"/>
      <c r="L94" s="480"/>
      <c r="M94" s="480"/>
      <c r="N94" s="480"/>
      <c r="O94" s="480"/>
    </row>
    <row r="95" spans="1:15" x14ac:dyDescent="0.2">
      <c r="A95" s="480"/>
      <c r="B95" s="480"/>
      <c r="C95" s="480"/>
      <c r="D95" s="480"/>
      <c r="E95" s="480"/>
      <c r="F95" s="480"/>
      <c r="G95" s="480"/>
      <c r="H95" s="480"/>
      <c r="I95" s="480"/>
      <c r="J95" s="480"/>
      <c r="K95" s="480"/>
      <c r="L95" s="480"/>
      <c r="M95" s="480"/>
      <c r="N95" s="480"/>
      <c r="O95" s="480"/>
    </row>
    <row r="96" spans="1:15" x14ac:dyDescent="0.2">
      <c r="A96" s="480"/>
      <c r="B96" s="480"/>
      <c r="C96" s="480"/>
      <c r="D96" s="480"/>
      <c r="E96" s="480"/>
      <c r="F96" s="480"/>
      <c r="G96" s="480"/>
      <c r="H96" s="480"/>
      <c r="I96" s="480"/>
      <c r="J96" s="480"/>
      <c r="K96" s="480"/>
      <c r="L96" s="480"/>
      <c r="M96" s="480"/>
      <c r="N96" s="480"/>
      <c r="O96" s="480"/>
    </row>
    <row r="97" spans="1:15" x14ac:dyDescent="0.2">
      <c r="A97" s="480"/>
      <c r="B97" s="480"/>
      <c r="C97" s="480"/>
      <c r="D97" s="480"/>
      <c r="E97" s="480"/>
      <c r="F97" s="480"/>
      <c r="G97" s="480"/>
      <c r="H97" s="480"/>
      <c r="I97" s="480"/>
      <c r="J97" s="480"/>
      <c r="K97" s="480"/>
      <c r="L97" s="480"/>
      <c r="M97" s="480"/>
      <c r="N97" s="480"/>
      <c r="O97" s="480"/>
    </row>
    <row r="98" spans="1:15" x14ac:dyDescent="0.2">
      <c r="A98" s="480"/>
      <c r="B98" s="480"/>
      <c r="C98" s="480"/>
      <c r="D98" s="480"/>
      <c r="E98" s="480"/>
      <c r="F98" s="480"/>
      <c r="G98" s="480"/>
      <c r="H98" s="480"/>
      <c r="I98" s="480"/>
      <c r="J98" s="480"/>
      <c r="K98" s="480"/>
      <c r="L98" s="480"/>
      <c r="M98" s="480"/>
      <c r="N98" s="480"/>
      <c r="O98" s="480"/>
    </row>
    <row r="99" spans="1:15" x14ac:dyDescent="0.2">
      <c r="A99" s="480"/>
      <c r="B99" s="480"/>
      <c r="C99" s="480"/>
      <c r="D99" s="480"/>
      <c r="E99" s="480"/>
      <c r="F99" s="480"/>
      <c r="G99" s="480"/>
      <c r="H99" s="480"/>
      <c r="I99" s="480"/>
      <c r="J99" s="480"/>
      <c r="K99" s="480"/>
      <c r="L99" s="480"/>
      <c r="M99" s="480"/>
      <c r="N99" s="480"/>
      <c r="O99" s="480"/>
    </row>
    <row r="100" spans="1:15" x14ac:dyDescent="0.2">
      <c r="A100" s="480"/>
      <c r="B100" s="480"/>
      <c r="C100" s="480"/>
      <c r="D100" s="480"/>
      <c r="E100" s="480"/>
      <c r="F100" s="480"/>
      <c r="G100" s="480"/>
      <c r="H100" s="480"/>
      <c r="I100" s="480"/>
      <c r="J100" s="480"/>
      <c r="K100" s="480"/>
      <c r="L100" s="480"/>
      <c r="M100" s="480"/>
      <c r="N100" s="480"/>
      <c r="O100" s="480"/>
    </row>
    <row r="101" spans="1:15" x14ac:dyDescent="0.2">
      <c r="A101" s="480"/>
      <c r="B101" s="480"/>
      <c r="C101" s="480"/>
      <c r="D101" s="480"/>
      <c r="E101" s="480"/>
      <c r="F101" s="480"/>
      <c r="G101" s="480"/>
      <c r="H101" s="480"/>
      <c r="I101" s="480"/>
      <c r="J101" s="480"/>
      <c r="K101" s="480"/>
      <c r="L101" s="480"/>
      <c r="M101" s="480"/>
      <c r="N101" s="480"/>
      <c r="O101" s="480"/>
    </row>
    <row r="102" spans="1:15" x14ac:dyDescent="0.2">
      <c r="A102" s="480"/>
      <c r="B102" s="480"/>
      <c r="C102" s="480"/>
      <c r="D102" s="480"/>
      <c r="E102" s="480"/>
      <c r="F102" s="480"/>
      <c r="G102" s="480"/>
      <c r="H102" s="480"/>
      <c r="I102" s="480"/>
      <c r="J102" s="480"/>
      <c r="K102" s="480"/>
      <c r="L102" s="480"/>
      <c r="M102" s="480"/>
      <c r="N102" s="480"/>
      <c r="O102" s="480"/>
    </row>
    <row r="103" spans="1:15" x14ac:dyDescent="0.2">
      <c r="A103" s="480"/>
      <c r="B103" s="480"/>
      <c r="C103" s="480"/>
      <c r="D103" s="480"/>
      <c r="E103" s="480"/>
      <c r="F103" s="480"/>
      <c r="G103" s="480"/>
      <c r="H103" s="480"/>
      <c r="I103" s="480"/>
      <c r="J103" s="480"/>
      <c r="K103" s="480"/>
      <c r="L103" s="480"/>
      <c r="M103" s="480"/>
      <c r="N103" s="480"/>
      <c r="O103" s="480"/>
    </row>
    <row r="104" spans="1:15" x14ac:dyDescent="0.2">
      <c r="A104" s="480"/>
      <c r="B104" s="480"/>
      <c r="C104" s="480"/>
      <c r="D104" s="480"/>
      <c r="E104" s="480"/>
      <c r="F104" s="480"/>
      <c r="G104" s="480"/>
      <c r="H104" s="480"/>
      <c r="I104" s="480"/>
      <c r="J104" s="480"/>
      <c r="K104" s="480"/>
      <c r="L104" s="480"/>
      <c r="M104" s="480"/>
      <c r="N104" s="480"/>
      <c r="O104" s="480"/>
    </row>
    <row r="105" spans="1:15" x14ac:dyDescent="0.2">
      <c r="A105" s="480"/>
      <c r="B105" s="480"/>
      <c r="C105" s="480"/>
      <c r="D105" s="480"/>
      <c r="E105" s="480"/>
      <c r="F105" s="480"/>
      <c r="G105" s="480"/>
      <c r="H105" s="480"/>
      <c r="I105" s="480"/>
      <c r="J105" s="480"/>
      <c r="K105" s="480"/>
      <c r="L105" s="480"/>
      <c r="M105" s="480"/>
      <c r="N105" s="480"/>
      <c r="O105" s="480"/>
    </row>
    <row r="106" spans="1:15" x14ac:dyDescent="0.2">
      <c r="A106" s="480"/>
      <c r="B106" s="480"/>
      <c r="C106" s="480"/>
      <c r="D106" s="480"/>
      <c r="E106" s="480"/>
      <c r="F106" s="480"/>
      <c r="G106" s="480"/>
      <c r="H106" s="480"/>
      <c r="I106" s="480"/>
      <c r="J106" s="480"/>
      <c r="K106" s="480"/>
      <c r="L106" s="480"/>
      <c r="M106" s="480"/>
      <c r="N106" s="480"/>
      <c r="O106" s="480"/>
    </row>
    <row r="107" spans="1:15" x14ac:dyDescent="0.2">
      <c r="A107" s="480"/>
      <c r="B107" s="480"/>
      <c r="C107" s="480"/>
      <c r="D107" s="480"/>
      <c r="E107" s="480"/>
      <c r="F107" s="480"/>
      <c r="G107" s="480"/>
      <c r="H107" s="480"/>
      <c r="I107" s="480"/>
      <c r="J107" s="480"/>
      <c r="K107" s="480"/>
      <c r="L107" s="480"/>
      <c r="M107" s="480"/>
      <c r="N107" s="480"/>
      <c r="O107" s="480"/>
    </row>
    <row r="108" spans="1:15" x14ac:dyDescent="0.2">
      <c r="A108" s="480"/>
      <c r="B108" s="480"/>
      <c r="C108" s="480"/>
      <c r="D108" s="480"/>
      <c r="E108" s="480"/>
      <c r="F108" s="480"/>
      <c r="G108" s="480"/>
      <c r="H108" s="480"/>
      <c r="I108" s="480"/>
      <c r="J108" s="480"/>
      <c r="K108" s="480"/>
      <c r="L108" s="480"/>
      <c r="M108" s="480"/>
      <c r="N108" s="480"/>
      <c r="O108" s="480"/>
    </row>
    <row r="109" spans="1:15" x14ac:dyDescent="0.2">
      <c r="A109" s="480"/>
      <c r="B109" s="480"/>
      <c r="C109" s="480"/>
      <c r="D109" s="480"/>
      <c r="E109" s="480"/>
      <c r="F109" s="480"/>
      <c r="G109" s="480"/>
      <c r="H109" s="480"/>
      <c r="I109" s="480"/>
      <c r="J109" s="480"/>
      <c r="K109" s="480"/>
      <c r="L109" s="480"/>
      <c r="M109" s="480"/>
      <c r="N109" s="480"/>
      <c r="O109" s="480"/>
    </row>
    <row r="110" spans="1:15" x14ac:dyDescent="0.2">
      <c r="A110" s="480"/>
      <c r="B110" s="480"/>
      <c r="C110" s="480"/>
      <c r="D110" s="480"/>
      <c r="E110" s="480"/>
      <c r="F110" s="480"/>
      <c r="G110" s="480"/>
      <c r="H110" s="480"/>
      <c r="I110" s="480"/>
      <c r="J110" s="480"/>
      <c r="K110" s="480"/>
      <c r="L110" s="480"/>
      <c r="M110" s="480"/>
      <c r="N110" s="480"/>
      <c r="O110" s="480"/>
    </row>
    <row r="111" spans="1:15" x14ac:dyDescent="0.2">
      <c r="A111" s="480"/>
      <c r="B111" s="480"/>
      <c r="C111" s="480"/>
      <c r="D111" s="480"/>
      <c r="E111" s="480"/>
      <c r="F111" s="480"/>
      <c r="G111" s="480"/>
      <c r="H111" s="480"/>
      <c r="I111" s="480"/>
      <c r="J111" s="480"/>
      <c r="K111" s="480"/>
      <c r="L111" s="480"/>
      <c r="M111" s="480"/>
      <c r="N111" s="480"/>
      <c r="O111" s="480"/>
    </row>
    <row r="112" spans="1:15" x14ac:dyDescent="0.2">
      <c r="A112" s="480"/>
      <c r="B112" s="480"/>
      <c r="C112" s="480"/>
      <c r="D112" s="480"/>
      <c r="E112" s="480"/>
      <c r="F112" s="480"/>
      <c r="G112" s="480"/>
      <c r="H112" s="480"/>
      <c r="I112" s="480"/>
      <c r="J112" s="480"/>
      <c r="K112" s="480"/>
      <c r="L112" s="480"/>
      <c r="M112" s="480"/>
      <c r="N112" s="480"/>
      <c r="O112" s="480"/>
    </row>
    <row r="113" spans="1:15" x14ac:dyDescent="0.2">
      <c r="A113" s="480"/>
      <c r="B113" s="480"/>
      <c r="C113" s="480"/>
      <c r="D113" s="480"/>
      <c r="E113" s="480"/>
      <c r="F113" s="480"/>
      <c r="G113" s="480"/>
      <c r="H113" s="480"/>
      <c r="I113" s="480"/>
      <c r="J113" s="480"/>
      <c r="K113" s="480"/>
      <c r="L113" s="480"/>
      <c r="M113" s="480"/>
      <c r="N113" s="480"/>
      <c r="O113" s="480"/>
    </row>
    <row r="114" spans="1:15" x14ac:dyDescent="0.2">
      <c r="A114" s="480"/>
      <c r="B114" s="480"/>
      <c r="C114" s="480"/>
      <c r="D114" s="480"/>
      <c r="E114" s="480"/>
      <c r="F114" s="480"/>
      <c r="G114" s="480"/>
      <c r="H114" s="480"/>
      <c r="I114" s="480"/>
      <c r="J114" s="480"/>
      <c r="K114" s="480"/>
      <c r="L114" s="480"/>
      <c r="M114" s="480"/>
      <c r="N114" s="480"/>
      <c r="O114" s="480"/>
    </row>
    <row r="115" spans="1:15" x14ac:dyDescent="0.2">
      <c r="A115" s="480"/>
      <c r="B115" s="480"/>
      <c r="C115" s="480"/>
      <c r="D115" s="480"/>
      <c r="E115" s="480"/>
      <c r="F115" s="480"/>
      <c r="G115" s="480"/>
      <c r="H115" s="480"/>
      <c r="I115" s="480"/>
      <c r="J115" s="480"/>
      <c r="K115" s="480"/>
      <c r="L115" s="480"/>
      <c r="M115" s="480"/>
      <c r="N115" s="480"/>
      <c r="O115" s="480"/>
    </row>
    <row r="116" spans="1:15" x14ac:dyDescent="0.2">
      <c r="A116" s="480"/>
      <c r="B116" s="480"/>
      <c r="C116" s="480"/>
      <c r="D116" s="480"/>
      <c r="E116" s="480"/>
      <c r="F116" s="480"/>
      <c r="G116" s="480"/>
      <c r="H116" s="480"/>
      <c r="I116" s="480"/>
      <c r="J116" s="480"/>
      <c r="K116" s="480"/>
      <c r="L116" s="480"/>
      <c r="M116" s="480"/>
      <c r="N116" s="480"/>
      <c r="O116" s="480"/>
    </row>
    <row r="117" spans="1:15" x14ac:dyDescent="0.2">
      <c r="A117" s="480"/>
      <c r="B117" s="480"/>
      <c r="C117" s="480"/>
      <c r="D117" s="480"/>
      <c r="E117" s="480"/>
      <c r="F117" s="480"/>
      <c r="G117" s="480"/>
      <c r="H117" s="480"/>
      <c r="I117" s="480"/>
      <c r="J117" s="480"/>
      <c r="K117" s="480"/>
      <c r="L117" s="480"/>
      <c r="M117" s="480"/>
      <c r="N117" s="480"/>
      <c r="O117" s="480"/>
    </row>
    <row r="118" spans="1:15" x14ac:dyDescent="0.2">
      <c r="A118" s="480"/>
      <c r="B118" s="480"/>
      <c r="C118" s="480"/>
      <c r="D118" s="480"/>
      <c r="E118" s="480"/>
      <c r="F118" s="480"/>
      <c r="G118" s="480"/>
      <c r="H118" s="480"/>
      <c r="I118" s="480"/>
      <c r="J118" s="480"/>
      <c r="K118" s="480"/>
      <c r="L118" s="480"/>
      <c r="M118" s="480"/>
      <c r="N118" s="480"/>
      <c r="O118" s="480"/>
    </row>
    <row r="119" spans="1:15" x14ac:dyDescent="0.2">
      <c r="A119" s="480"/>
      <c r="B119" s="480"/>
      <c r="C119" s="480"/>
      <c r="D119" s="480"/>
      <c r="E119" s="480"/>
      <c r="F119" s="480"/>
      <c r="G119" s="480"/>
      <c r="H119" s="480"/>
      <c r="I119" s="480"/>
      <c r="J119" s="480"/>
      <c r="K119" s="480"/>
      <c r="L119" s="480"/>
      <c r="M119" s="480"/>
      <c r="N119" s="480"/>
      <c r="O119" s="480"/>
    </row>
    <row r="120" spans="1:15" x14ac:dyDescent="0.2">
      <c r="A120" s="480"/>
      <c r="B120" s="480"/>
      <c r="C120" s="480"/>
      <c r="D120" s="480"/>
      <c r="E120" s="480"/>
      <c r="F120" s="480"/>
      <c r="G120" s="480"/>
      <c r="H120" s="480"/>
      <c r="I120" s="480"/>
      <c r="J120" s="480"/>
      <c r="K120" s="480"/>
      <c r="L120" s="480"/>
      <c r="M120" s="480"/>
      <c r="N120" s="480"/>
      <c r="O120" s="480"/>
    </row>
    <row r="121" spans="1:15" x14ac:dyDescent="0.2">
      <c r="A121" s="480"/>
      <c r="B121" s="480"/>
      <c r="C121" s="480"/>
      <c r="D121" s="480"/>
      <c r="E121" s="480"/>
      <c r="F121" s="480"/>
      <c r="G121" s="480"/>
      <c r="H121" s="480"/>
      <c r="I121" s="480"/>
      <c r="J121" s="480"/>
      <c r="K121" s="480"/>
      <c r="L121" s="480"/>
      <c r="M121" s="480"/>
      <c r="N121" s="480"/>
      <c r="O121" s="480"/>
    </row>
    <row r="122" spans="1:15" x14ac:dyDescent="0.2">
      <c r="A122" s="480"/>
      <c r="B122" s="480"/>
      <c r="C122" s="480"/>
      <c r="D122" s="480"/>
      <c r="E122" s="480"/>
      <c r="F122" s="480"/>
      <c r="G122" s="480"/>
      <c r="H122" s="480"/>
      <c r="I122" s="480"/>
      <c r="J122" s="480"/>
      <c r="K122" s="480"/>
      <c r="L122" s="480"/>
      <c r="M122" s="480"/>
      <c r="N122" s="480"/>
      <c r="O122" s="480"/>
    </row>
    <row r="123" spans="1:15" x14ac:dyDescent="0.2">
      <c r="A123" s="480"/>
      <c r="B123" s="480"/>
      <c r="C123" s="480"/>
      <c r="D123" s="480"/>
      <c r="E123" s="480"/>
      <c r="F123" s="480"/>
      <c r="G123" s="480"/>
      <c r="H123" s="480"/>
      <c r="I123" s="480"/>
      <c r="J123" s="480"/>
      <c r="K123" s="480"/>
      <c r="L123" s="480"/>
      <c r="M123" s="480"/>
      <c r="N123" s="480"/>
      <c r="O123" s="480"/>
    </row>
    <row r="124" spans="1:15" x14ac:dyDescent="0.2">
      <c r="A124" s="480"/>
      <c r="B124" s="480"/>
      <c r="C124" s="480"/>
      <c r="D124" s="480"/>
      <c r="E124" s="480"/>
      <c r="F124" s="480"/>
      <c r="G124" s="480"/>
      <c r="H124" s="480"/>
      <c r="I124" s="480"/>
      <c r="J124" s="480"/>
      <c r="K124" s="480"/>
      <c r="L124" s="480"/>
      <c r="M124" s="480"/>
      <c r="N124" s="480"/>
      <c r="O124" s="480"/>
    </row>
    <row r="125" spans="1:15" x14ac:dyDescent="0.2">
      <c r="A125" s="480"/>
      <c r="B125" s="480"/>
      <c r="C125" s="480"/>
      <c r="D125" s="480"/>
      <c r="E125" s="480"/>
      <c r="F125" s="480"/>
      <c r="G125" s="480"/>
      <c r="H125" s="480"/>
      <c r="I125" s="480"/>
      <c r="J125" s="480"/>
      <c r="K125" s="480"/>
      <c r="L125" s="480"/>
      <c r="M125" s="480"/>
      <c r="N125" s="480"/>
      <c r="O125" s="480"/>
    </row>
    <row r="126" spans="1:15" x14ac:dyDescent="0.2">
      <c r="A126" s="480"/>
      <c r="B126" s="480"/>
      <c r="C126" s="480"/>
      <c r="D126" s="480"/>
      <c r="E126" s="480"/>
      <c r="F126" s="480"/>
      <c r="G126" s="480"/>
      <c r="H126" s="480"/>
      <c r="I126" s="480"/>
      <c r="J126" s="480"/>
      <c r="K126" s="480"/>
      <c r="L126" s="480"/>
      <c r="M126" s="480"/>
      <c r="N126" s="480"/>
      <c r="O126" s="480"/>
    </row>
    <row r="127" spans="1:15" x14ac:dyDescent="0.2">
      <c r="A127" s="480"/>
      <c r="B127" s="480"/>
      <c r="C127" s="480"/>
      <c r="D127" s="480"/>
      <c r="E127" s="480"/>
      <c r="F127" s="480"/>
      <c r="G127" s="480"/>
      <c r="H127" s="480"/>
      <c r="I127" s="480"/>
      <c r="J127" s="480"/>
      <c r="K127" s="480"/>
      <c r="L127" s="480"/>
      <c r="M127" s="480"/>
      <c r="N127" s="480"/>
      <c r="O127" s="480"/>
    </row>
    <row r="128" spans="1:15" x14ac:dyDescent="0.2">
      <c r="A128" s="480"/>
      <c r="B128" s="480"/>
      <c r="C128" s="480"/>
      <c r="D128" s="480"/>
      <c r="E128" s="480"/>
      <c r="F128" s="480"/>
      <c r="G128" s="480"/>
      <c r="H128" s="480"/>
      <c r="I128" s="480"/>
      <c r="J128" s="480"/>
      <c r="K128" s="480"/>
      <c r="L128" s="480"/>
      <c r="M128" s="480"/>
      <c r="N128" s="480"/>
      <c r="O128" s="480"/>
    </row>
    <row r="129" spans="1:15" x14ac:dyDescent="0.2">
      <c r="A129" s="480"/>
      <c r="B129" s="480"/>
      <c r="C129" s="480"/>
      <c r="D129" s="480"/>
      <c r="E129" s="480"/>
      <c r="F129" s="480"/>
      <c r="G129" s="480"/>
      <c r="H129" s="480"/>
      <c r="I129" s="480"/>
      <c r="J129" s="480"/>
      <c r="K129" s="480"/>
      <c r="L129" s="480"/>
      <c r="M129" s="480"/>
      <c r="N129" s="480"/>
      <c r="O129" s="480"/>
    </row>
    <row r="130" spans="1:15" x14ac:dyDescent="0.2">
      <c r="A130" s="480"/>
      <c r="B130" s="480"/>
      <c r="C130" s="480"/>
      <c r="D130" s="480"/>
      <c r="E130" s="480"/>
      <c r="F130" s="480"/>
      <c r="G130" s="480"/>
      <c r="H130" s="480"/>
      <c r="I130" s="480"/>
      <c r="J130" s="480"/>
      <c r="K130" s="480"/>
      <c r="L130" s="480"/>
      <c r="M130" s="480"/>
      <c r="N130" s="480"/>
      <c r="O130" s="480"/>
    </row>
    <row r="131" spans="1:15" x14ac:dyDescent="0.2">
      <c r="A131" s="480"/>
      <c r="B131" s="480"/>
      <c r="C131" s="480"/>
      <c r="D131" s="480"/>
      <c r="E131" s="480"/>
      <c r="F131" s="480"/>
      <c r="G131" s="480"/>
      <c r="H131" s="480"/>
      <c r="I131" s="480"/>
      <c r="J131" s="480"/>
      <c r="K131" s="480"/>
      <c r="L131" s="480"/>
      <c r="M131" s="480"/>
      <c r="N131" s="480"/>
      <c r="O131" s="480"/>
    </row>
    <row r="132" spans="1:15" x14ac:dyDescent="0.2">
      <c r="A132" s="480"/>
      <c r="B132" s="480"/>
      <c r="C132" s="480"/>
      <c r="D132" s="480"/>
      <c r="E132" s="480"/>
      <c r="F132" s="480"/>
      <c r="G132" s="480"/>
      <c r="H132" s="480"/>
      <c r="I132" s="480"/>
      <c r="J132" s="480"/>
      <c r="K132" s="480"/>
      <c r="L132" s="480"/>
      <c r="M132" s="480"/>
      <c r="N132" s="480"/>
      <c r="O132" s="480"/>
    </row>
    <row r="133" spans="1:15" x14ac:dyDescent="0.2">
      <c r="A133" s="480"/>
      <c r="B133" s="480"/>
      <c r="C133" s="480"/>
      <c r="D133" s="480"/>
      <c r="E133" s="480"/>
      <c r="F133" s="480"/>
      <c r="G133" s="480"/>
      <c r="H133" s="480"/>
      <c r="I133" s="480"/>
      <c r="J133" s="480"/>
      <c r="K133" s="480"/>
      <c r="L133" s="480"/>
      <c r="M133" s="480"/>
      <c r="N133" s="480"/>
      <c r="O133" s="480"/>
    </row>
    <row r="134" spans="1:15" x14ac:dyDescent="0.2">
      <c r="A134" s="480"/>
      <c r="B134" s="480"/>
      <c r="C134" s="480"/>
      <c r="D134" s="480"/>
      <c r="E134" s="480"/>
      <c r="F134" s="480"/>
      <c r="G134" s="480"/>
      <c r="H134" s="480"/>
      <c r="I134" s="480"/>
      <c r="J134" s="480"/>
      <c r="K134" s="480"/>
      <c r="L134" s="480"/>
      <c r="M134" s="480"/>
      <c r="N134" s="480"/>
      <c r="O134" s="480"/>
    </row>
    <row r="135" spans="1:15" x14ac:dyDescent="0.2">
      <c r="A135" s="480"/>
      <c r="B135" s="480"/>
      <c r="C135" s="480"/>
      <c r="D135" s="480"/>
      <c r="E135" s="480"/>
      <c r="F135" s="480"/>
      <c r="G135" s="480"/>
      <c r="H135" s="480"/>
      <c r="I135" s="480"/>
      <c r="J135" s="480"/>
      <c r="K135" s="480"/>
      <c r="L135" s="480"/>
      <c r="M135" s="480"/>
      <c r="N135" s="480"/>
      <c r="O135" s="480"/>
    </row>
    <row r="136" spans="1:15" x14ac:dyDescent="0.2">
      <c r="A136" s="480"/>
      <c r="B136" s="480"/>
      <c r="C136" s="480"/>
      <c r="D136" s="480"/>
      <c r="E136" s="480"/>
      <c r="F136" s="480"/>
      <c r="G136" s="480"/>
      <c r="H136" s="480"/>
      <c r="I136" s="480"/>
      <c r="J136" s="480"/>
      <c r="K136" s="480"/>
      <c r="L136" s="480"/>
      <c r="M136" s="480"/>
      <c r="N136" s="480"/>
      <c r="O136" s="480"/>
    </row>
    <row r="137" spans="1:15" x14ac:dyDescent="0.2">
      <c r="A137" s="480"/>
      <c r="B137" s="480"/>
      <c r="C137" s="480"/>
      <c r="D137" s="480"/>
      <c r="E137" s="480"/>
      <c r="F137" s="480"/>
      <c r="G137" s="480"/>
      <c r="H137" s="480"/>
      <c r="I137" s="480"/>
      <c r="J137" s="480"/>
      <c r="K137" s="480"/>
      <c r="L137" s="480"/>
      <c r="M137" s="480"/>
      <c r="N137" s="480"/>
      <c r="O137" s="480"/>
    </row>
    <row r="138" spans="1:15" x14ac:dyDescent="0.2">
      <c r="A138" s="480"/>
      <c r="B138" s="480"/>
      <c r="C138" s="480"/>
      <c r="D138" s="480"/>
      <c r="E138" s="480"/>
      <c r="F138" s="480"/>
      <c r="G138" s="480"/>
      <c r="H138" s="480"/>
      <c r="I138" s="480"/>
      <c r="J138" s="480"/>
      <c r="K138" s="480"/>
      <c r="L138" s="480"/>
      <c r="M138" s="480"/>
      <c r="N138" s="480"/>
      <c r="O138" s="480"/>
    </row>
    <row r="139" spans="1:15" x14ac:dyDescent="0.2">
      <c r="A139" s="480"/>
      <c r="B139" s="480"/>
      <c r="C139" s="480"/>
      <c r="D139" s="480"/>
      <c r="E139" s="480"/>
      <c r="F139" s="480"/>
      <c r="G139" s="480"/>
      <c r="H139" s="480"/>
      <c r="I139" s="480"/>
      <c r="J139" s="480"/>
      <c r="K139" s="480"/>
      <c r="L139" s="480"/>
      <c r="M139" s="480"/>
      <c r="N139" s="480"/>
      <c r="O139" s="480"/>
    </row>
    <row r="140" spans="1:15" x14ac:dyDescent="0.2">
      <c r="A140" s="480"/>
      <c r="B140" s="480"/>
      <c r="C140" s="480"/>
      <c r="D140" s="480"/>
      <c r="E140" s="480"/>
      <c r="F140" s="480"/>
      <c r="G140" s="480"/>
      <c r="H140" s="480"/>
      <c r="I140" s="480"/>
      <c r="J140" s="480"/>
      <c r="K140" s="480"/>
      <c r="L140" s="480"/>
      <c r="M140" s="480"/>
      <c r="N140" s="480"/>
      <c r="O140" s="480"/>
    </row>
    <row r="141" spans="1:15" x14ac:dyDescent="0.2">
      <c r="A141" s="480"/>
      <c r="B141" s="480"/>
      <c r="C141" s="480"/>
      <c r="D141" s="480"/>
      <c r="E141" s="480"/>
      <c r="F141" s="480"/>
      <c r="G141" s="480"/>
      <c r="H141" s="480"/>
      <c r="I141" s="480"/>
      <c r="J141" s="480"/>
      <c r="K141" s="480"/>
      <c r="L141" s="480"/>
      <c r="M141" s="480"/>
      <c r="N141" s="480"/>
      <c r="O141" s="480"/>
    </row>
    <row r="142" spans="1:15" x14ac:dyDescent="0.2">
      <c r="A142" s="480"/>
      <c r="B142" s="480"/>
      <c r="C142" s="480"/>
      <c r="D142" s="480"/>
      <c r="E142" s="480"/>
      <c r="F142" s="480"/>
      <c r="G142" s="480"/>
      <c r="H142" s="480"/>
      <c r="I142" s="480"/>
      <c r="J142" s="480"/>
      <c r="K142" s="480"/>
      <c r="L142" s="480"/>
      <c r="M142" s="480"/>
      <c r="N142" s="480"/>
      <c r="O142" s="480"/>
    </row>
    <row r="143" spans="1:15" x14ac:dyDescent="0.2">
      <c r="A143" s="480"/>
      <c r="B143" s="480"/>
      <c r="C143" s="480"/>
      <c r="D143" s="480"/>
      <c r="E143" s="480"/>
      <c r="F143" s="480"/>
      <c r="G143" s="480"/>
      <c r="H143" s="480"/>
      <c r="I143" s="480"/>
      <c r="J143" s="480"/>
      <c r="K143" s="480"/>
      <c r="L143" s="480"/>
      <c r="M143" s="480"/>
      <c r="N143" s="480"/>
      <c r="O143" s="480"/>
    </row>
    <row r="144" spans="1:15" x14ac:dyDescent="0.2">
      <c r="A144" s="480"/>
      <c r="B144" s="480"/>
      <c r="C144" s="480"/>
      <c r="D144" s="480"/>
      <c r="E144" s="480"/>
      <c r="F144" s="480"/>
      <c r="G144" s="480"/>
      <c r="H144" s="480"/>
      <c r="I144" s="480"/>
      <c r="J144" s="480"/>
      <c r="K144" s="480"/>
      <c r="L144" s="480"/>
      <c r="M144" s="480"/>
      <c r="N144" s="480"/>
      <c r="O144" s="480"/>
    </row>
    <row r="145" spans="1:15" x14ac:dyDescent="0.2">
      <c r="A145" s="480"/>
      <c r="B145" s="480"/>
      <c r="C145" s="480"/>
      <c r="D145" s="480"/>
      <c r="E145" s="480"/>
      <c r="F145" s="480"/>
      <c r="G145" s="480"/>
      <c r="H145" s="480"/>
      <c r="I145" s="480"/>
      <c r="J145" s="480"/>
      <c r="K145" s="480"/>
      <c r="L145" s="480"/>
      <c r="M145" s="480"/>
      <c r="N145" s="480"/>
      <c r="O145" s="480"/>
    </row>
    <row r="146" spans="1:15" x14ac:dyDescent="0.2">
      <c r="A146" s="480"/>
      <c r="B146" s="480"/>
      <c r="C146" s="480"/>
      <c r="D146" s="480"/>
      <c r="E146" s="480"/>
      <c r="F146" s="480"/>
      <c r="G146" s="480"/>
      <c r="H146" s="480"/>
      <c r="I146" s="480"/>
      <c r="J146" s="480"/>
      <c r="K146" s="480"/>
      <c r="L146" s="480"/>
      <c r="M146" s="480"/>
      <c r="N146" s="480"/>
      <c r="O146" s="480"/>
    </row>
    <row r="147" spans="1:15" x14ac:dyDescent="0.2">
      <c r="A147" s="480"/>
      <c r="B147" s="480"/>
      <c r="C147" s="480"/>
      <c r="D147" s="480"/>
      <c r="E147" s="480"/>
      <c r="F147" s="480"/>
      <c r="G147" s="480"/>
      <c r="H147" s="480"/>
      <c r="I147" s="480"/>
      <c r="J147" s="480"/>
      <c r="K147" s="480"/>
      <c r="L147" s="480"/>
      <c r="M147" s="480"/>
      <c r="N147" s="480"/>
      <c r="O147" s="480"/>
    </row>
    <row r="148" spans="1:15" x14ac:dyDescent="0.2">
      <c r="A148" s="480"/>
      <c r="B148" s="480"/>
      <c r="C148" s="480"/>
      <c r="D148" s="480"/>
      <c r="E148" s="480"/>
      <c r="F148" s="480"/>
      <c r="G148" s="480"/>
      <c r="H148" s="480"/>
      <c r="I148" s="480"/>
      <c r="J148" s="480"/>
      <c r="K148" s="480"/>
      <c r="L148" s="480"/>
      <c r="M148" s="480"/>
      <c r="N148" s="480"/>
      <c r="O148" s="480"/>
    </row>
    <row r="149" spans="1:15" x14ac:dyDescent="0.2">
      <c r="A149" s="480"/>
      <c r="B149" s="480"/>
      <c r="C149" s="480"/>
      <c r="D149" s="480"/>
      <c r="E149" s="480"/>
      <c r="F149" s="480"/>
      <c r="G149" s="480"/>
      <c r="H149" s="480"/>
      <c r="I149" s="480"/>
      <c r="J149" s="480"/>
      <c r="K149" s="480"/>
      <c r="L149" s="480"/>
      <c r="M149" s="480"/>
      <c r="N149" s="480"/>
      <c r="O149" s="480"/>
    </row>
    <row r="150" spans="1:15" x14ac:dyDescent="0.2">
      <c r="A150" s="480"/>
      <c r="B150" s="480"/>
      <c r="C150" s="480"/>
      <c r="D150" s="480"/>
      <c r="E150" s="480"/>
      <c r="F150" s="480"/>
      <c r="G150" s="480"/>
      <c r="H150" s="480"/>
      <c r="I150" s="480"/>
      <c r="J150" s="480"/>
      <c r="K150" s="480"/>
      <c r="L150" s="480"/>
      <c r="M150" s="480"/>
      <c r="N150" s="480"/>
      <c r="O150" s="480"/>
    </row>
    <row r="151" spans="1:15" x14ac:dyDescent="0.2">
      <c r="A151" s="480"/>
      <c r="B151" s="480"/>
      <c r="C151" s="480"/>
      <c r="D151" s="480"/>
      <c r="E151" s="480"/>
      <c r="F151" s="480"/>
      <c r="G151" s="480"/>
      <c r="H151" s="480"/>
      <c r="I151" s="480"/>
      <c r="J151" s="480"/>
      <c r="K151" s="480"/>
      <c r="L151" s="480"/>
      <c r="M151" s="480"/>
      <c r="N151" s="480"/>
      <c r="O151" s="480"/>
    </row>
    <row r="152" spans="1:15" x14ac:dyDescent="0.2">
      <c r="A152" s="480"/>
      <c r="B152" s="480"/>
      <c r="C152" s="480"/>
      <c r="D152" s="480"/>
      <c r="E152" s="480"/>
      <c r="F152" s="480"/>
      <c r="G152" s="480"/>
      <c r="H152" s="480"/>
      <c r="I152" s="480"/>
      <c r="J152" s="480"/>
      <c r="K152" s="480"/>
      <c r="L152" s="480"/>
      <c r="M152" s="480"/>
      <c r="N152" s="480"/>
      <c r="O152" s="480"/>
    </row>
    <row r="153" spans="1:15" x14ac:dyDescent="0.2">
      <c r="A153" s="480"/>
      <c r="B153" s="480"/>
      <c r="C153" s="480"/>
      <c r="D153" s="480"/>
      <c r="E153" s="480"/>
      <c r="F153" s="480"/>
      <c r="G153" s="480"/>
      <c r="H153" s="480"/>
      <c r="I153" s="480"/>
      <c r="J153" s="480"/>
      <c r="K153" s="480"/>
      <c r="L153" s="480"/>
      <c r="M153" s="480"/>
      <c r="N153" s="480"/>
      <c r="O153" s="480"/>
    </row>
    <row r="154" spans="1:15" x14ac:dyDescent="0.2">
      <c r="A154" s="480"/>
      <c r="B154" s="480"/>
      <c r="C154" s="480"/>
      <c r="D154" s="480"/>
      <c r="E154" s="480"/>
      <c r="F154" s="480"/>
      <c r="G154" s="480"/>
      <c r="H154" s="480"/>
      <c r="I154" s="480"/>
      <c r="J154" s="480"/>
      <c r="K154" s="480"/>
      <c r="L154" s="480"/>
      <c r="M154" s="480"/>
      <c r="N154" s="480"/>
      <c r="O154" s="480"/>
    </row>
    <row r="155" spans="1:15" x14ac:dyDescent="0.2">
      <c r="A155" s="480"/>
      <c r="B155" s="480"/>
      <c r="C155" s="480"/>
      <c r="D155" s="480"/>
      <c r="E155" s="480"/>
      <c r="F155" s="480"/>
      <c r="G155" s="480"/>
      <c r="H155" s="480"/>
      <c r="I155" s="480"/>
      <c r="J155" s="480"/>
      <c r="K155" s="480"/>
      <c r="L155" s="480"/>
      <c r="M155" s="480"/>
      <c r="N155" s="480"/>
      <c r="O155" s="480"/>
    </row>
    <row r="156" spans="1:15" x14ac:dyDescent="0.2">
      <c r="A156" s="480"/>
      <c r="B156" s="480"/>
      <c r="C156" s="480"/>
      <c r="D156" s="480"/>
      <c r="E156" s="480"/>
      <c r="F156" s="480"/>
      <c r="G156" s="480"/>
      <c r="H156" s="480"/>
      <c r="I156" s="480"/>
      <c r="J156" s="480"/>
      <c r="K156" s="480"/>
      <c r="L156" s="480"/>
      <c r="M156" s="480"/>
      <c r="N156" s="480"/>
      <c r="O156" s="480"/>
    </row>
    <row r="157" spans="1:15" x14ac:dyDescent="0.2">
      <c r="A157" s="480"/>
      <c r="B157" s="480"/>
      <c r="C157" s="480"/>
      <c r="D157" s="480"/>
      <c r="E157" s="480"/>
      <c r="F157" s="480"/>
      <c r="G157" s="480"/>
      <c r="H157" s="480"/>
      <c r="I157" s="480"/>
      <c r="J157" s="480"/>
      <c r="K157" s="480"/>
      <c r="L157" s="480"/>
      <c r="M157" s="480"/>
      <c r="N157" s="480"/>
      <c r="O157" s="480"/>
    </row>
    <row r="158" spans="1:15" x14ac:dyDescent="0.2">
      <c r="A158" s="480"/>
      <c r="B158" s="480"/>
      <c r="C158" s="480"/>
      <c r="D158" s="480"/>
      <c r="E158" s="480"/>
      <c r="F158" s="480"/>
      <c r="G158" s="480"/>
      <c r="H158" s="480"/>
      <c r="I158" s="480"/>
      <c r="J158" s="480"/>
      <c r="K158" s="480"/>
      <c r="L158" s="480"/>
      <c r="M158" s="480"/>
      <c r="N158" s="480"/>
      <c r="O158" s="480"/>
    </row>
    <row r="159" spans="1:15" x14ac:dyDescent="0.2">
      <c r="A159" s="480"/>
      <c r="B159" s="480"/>
      <c r="C159" s="480"/>
      <c r="D159" s="480"/>
      <c r="E159" s="480"/>
      <c r="F159" s="480"/>
      <c r="G159" s="480"/>
      <c r="H159" s="480"/>
      <c r="I159" s="480"/>
      <c r="J159" s="480"/>
      <c r="K159" s="480"/>
      <c r="L159" s="480"/>
      <c r="M159" s="480"/>
      <c r="N159" s="480"/>
      <c r="O159" s="480"/>
    </row>
    <row r="160" spans="1:15" x14ac:dyDescent="0.2">
      <c r="A160" s="480"/>
      <c r="B160" s="480"/>
      <c r="C160" s="480"/>
      <c r="D160" s="480"/>
      <c r="E160" s="480"/>
      <c r="F160" s="480"/>
      <c r="G160" s="480"/>
      <c r="H160" s="480"/>
      <c r="I160" s="480"/>
      <c r="J160" s="480"/>
      <c r="K160" s="480"/>
      <c r="L160" s="480"/>
      <c r="M160" s="480"/>
      <c r="N160" s="480"/>
      <c r="O160" s="480"/>
    </row>
    <row r="161" spans="1:15" x14ac:dyDescent="0.2">
      <c r="A161" s="480"/>
      <c r="B161" s="480"/>
      <c r="C161" s="480"/>
      <c r="D161" s="480"/>
      <c r="E161" s="480"/>
      <c r="F161" s="480"/>
      <c r="G161" s="480"/>
      <c r="H161" s="480"/>
      <c r="I161" s="480"/>
      <c r="J161" s="480"/>
      <c r="K161" s="480"/>
      <c r="L161" s="480"/>
      <c r="M161" s="480"/>
      <c r="N161" s="480"/>
      <c r="O161" s="480"/>
    </row>
    <row r="162" spans="1:15" x14ac:dyDescent="0.2">
      <c r="A162" s="480"/>
      <c r="B162" s="480"/>
      <c r="C162" s="480"/>
      <c r="D162" s="480"/>
      <c r="E162" s="480"/>
      <c r="F162" s="480"/>
      <c r="G162" s="480"/>
      <c r="H162" s="480"/>
      <c r="I162" s="480"/>
      <c r="J162" s="480"/>
      <c r="K162" s="480"/>
      <c r="L162" s="480"/>
      <c r="M162" s="480"/>
      <c r="N162" s="480"/>
      <c r="O162" s="480"/>
    </row>
    <row r="163" spans="1:15" x14ac:dyDescent="0.2">
      <c r="A163" s="480"/>
      <c r="B163" s="480"/>
      <c r="C163" s="480"/>
      <c r="D163" s="480"/>
      <c r="E163" s="480"/>
      <c r="F163" s="480"/>
      <c r="G163" s="480"/>
      <c r="H163" s="480"/>
      <c r="I163" s="480"/>
      <c r="J163" s="480"/>
      <c r="K163" s="480"/>
      <c r="L163" s="480"/>
      <c r="M163" s="480"/>
      <c r="N163" s="480"/>
      <c r="O163" s="480"/>
    </row>
    <row r="164" spans="1:15" x14ac:dyDescent="0.2">
      <c r="A164" s="480"/>
      <c r="B164" s="480"/>
      <c r="C164" s="480"/>
      <c r="D164" s="480"/>
      <c r="E164" s="480"/>
      <c r="F164" s="480"/>
      <c r="G164" s="480"/>
      <c r="H164" s="480"/>
      <c r="I164" s="480"/>
      <c r="J164" s="480"/>
      <c r="K164" s="480"/>
      <c r="L164" s="480"/>
      <c r="M164" s="480"/>
      <c r="N164" s="480"/>
      <c r="O164" s="480"/>
    </row>
    <row r="165" spans="1:15" x14ac:dyDescent="0.2">
      <c r="A165" s="480"/>
      <c r="B165" s="480"/>
      <c r="C165" s="480"/>
      <c r="D165" s="480"/>
      <c r="E165" s="480"/>
      <c r="F165" s="480"/>
      <c r="G165" s="480"/>
      <c r="H165" s="480"/>
      <c r="I165" s="480"/>
      <c r="J165" s="480"/>
      <c r="K165" s="480"/>
      <c r="L165" s="480"/>
      <c r="M165" s="480"/>
      <c r="N165" s="480"/>
      <c r="O165" s="480"/>
    </row>
    <row r="166" spans="1:15" x14ac:dyDescent="0.2">
      <c r="A166" s="480"/>
      <c r="B166" s="480"/>
      <c r="C166" s="480"/>
      <c r="D166" s="480"/>
      <c r="E166" s="480"/>
      <c r="F166" s="480"/>
      <c r="G166" s="480"/>
      <c r="H166" s="480"/>
      <c r="I166" s="480"/>
      <c r="J166" s="480"/>
      <c r="K166" s="480"/>
      <c r="L166" s="480"/>
      <c r="M166" s="480"/>
      <c r="N166" s="480"/>
      <c r="O166" s="480"/>
    </row>
    <row r="167" spans="1:15" x14ac:dyDescent="0.2">
      <c r="A167" s="480"/>
      <c r="B167" s="480"/>
      <c r="C167" s="480"/>
      <c r="D167" s="480"/>
      <c r="E167" s="480"/>
      <c r="F167" s="480"/>
      <c r="G167" s="480"/>
      <c r="H167" s="480"/>
      <c r="I167" s="480"/>
      <c r="J167" s="480"/>
      <c r="K167" s="480"/>
      <c r="L167" s="480"/>
      <c r="M167" s="480"/>
      <c r="N167" s="480"/>
      <c r="O167" s="480"/>
    </row>
    <row r="168" spans="1:15" x14ac:dyDescent="0.2">
      <c r="A168" s="480"/>
      <c r="B168" s="480"/>
      <c r="C168" s="480"/>
      <c r="D168" s="480"/>
      <c r="E168" s="480"/>
      <c r="F168" s="480"/>
      <c r="G168" s="480"/>
      <c r="H168" s="480"/>
      <c r="I168" s="480"/>
      <c r="J168" s="480"/>
      <c r="K168" s="480"/>
      <c r="L168" s="480"/>
      <c r="M168" s="480"/>
      <c r="N168" s="480"/>
      <c r="O168" s="480"/>
    </row>
    <row r="169" spans="1:15" x14ac:dyDescent="0.2">
      <c r="A169" s="480"/>
      <c r="B169" s="480"/>
      <c r="C169" s="480"/>
      <c r="D169" s="480"/>
      <c r="E169" s="480"/>
      <c r="F169" s="480"/>
      <c r="G169" s="480"/>
      <c r="H169" s="480"/>
      <c r="I169" s="480"/>
      <c r="J169" s="480"/>
      <c r="K169" s="480"/>
      <c r="L169" s="480"/>
      <c r="M169" s="480"/>
      <c r="N169" s="480"/>
      <c r="O169" s="480"/>
    </row>
    <row r="170" spans="1:15" x14ac:dyDescent="0.2">
      <c r="A170" s="480"/>
      <c r="B170" s="480"/>
      <c r="C170" s="480"/>
      <c r="D170" s="480"/>
      <c r="E170" s="480"/>
      <c r="F170" s="480"/>
      <c r="G170" s="480"/>
      <c r="H170" s="480"/>
      <c r="I170" s="480"/>
      <c r="J170" s="480"/>
      <c r="K170" s="480"/>
      <c r="L170" s="480"/>
      <c r="M170" s="480"/>
      <c r="N170" s="480"/>
      <c r="O170" s="480"/>
    </row>
    <row r="171" spans="1:15" x14ac:dyDescent="0.2">
      <c r="A171" s="480"/>
      <c r="B171" s="480"/>
      <c r="C171" s="480"/>
      <c r="D171" s="480"/>
      <c r="E171" s="480"/>
      <c r="F171" s="480"/>
      <c r="G171" s="480"/>
      <c r="H171" s="480"/>
      <c r="I171" s="480"/>
      <c r="J171" s="480"/>
      <c r="K171" s="480"/>
      <c r="L171" s="480"/>
      <c r="M171" s="480"/>
      <c r="N171" s="480"/>
      <c r="O171" s="480"/>
    </row>
    <row r="172" spans="1:15" x14ac:dyDescent="0.2">
      <c r="A172" s="480"/>
      <c r="B172" s="480"/>
      <c r="C172" s="480"/>
      <c r="D172" s="480"/>
      <c r="E172" s="480"/>
      <c r="F172" s="480"/>
      <c r="G172" s="480"/>
      <c r="H172" s="480"/>
      <c r="I172" s="480"/>
      <c r="J172" s="480"/>
      <c r="K172" s="480"/>
      <c r="L172" s="480"/>
      <c r="M172" s="480"/>
      <c r="N172" s="480"/>
      <c r="O172" s="480"/>
    </row>
    <row r="173" spans="1:15" x14ac:dyDescent="0.2">
      <c r="A173" s="480"/>
      <c r="B173" s="480"/>
      <c r="C173" s="480"/>
      <c r="D173" s="480"/>
      <c r="E173" s="480"/>
      <c r="F173" s="480"/>
      <c r="G173" s="480"/>
      <c r="H173" s="480"/>
      <c r="I173" s="480"/>
      <c r="J173" s="480"/>
      <c r="K173" s="480"/>
      <c r="L173" s="480"/>
      <c r="M173" s="480"/>
      <c r="N173" s="480"/>
      <c r="O173" s="480"/>
    </row>
    <row r="174" spans="1:15" x14ac:dyDescent="0.2">
      <c r="A174" s="480"/>
      <c r="B174" s="480"/>
      <c r="C174" s="480"/>
      <c r="D174" s="480"/>
      <c r="E174" s="480"/>
      <c r="F174" s="480"/>
      <c r="G174" s="480"/>
      <c r="H174" s="480"/>
      <c r="I174" s="480"/>
      <c r="J174" s="480"/>
      <c r="K174" s="480"/>
      <c r="L174" s="480"/>
      <c r="M174" s="480"/>
      <c r="N174" s="480"/>
      <c r="O174" s="480"/>
    </row>
    <row r="175" spans="1:15" x14ac:dyDescent="0.2">
      <c r="A175" s="480"/>
      <c r="B175" s="480"/>
      <c r="C175" s="480"/>
      <c r="D175" s="480"/>
      <c r="E175" s="480"/>
      <c r="F175" s="480"/>
      <c r="G175" s="480"/>
      <c r="H175" s="480"/>
      <c r="I175" s="480"/>
      <c r="J175" s="480"/>
      <c r="K175" s="480"/>
      <c r="L175" s="480"/>
      <c r="M175" s="480"/>
      <c r="N175" s="480"/>
      <c r="O175" s="480"/>
    </row>
    <row r="176" spans="1:15" x14ac:dyDescent="0.2">
      <c r="A176" s="480"/>
      <c r="B176" s="480"/>
      <c r="C176" s="480"/>
      <c r="D176" s="480"/>
      <c r="E176" s="480"/>
      <c r="F176" s="480"/>
      <c r="G176" s="480"/>
      <c r="H176" s="480"/>
      <c r="I176" s="480"/>
      <c r="J176" s="480"/>
      <c r="K176" s="480"/>
      <c r="L176" s="480"/>
      <c r="M176" s="480"/>
      <c r="N176" s="480"/>
      <c r="O176" s="480"/>
    </row>
    <row r="177" spans="1:15" x14ac:dyDescent="0.2">
      <c r="A177" s="480"/>
      <c r="B177" s="480"/>
      <c r="C177" s="480"/>
      <c r="D177" s="480"/>
      <c r="E177" s="480"/>
      <c r="F177" s="480"/>
      <c r="G177" s="480"/>
      <c r="H177" s="480"/>
      <c r="I177" s="480"/>
      <c r="J177" s="480"/>
      <c r="K177" s="480"/>
      <c r="L177" s="480"/>
      <c r="M177" s="480"/>
      <c r="N177" s="480"/>
      <c r="O177" s="480"/>
    </row>
    <row r="178" spans="1:15" x14ac:dyDescent="0.2">
      <c r="A178" s="480"/>
      <c r="B178" s="480"/>
      <c r="C178" s="480"/>
      <c r="D178" s="480"/>
      <c r="E178" s="480"/>
      <c r="F178" s="480"/>
      <c r="G178" s="480"/>
      <c r="H178" s="480"/>
      <c r="I178" s="480"/>
      <c r="J178" s="480"/>
      <c r="K178" s="480"/>
      <c r="L178" s="480"/>
      <c r="M178" s="480"/>
      <c r="N178" s="480"/>
      <c r="O178" s="480"/>
    </row>
    <row r="179" spans="1:15" x14ac:dyDescent="0.2">
      <c r="A179" s="480"/>
      <c r="B179" s="480"/>
      <c r="C179" s="480"/>
      <c r="D179" s="480"/>
      <c r="E179" s="480"/>
      <c r="F179" s="480"/>
      <c r="G179" s="480"/>
      <c r="H179" s="480"/>
      <c r="I179" s="480"/>
      <c r="J179" s="480"/>
      <c r="K179" s="480"/>
      <c r="L179" s="480"/>
      <c r="M179" s="480"/>
      <c r="N179" s="480"/>
      <c r="O179" s="480"/>
    </row>
    <row r="180" spans="1:15" x14ac:dyDescent="0.2">
      <c r="A180" s="480"/>
      <c r="B180" s="480"/>
      <c r="C180" s="480"/>
      <c r="D180" s="480"/>
      <c r="E180" s="480"/>
      <c r="F180" s="480"/>
      <c r="G180" s="480"/>
      <c r="H180" s="480"/>
      <c r="I180" s="480"/>
      <c r="J180" s="480"/>
      <c r="K180" s="480"/>
      <c r="L180" s="480"/>
      <c r="M180" s="480"/>
      <c r="N180" s="480"/>
      <c r="O180" s="480"/>
    </row>
    <row r="181" spans="1:15" x14ac:dyDescent="0.2">
      <c r="A181" s="480"/>
      <c r="B181" s="480"/>
      <c r="C181" s="480"/>
      <c r="D181" s="480"/>
      <c r="E181" s="480"/>
      <c r="F181" s="480"/>
      <c r="G181" s="480"/>
      <c r="H181" s="480"/>
      <c r="I181" s="480"/>
      <c r="J181" s="480"/>
      <c r="K181" s="480"/>
      <c r="L181" s="480"/>
      <c r="M181" s="480"/>
      <c r="N181" s="480"/>
      <c r="O181" s="480"/>
    </row>
    <row r="182" spans="1:15" x14ac:dyDescent="0.2">
      <c r="A182" s="480"/>
      <c r="B182" s="480"/>
      <c r="C182" s="480"/>
      <c r="D182" s="480"/>
      <c r="E182" s="480"/>
      <c r="F182" s="480"/>
      <c r="G182" s="480"/>
      <c r="H182" s="480"/>
      <c r="I182" s="480"/>
      <c r="J182" s="480"/>
      <c r="K182" s="480"/>
      <c r="L182" s="480"/>
      <c r="M182" s="480"/>
      <c r="N182" s="480"/>
      <c r="O182" s="480"/>
    </row>
    <row r="183" spans="1:15" x14ac:dyDescent="0.2">
      <c r="A183" s="480"/>
      <c r="B183" s="480"/>
      <c r="C183" s="480"/>
      <c r="D183" s="480"/>
      <c r="E183" s="480"/>
      <c r="F183" s="480"/>
      <c r="G183" s="480"/>
      <c r="H183" s="480"/>
      <c r="I183" s="480"/>
      <c r="J183" s="480"/>
      <c r="K183" s="480"/>
      <c r="L183" s="480"/>
      <c r="M183" s="480"/>
      <c r="N183" s="480"/>
      <c r="O183" s="480"/>
    </row>
    <row r="184" spans="1:15" x14ac:dyDescent="0.2">
      <c r="A184" s="480"/>
      <c r="B184" s="480"/>
      <c r="C184" s="480"/>
      <c r="D184" s="480"/>
      <c r="E184" s="480"/>
      <c r="F184" s="480"/>
      <c r="G184" s="480"/>
      <c r="H184" s="480"/>
      <c r="I184" s="480"/>
      <c r="J184" s="480"/>
      <c r="K184" s="480"/>
      <c r="L184" s="480"/>
      <c r="M184" s="480"/>
      <c r="N184" s="480"/>
      <c r="O184" s="480"/>
    </row>
    <row r="185" spans="1:15" x14ac:dyDescent="0.2">
      <c r="A185" s="480"/>
      <c r="B185" s="480"/>
      <c r="C185" s="480"/>
      <c r="D185" s="480"/>
      <c r="E185" s="480"/>
      <c r="F185" s="480"/>
      <c r="G185" s="480"/>
      <c r="H185" s="480"/>
      <c r="I185" s="480"/>
      <c r="J185" s="480"/>
      <c r="K185" s="480"/>
      <c r="L185" s="480"/>
      <c r="M185" s="480"/>
      <c r="N185" s="480"/>
      <c r="O185" s="480"/>
    </row>
    <row r="186" spans="1:15" x14ac:dyDescent="0.2">
      <c r="A186" s="480"/>
      <c r="B186" s="480"/>
      <c r="C186" s="480"/>
      <c r="D186" s="480"/>
      <c r="E186" s="480"/>
      <c r="F186" s="480"/>
      <c r="G186" s="480"/>
      <c r="H186" s="480"/>
      <c r="I186" s="480"/>
      <c r="J186" s="480"/>
      <c r="K186" s="480"/>
      <c r="L186" s="480"/>
      <c r="M186" s="480"/>
      <c r="N186" s="480"/>
      <c r="O186" s="480"/>
    </row>
    <row r="187" spans="1:15" x14ac:dyDescent="0.2">
      <c r="A187" s="480"/>
      <c r="B187" s="480"/>
      <c r="C187" s="480"/>
      <c r="D187" s="480"/>
      <c r="E187" s="480"/>
      <c r="F187" s="480"/>
      <c r="G187" s="480"/>
      <c r="H187" s="480"/>
      <c r="I187" s="480"/>
      <c r="J187" s="480"/>
      <c r="K187" s="480"/>
      <c r="L187" s="480"/>
      <c r="M187" s="480"/>
      <c r="N187" s="480"/>
      <c r="O187" s="480"/>
    </row>
    <row r="188" spans="1:15" x14ac:dyDescent="0.2">
      <c r="A188" s="480"/>
      <c r="B188" s="480"/>
      <c r="C188" s="480"/>
      <c r="D188" s="480"/>
      <c r="E188" s="480"/>
      <c r="F188" s="480"/>
      <c r="G188" s="480"/>
      <c r="H188" s="480"/>
      <c r="I188" s="480"/>
      <c r="J188" s="480"/>
      <c r="K188" s="480"/>
      <c r="L188" s="480"/>
      <c r="M188" s="480"/>
      <c r="N188" s="480"/>
      <c r="O188" s="480"/>
    </row>
    <row r="189" spans="1:15" x14ac:dyDescent="0.2">
      <c r="A189" s="480"/>
      <c r="B189" s="480"/>
      <c r="C189" s="480"/>
      <c r="D189" s="480"/>
      <c r="E189" s="480"/>
      <c r="F189" s="480"/>
      <c r="G189" s="480"/>
      <c r="H189" s="480"/>
      <c r="I189" s="480"/>
      <c r="J189" s="480"/>
      <c r="K189" s="480"/>
      <c r="L189" s="480"/>
      <c r="M189" s="480"/>
      <c r="N189" s="480"/>
      <c r="O189" s="480"/>
    </row>
    <row r="190" spans="1:15" x14ac:dyDescent="0.2">
      <c r="A190" s="480"/>
      <c r="B190" s="480"/>
      <c r="C190" s="480"/>
      <c r="D190" s="480"/>
      <c r="E190" s="480"/>
      <c r="F190" s="480"/>
      <c r="G190" s="480"/>
      <c r="H190" s="480"/>
      <c r="I190" s="480"/>
      <c r="J190" s="480"/>
      <c r="K190" s="480"/>
      <c r="L190" s="480"/>
      <c r="M190" s="480"/>
      <c r="N190" s="480"/>
      <c r="O190" s="480"/>
    </row>
    <row r="191" spans="1:15" x14ac:dyDescent="0.2">
      <c r="A191" s="480"/>
      <c r="B191" s="480"/>
      <c r="C191" s="480"/>
      <c r="D191" s="480"/>
      <c r="E191" s="480"/>
      <c r="F191" s="480"/>
      <c r="G191" s="480"/>
      <c r="H191" s="480"/>
      <c r="I191" s="480"/>
      <c r="J191" s="480"/>
      <c r="K191" s="480"/>
      <c r="L191" s="480"/>
      <c r="M191" s="480"/>
      <c r="N191" s="480"/>
      <c r="O191" s="480"/>
    </row>
    <row r="192" spans="1:15" x14ac:dyDescent="0.2">
      <c r="A192" s="480"/>
      <c r="B192" s="480"/>
      <c r="C192" s="480"/>
      <c r="D192" s="480"/>
      <c r="E192" s="480"/>
      <c r="F192" s="480"/>
      <c r="G192" s="480"/>
      <c r="H192" s="480"/>
      <c r="I192" s="480"/>
      <c r="J192" s="480"/>
      <c r="K192" s="480"/>
      <c r="L192" s="480"/>
      <c r="M192" s="480"/>
      <c r="N192" s="480"/>
      <c r="O192" s="480"/>
    </row>
    <row r="193" spans="1:15" x14ac:dyDescent="0.2">
      <c r="A193" s="480"/>
      <c r="B193" s="480"/>
      <c r="C193" s="480"/>
      <c r="D193" s="480"/>
      <c r="E193" s="480"/>
      <c r="F193" s="480"/>
      <c r="G193" s="480"/>
      <c r="H193" s="480"/>
      <c r="I193" s="480"/>
      <c r="J193" s="480"/>
      <c r="K193" s="480"/>
      <c r="L193" s="480"/>
      <c r="M193" s="480"/>
      <c r="N193" s="480"/>
      <c r="O193" s="480"/>
    </row>
    <row r="194" spans="1:15" x14ac:dyDescent="0.2">
      <c r="A194" s="480"/>
      <c r="B194" s="480"/>
      <c r="C194" s="480"/>
      <c r="D194" s="480"/>
      <c r="E194" s="480"/>
      <c r="F194" s="480"/>
      <c r="G194" s="480"/>
      <c r="H194" s="480"/>
      <c r="I194" s="480"/>
      <c r="J194" s="480"/>
      <c r="K194" s="480"/>
      <c r="L194" s="480"/>
      <c r="M194" s="480"/>
      <c r="N194" s="480"/>
      <c r="O194" s="480"/>
    </row>
    <row r="195" spans="1:15" x14ac:dyDescent="0.2">
      <c r="A195" s="480"/>
      <c r="B195" s="480"/>
      <c r="C195" s="480"/>
      <c r="D195" s="480"/>
      <c r="E195" s="480"/>
      <c r="F195" s="480"/>
      <c r="G195" s="480"/>
      <c r="H195" s="480"/>
      <c r="I195" s="480"/>
      <c r="J195" s="480"/>
      <c r="K195" s="480"/>
      <c r="L195" s="480"/>
      <c r="M195" s="480"/>
      <c r="N195" s="480"/>
      <c r="O195" s="480"/>
    </row>
    <row r="196" spans="1:15" x14ac:dyDescent="0.2">
      <c r="A196" s="480"/>
      <c r="B196" s="480"/>
      <c r="C196" s="480"/>
      <c r="D196" s="480"/>
      <c r="E196" s="480"/>
      <c r="F196" s="480"/>
      <c r="G196" s="480"/>
      <c r="H196" s="480"/>
      <c r="I196" s="480"/>
      <c r="J196" s="480"/>
      <c r="K196" s="480"/>
      <c r="L196" s="480"/>
      <c r="M196" s="480"/>
      <c r="N196" s="480"/>
      <c r="O196" s="480"/>
    </row>
    <row r="197" spans="1:15" x14ac:dyDescent="0.2">
      <c r="A197" s="480"/>
      <c r="B197" s="480"/>
      <c r="C197" s="480"/>
      <c r="D197" s="480"/>
      <c r="E197" s="480"/>
      <c r="F197" s="480"/>
      <c r="G197" s="480"/>
      <c r="H197" s="480"/>
      <c r="I197" s="480"/>
      <c r="J197" s="480"/>
      <c r="K197" s="480"/>
      <c r="L197" s="480"/>
      <c r="M197" s="480"/>
      <c r="N197" s="480"/>
      <c r="O197" s="480"/>
    </row>
    <row r="198" spans="1:15" x14ac:dyDescent="0.2">
      <c r="A198" s="480"/>
      <c r="B198" s="480"/>
      <c r="C198" s="480"/>
      <c r="D198" s="480"/>
      <c r="E198" s="480"/>
      <c r="F198" s="480"/>
      <c r="G198" s="480"/>
      <c r="H198" s="480"/>
      <c r="I198" s="480"/>
      <c r="J198" s="480"/>
      <c r="K198" s="480"/>
      <c r="L198" s="480"/>
      <c r="M198" s="480"/>
      <c r="N198" s="480"/>
      <c r="O198" s="480"/>
    </row>
    <row r="199" spans="1:15" x14ac:dyDescent="0.2">
      <c r="A199" s="480"/>
      <c r="B199" s="480"/>
      <c r="C199" s="480"/>
      <c r="D199" s="480"/>
      <c r="E199" s="480"/>
      <c r="F199" s="480"/>
      <c r="G199" s="480"/>
      <c r="H199" s="480"/>
      <c r="I199" s="480"/>
      <c r="J199" s="480"/>
      <c r="K199" s="480"/>
      <c r="L199" s="480"/>
      <c r="M199" s="480"/>
      <c r="N199" s="480"/>
      <c r="O199" s="480"/>
    </row>
  </sheetData>
  <sheetProtection password="F663" sheet="1" objects="1" scenarios="1"/>
  <phoneticPr fontId="0" type="noConversion"/>
  <pageMargins left="0.45" right="0.47" top="0.98425196850393704" bottom="0.98425196850393704" header="0.51181102362204722" footer="0.51181102362204722"/>
  <pageSetup paperSize="9" scale="90" fitToHeight="5" orientation="portrait" r:id="rId1"/>
  <headerFooter alignWithMargins="0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1"/>
  <dimension ref="A1:M87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2" max="2" width="23.4257812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13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7"/>
      <c r="J1" s="477"/>
      <c r="K1" s="1"/>
      <c r="L1" s="1"/>
      <c r="M1" s="1"/>
    </row>
    <row r="2" spans="1:13" x14ac:dyDescent="0.2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</row>
    <row r="3" spans="1:13" x14ac:dyDescent="0.2">
      <c r="A3" s="480"/>
      <c r="B3" s="480" t="s">
        <v>966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</row>
    <row r="4" spans="1:13" x14ac:dyDescent="0.2">
      <c r="A4" s="480"/>
      <c r="B4" s="480" t="s">
        <v>983</v>
      </c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</row>
    <row r="5" spans="1:13" x14ac:dyDescent="0.2">
      <c r="A5" s="480"/>
      <c r="B5" s="480" t="s">
        <v>967</v>
      </c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</row>
    <row r="6" spans="1:13" x14ac:dyDescent="0.2">
      <c r="A6" s="480"/>
      <c r="B6" s="480" t="s">
        <v>968</v>
      </c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</row>
    <row r="7" spans="1:13" x14ac:dyDescent="0.2">
      <c r="A7" s="480"/>
      <c r="B7" s="480"/>
      <c r="C7" s="480"/>
      <c r="D7" s="480"/>
      <c r="E7" s="480"/>
      <c r="F7" s="480"/>
      <c r="G7" s="480"/>
      <c r="H7" s="480"/>
      <c r="I7" s="480"/>
      <c r="J7" s="480"/>
      <c r="K7" s="480"/>
      <c r="L7" s="480"/>
      <c r="M7" s="480"/>
    </row>
    <row r="8" spans="1:13" x14ac:dyDescent="0.2">
      <c r="A8" s="480"/>
      <c r="B8" s="482" t="s">
        <v>969</v>
      </c>
      <c r="C8" s="488">
        <v>26783</v>
      </c>
      <c r="D8" s="480"/>
      <c r="E8" s="480"/>
      <c r="F8" s="480"/>
      <c r="G8" s="480"/>
      <c r="H8" s="480"/>
      <c r="I8" s="480"/>
      <c r="J8" s="480"/>
      <c r="K8" s="480"/>
      <c r="L8" s="480"/>
      <c r="M8" s="480"/>
    </row>
    <row r="9" spans="1:13" x14ac:dyDescent="0.2">
      <c r="A9" s="480"/>
      <c r="B9" s="480"/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</row>
    <row r="10" spans="1:13" x14ac:dyDescent="0.2">
      <c r="A10" s="480"/>
      <c r="B10" s="482" t="s">
        <v>970</v>
      </c>
      <c r="C10" s="484">
        <f ca="1">DATEDIF(C8,TODAY(),"y")</f>
        <v>51</v>
      </c>
      <c r="D10" s="485" t="s">
        <v>971</v>
      </c>
      <c r="E10" s="480"/>
      <c r="F10" s="480"/>
      <c r="G10" s="480"/>
      <c r="H10" s="480"/>
      <c r="I10" s="480"/>
      <c r="J10" s="480"/>
      <c r="K10" s="480"/>
      <c r="L10" s="480"/>
      <c r="M10" s="480"/>
    </row>
    <row r="11" spans="1:13" x14ac:dyDescent="0.2">
      <c r="A11" s="480"/>
      <c r="B11" s="482" t="s">
        <v>972</v>
      </c>
      <c r="C11" s="484">
        <f ca="1">DATEDIF(C8,TODAY(),"ym")</f>
        <v>0</v>
      </c>
      <c r="D11" s="485" t="s">
        <v>973</v>
      </c>
      <c r="E11" s="480"/>
      <c r="F11" s="480"/>
      <c r="G11" s="480"/>
      <c r="H11" s="480"/>
      <c r="I11" s="480"/>
      <c r="J11" s="480"/>
      <c r="K11" s="480"/>
      <c r="L11" s="480"/>
      <c r="M11" s="480"/>
    </row>
    <row r="12" spans="1:13" x14ac:dyDescent="0.2">
      <c r="A12" s="480"/>
      <c r="B12" s="482" t="s">
        <v>974</v>
      </c>
      <c r="C12" s="484">
        <f ca="1">DATEDIF(C8,TODAY(),"md")</f>
        <v>23</v>
      </c>
      <c r="D12" s="485" t="s">
        <v>975</v>
      </c>
      <c r="E12" s="480"/>
      <c r="F12" s="480"/>
      <c r="G12" s="480"/>
      <c r="H12" s="480"/>
      <c r="I12" s="480"/>
      <c r="J12" s="480"/>
      <c r="K12" s="480"/>
      <c r="L12" s="480"/>
      <c r="M12" s="480"/>
    </row>
    <row r="13" spans="1:13" x14ac:dyDescent="0.2">
      <c r="A13" s="480"/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</row>
    <row r="14" spans="1:13" x14ac:dyDescent="0.2">
      <c r="A14" s="480"/>
      <c r="B14" s="480" t="s">
        <v>976</v>
      </c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</row>
    <row r="15" spans="1:13" x14ac:dyDescent="0.2">
      <c r="A15" s="480"/>
      <c r="B15" s="489" t="str">
        <f ca="1">"Age is "&amp;DATEDIF(C8,TODAY(),"y")&amp;" Years, "&amp;DATEDIF(C8,TODAY(),"ym")&amp;" Months and "&amp;DATEDIF(C8,TODAY(),"md")&amp;" Days"</f>
        <v>Age is 51 Years, 0 Months and 23 Days</v>
      </c>
      <c r="C15" s="490"/>
      <c r="D15" s="480"/>
      <c r="E15" s="480"/>
      <c r="F15" s="480"/>
      <c r="G15" s="480"/>
      <c r="H15" s="480"/>
      <c r="I15" s="480"/>
      <c r="J15" s="480"/>
      <c r="K15" s="480"/>
      <c r="L15" s="480"/>
      <c r="M15" s="480"/>
    </row>
    <row r="16" spans="1:13" ht="13.5" x14ac:dyDescent="0.25">
      <c r="A16" s="480"/>
      <c r="B16" s="491" t="s">
        <v>977</v>
      </c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</row>
    <row r="17" spans="1:13" x14ac:dyDescent="0.2">
      <c r="A17" s="480"/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</row>
    <row r="18" spans="1:13" x14ac:dyDescent="0.2">
      <c r="A18" s="480"/>
      <c r="B18" s="480"/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</row>
    <row r="19" spans="1:13" ht="13.5" thickBot="1" x14ac:dyDescent="0.25">
      <c r="A19" s="480"/>
      <c r="B19" s="492" t="s">
        <v>978</v>
      </c>
      <c r="C19" s="492"/>
      <c r="D19" s="492"/>
      <c r="E19" s="492"/>
      <c r="F19" s="492"/>
      <c r="G19" s="492"/>
      <c r="H19" s="492"/>
      <c r="I19" s="480"/>
      <c r="J19" s="480"/>
      <c r="K19" s="480"/>
      <c r="L19" s="480"/>
      <c r="M19" s="480"/>
    </row>
    <row r="20" spans="1:13" x14ac:dyDescent="0.2">
      <c r="A20" s="480"/>
      <c r="B20" s="480" t="s">
        <v>979</v>
      </c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</row>
    <row r="21" spans="1:13" x14ac:dyDescent="0.2">
      <c r="A21" s="480"/>
      <c r="B21" s="480" t="s">
        <v>980</v>
      </c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</row>
    <row r="22" spans="1:13" x14ac:dyDescent="0.2">
      <c r="A22" s="480"/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</row>
    <row r="23" spans="1:13" x14ac:dyDescent="0.2">
      <c r="A23" s="480"/>
      <c r="B23" s="482" t="s">
        <v>969</v>
      </c>
      <c r="C23" s="488">
        <v>21916</v>
      </c>
      <c r="D23" s="480"/>
      <c r="E23" s="480"/>
      <c r="F23" s="480"/>
      <c r="G23" s="480"/>
      <c r="H23" s="480"/>
      <c r="I23" s="480"/>
      <c r="J23" s="480"/>
      <c r="K23" s="480"/>
      <c r="L23" s="480"/>
      <c r="M23" s="480"/>
    </row>
    <row r="24" spans="1:13" x14ac:dyDescent="0.2">
      <c r="A24" s="480"/>
      <c r="B24" s="480"/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</row>
    <row r="25" spans="1:13" x14ac:dyDescent="0.2">
      <c r="A25" s="480"/>
      <c r="B25" s="493" t="s">
        <v>981</v>
      </c>
      <c r="C25" s="494">
        <f ca="1">(TODAY()-C23)/365.25</f>
        <v>64.388774811772763</v>
      </c>
      <c r="D25" s="485" t="s">
        <v>982</v>
      </c>
      <c r="E25" s="480"/>
      <c r="F25" s="480"/>
      <c r="G25" s="480"/>
      <c r="H25" s="480"/>
      <c r="I25" s="480"/>
      <c r="J25" s="480"/>
      <c r="K25" s="480"/>
      <c r="L25" s="480"/>
      <c r="M25" s="480"/>
    </row>
    <row r="26" spans="1:13" x14ac:dyDescent="0.2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</row>
    <row r="27" spans="1:13" x14ac:dyDescent="0.2">
      <c r="A27" s="480"/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</row>
    <row r="28" spans="1:13" x14ac:dyDescent="0.2">
      <c r="A28" s="480"/>
      <c r="B28" s="480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</row>
    <row r="29" spans="1:13" x14ac:dyDescent="0.2">
      <c r="A29" s="480"/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</row>
    <row r="30" spans="1:13" x14ac:dyDescent="0.2">
      <c r="A30" s="480"/>
      <c r="B30" s="480"/>
      <c r="C30" s="480"/>
      <c r="D30" s="480"/>
      <c r="E30" s="480"/>
      <c r="F30" s="480"/>
      <c r="G30" s="480"/>
      <c r="H30" s="480"/>
      <c r="I30" s="480"/>
      <c r="J30" s="480"/>
      <c r="K30" s="480"/>
      <c r="L30" s="480"/>
      <c r="M30" s="480"/>
    </row>
    <row r="31" spans="1:13" x14ac:dyDescent="0.2">
      <c r="A31" s="480"/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</row>
    <row r="32" spans="1:13" x14ac:dyDescent="0.2">
      <c r="A32" s="480"/>
      <c r="B32" s="480"/>
      <c r="C32" s="480"/>
      <c r="D32" s="480"/>
      <c r="E32" s="480"/>
      <c r="F32" s="480"/>
      <c r="G32" s="480"/>
      <c r="H32" s="480"/>
      <c r="I32" s="480"/>
      <c r="J32" s="480"/>
      <c r="K32" s="480"/>
      <c r="L32" s="480"/>
      <c r="M32" s="480"/>
    </row>
    <row r="33" spans="1:13" x14ac:dyDescent="0.2">
      <c r="A33" s="480"/>
      <c r="B33" s="480"/>
      <c r="C33" s="480"/>
      <c r="D33" s="480"/>
      <c r="E33" s="480"/>
      <c r="F33" s="480"/>
      <c r="G33" s="480"/>
      <c r="H33" s="480"/>
      <c r="I33" s="480"/>
      <c r="J33" s="480"/>
      <c r="K33" s="480"/>
      <c r="L33" s="480"/>
      <c r="M33" s="480"/>
    </row>
    <row r="34" spans="1:13" x14ac:dyDescent="0.2">
      <c r="A34" s="480"/>
      <c r="B34" s="480"/>
      <c r="C34" s="480"/>
      <c r="D34" s="480"/>
      <c r="E34" s="480"/>
      <c r="F34" s="480"/>
      <c r="G34" s="480"/>
      <c r="H34" s="480"/>
      <c r="I34" s="480"/>
      <c r="J34" s="480"/>
      <c r="K34" s="480"/>
      <c r="L34" s="480"/>
      <c r="M34" s="480"/>
    </row>
    <row r="35" spans="1:13" x14ac:dyDescent="0.2">
      <c r="A35" s="480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</row>
    <row r="36" spans="1:13" x14ac:dyDescent="0.2">
      <c r="A36" s="480"/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</row>
    <row r="37" spans="1:13" x14ac:dyDescent="0.2">
      <c r="A37" s="480"/>
      <c r="B37" s="480"/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</row>
    <row r="38" spans="1:13" x14ac:dyDescent="0.2">
      <c r="A38" s="480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</row>
    <row r="39" spans="1:13" x14ac:dyDescent="0.2">
      <c r="A39" s="480"/>
      <c r="B39" s="480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</row>
    <row r="40" spans="1:13" x14ac:dyDescent="0.2">
      <c r="A40" s="480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</row>
    <row r="41" spans="1:13" x14ac:dyDescent="0.2">
      <c r="A41" s="480"/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</row>
    <row r="42" spans="1:13" x14ac:dyDescent="0.2">
      <c r="A42" s="480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</row>
    <row r="43" spans="1:13" x14ac:dyDescent="0.2">
      <c r="A43" s="480"/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</row>
    <row r="44" spans="1:13" x14ac:dyDescent="0.2">
      <c r="A44" s="480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</row>
    <row r="45" spans="1:13" x14ac:dyDescent="0.2">
      <c r="A45" s="480"/>
      <c r="B45" s="480"/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</row>
    <row r="46" spans="1:13" x14ac:dyDescent="0.2">
      <c r="A46" s="480"/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</row>
    <row r="47" spans="1:13" x14ac:dyDescent="0.2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</row>
    <row r="48" spans="1:13" x14ac:dyDescent="0.2">
      <c r="A48" s="480"/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</row>
    <row r="49" spans="1:13" x14ac:dyDescent="0.2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</row>
    <row r="50" spans="1:13" x14ac:dyDescent="0.2">
      <c r="A50" s="480"/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</row>
    <row r="51" spans="1:13" x14ac:dyDescent="0.2">
      <c r="A51" s="480"/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</row>
    <row r="52" spans="1:13" x14ac:dyDescent="0.2">
      <c r="A52" s="480"/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</row>
    <row r="53" spans="1:13" x14ac:dyDescent="0.2">
      <c r="A53" s="480"/>
      <c r="B53" s="480"/>
      <c r="C53" s="480"/>
      <c r="D53" s="480"/>
      <c r="E53" s="480"/>
      <c r="F53" s="480"/>
      <c r="G53" s="480"/>
      <c r="H53" s="480"/>
      <c r="I53" s="480"/>
      <c r="J53" s="480"/>
      <c r="K53" s="480"/>
      <c r="L53" s="480"/>
      <c r="M53" s="480"/>
    </row>
    <row r="54" spans="1:13" x14ac:dyDescent="0.2">
      <c r="A54" s="480"/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</row>
    <row r="55" spans="1:13" x14ac:dyDescent="0.2">
      <c r="A55" s="480"/>
      <c r="B55" s="480"/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</row>
    <row r="56" spans="1:13" x14ac:dyDescent="0.2">
      <c r="A56" s="480"/>
      <c r="B56" s="480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</row>
    <row r="57" spans="1:13" x14ac:dyDescent="0.2">
      <c r="A57" s="480"/>
      <c r="B57" s="480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</row>
    <row r="58" spans="1:13" x14ac:dyDescent="0.2">
      <c r="A58" s="480"/>
      <c r="B58" s="480"/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</row>
    <row r="59" spans="1:13" x14ac:dyDescent="0.2">
      <c r="A59" s="480"/>
      <c r="B59" s="480"/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</row>
    <row r="60" spans="1:13" x14ac:dyDescent="0.2">
      <c r="A60" s="480"/>
      <c r="B60" s="480"/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</row>
    <row r="61" spans="1:13" x14ac:dyDescent="0.2">
      <c r="A61" s="480"/>
      <c r="B61" s="480"/>
      <c r="C61" s="480"/>
      <c r="D61" s="480"/>
      <c r="E61" s="480"/>
      <c r="F61" s="480"/>
      <c r="G61" s="480"/>
      <c r="H61" s="480"/>
      <c r="I61" s="480"/>
      <c r="J61" s="480"/>
      <c r="K61" s="480"/>
      <c r="L61" s="480"/>
      <c r="M61" s="480"/>
    </row>
    <row r="62" spans="1:13" x14ac:dyDescent="0.2">
      <c r="A62" s="480"/>
      <c r="B62" s="480"/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480"/>
    </row>
    <row r="63" spans="1:13" x14ac:dyDescent="0.2">
      <c r="A63" s="480"/>
      <c r="B63" s="480"/>
      <c r="C63" s="480"/>
      <c r="D63" s="480"/>
      <c r="E63" s="480"/>
      <c r="F63" s="480"/>
      <c r="G63" s="480"/>
      <c r="H63" s="480"/>
      <c r="I63" s="480"/>
      <c r="J63" s="480"/>
      <c r="K63" s="480"/>
      <c r="L63" s="480"/>
      <c r="M63" s="480"/>
    </row>
    <row r="64" spans="1:13" x14ac:dyDescent="0.2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</row>
    <row r="65" spans="1:13" x14ac:dyDescent="0.2">
      <c r="A65" s="480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</row>
    <row r="66" spans="1:13" x14ac:dyDescent="0.2">
      <c r="A66" s="480"/>
      <c r="B66" s="480"/>
      <c r="C66" s="480"/>
      <c r="D66" s="480"/>
      <c r="E66" s="480"/>
      <c r="F66" s="480"/>
      <c r="G66" s="480"/>
      <c r="H66" s="480"/>
      <c r="I66" s="480"/>
      <c r="J66" s="480"/>
      <c r="K66" s="480"/>
      <c r="L66" s="480"/>
      <c r="M66" s="480"/>
    </row>
    <row r="67" spans="1:13" x14ac:dyDescent="0.2">
      <c r="A67" s="480"/>
      <c r="B67" s="480"/>
      <c r="C67" s="480"/>
      <c r="D67" s="480"/>
      <c r="E67" s="480"/>
      <c r="F67" s="480"/>
      <c r="G67" s="480"/>
      <c r="H67" s="480"/>
      <c r="I67" s="480"/>
      <c r="J67" s="480"/>
      <c r="K67" s="480"/>
      <c r="L67" s="480"/>
      <c r="M67" s="480"/>
    </row>
    <row r="68" spans="1:13" x14ac:dyDescent="0.2">
      <c r="A68" s="480"/>
      <c r="B68" s="480"/>
      <c r="C68" s="480"/>
      <c r="D68" s="480"/>
      <c r="E68" s="480"/>
      <c r="F68" s="480"/>
      <c r="G68" s="480"/>
      <c r="H68" s="480"/>
      <c r="I68" s="480"/>
      <c r="J68" s="480"/>
      <c r="K68" s="480"/>
      <c r="L68" s="480"/>
      <c r="M68" s="480"/>
    </row>
    <row r="69" spans="1:13" x14ac:dyDescent="0.2">
      <c r="A69" s="480"/>
      <c r="B69" s="480"/>
      <c r="C69" s="480"/>
      <c r="D69" s="480"/>
      <c r="E69" s="480"/>
      <c r="F69" s="480"/>
      <c r="G69" s="480"/>
      <c r="H69" s="480"/>
      <c r="I69" s="480"/>
      <c r="J69" s="480"/>
      <c r="K69" s="480"/>
      <c r="L69" s="480"/>
      <c r="M69" s="480"/>
    </row>
    <row r="70" spans="1:13" x14ac:dyDescent="0.2">
      <c r="A70" s="480"/>
      <c r="B70" s="480"/>
      <c r="C70" s="480"/>
      <c r="D70" s="480"/>
      <c r="E70" s="480"/>
      <c r="F70" s="480"/>
      <c r="G70" s="480"/>
      <c r="H70" s="480"/>
      <c r="I70" s="480"/>
      <c r="J70" s="480"/>
      <c r="K70" s="480"/>
      <c r="L70" s="480"/>
      <c r="M70" s="480"/>
    </row>
    <row r="71" spans="1:13" x14ac:dyDescent="0.2">
      <c r="A71" s="480"/>
      <c r="B71" s="480"/>
      <c r="C71" s="480"/>
      <c r="D71" s="480"/>
      <c r="E71" s="480"/>
      <c r="F71" s="480"/>
      <c r="G71" s="480"/>
      <c r="H71" s="480"/>
      <c r="I71" s="480"/>
      <c r="J71" s="480"/>
      <c r="K71" s="480"/>
      <c r="L71" s="480"/>
      <c r="M71" s="480"/>
    </row>
    <row r="72" spans="1:13" x14ac:dyDescent="0.2">
      <c r="A72" s="480"/>
      <c r="B72" s="480"/>
      <c r="C72" s="480"/>
      <c r="D72" s="480"/>
      <c r="E72" s="480"/>
      <c r="F72" s="480"/>
      <c r="G72" s="480"/>
      <c r="H72" s="480"/>
      <c r="I72" s="480"/>
      <c r="J72" s="480"/>
      <c r="K72" s="480"/>
      <c r="L72" s="480"/>
      <c r="M72" s="480"/>
    </row>
    <row r="73" spans="1:13" x14ac:dyDescent="0.2">
      <c r="A73" s="480"/>
      <c r="B73" s="480"/>
      <c r="C73" s="480"/>
      <c r="D73" s="480"/>
      <c r="E73" s="480"/>
      <c r="F73" s="480"/>
      <c r="G73" s="480"/>
      <c r="H73" s="480"/>
      <c r="I73" s="480"/>
      <c r="J73" s="480"/>
      <c r="K73" s="480"/>
      <c r="L73" s="480"/>
      <c r="M73" s="480"/>
    </row>
    <row r="74" spans="1:13" x14ac:dyDescent="0.2">
      <c r="A74" s="480"/>
      <c r="B74" s="480"/>
      <c r="C74" s="480"/>
      <c r="D74" s="480"/>
      <c r="E74" s="480"/>
      <c r="F74" s="480"/>
      <c r="G74" s="480"/>
      <c r="H74" s="480"/>
      <c r="I74" s="480"/>
      <c r="J74" s="480"/>
      <c r="K74" s="480"/>
      <c r="L74" s="480"/>
      <c r="M74" s="480"/>
    </row>
    <row r="75" spans="1:13" x14ac:dyDescent="0.2">
      <c r="A75" s="480"/>
      <c r="B75" s="480"/>
      <c r="C75" s="480"/>
      <c r="D75" s="480"/>
      <c r="E75" s="480"/>
      <c r="F75" s="480"/>
      <c r="G75" s="480"/>
      <c r="H75" s="480"/>
      <c r="I75" s="480"/>
      <c r="J75" s="480"/>
      <c r="K75" s="480"/>
      <c r="L75" s="480"/>
      <c r="M75" s="480"/>
    </row>
    <row r="76" spans="1:13" x14ac:dyDescent="0.2">
      <c r="A76" s="480"/>
      <c r="B76" s="480"/>
      <c r="C76" s="480"/>
      <c r="D76" s="480"/>
      <c r="E76" s="480"/>
      <c r="F76" s="480"/>
      <c r="G76" s="480"/>
      <c r="H76" s="480"/>
      <c r="I76" s="480"/>
      <c r="J76" s="480"/>
      <c r="K76" s="480"/>
      <c r="L76" s="480"/>
      <c r="M76" s="480"/>
    </row>
    <row r="77" spans="1:13" x14ac:dyDescent="0.2">
      <c r="A77" s="480"/>
      <c r="B77" s="480"/>
      <c r="C77" s="480"/>
      <c r="D77" s="480"/>
      <c r="E77" s="480"/>
      <c r="F77" s="480"/>
      <c r="G77" s="480"/>
      <c r="H77" s="480"/>
      <c r="I77" s="480"/>
      <c r="J77" s="480"/>
      <c r="K77" s="480"/>
      <c r="L77" s="480"/>
      <c r="M77" s="480"/>
    </row>
    <row r="78" spans="1:13" x14ac:dyDescent="0.2">
      <c r="A78" s="480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</row>
    <row r="79" spans="1:13" x14ac:dyDescent="0.2">
      <c r="A79" s="480"/>
      <c r="B79" s="480"/>
      <c r="C79" s="480"/>
      <c r="D79" s="480"/>
      <c r="E79" s="480"/>
      <c r="F79" s="480"/>
      <c r="G79" s="480"/>
      <c r="H79" s="480"/>
      <c r="I79" s="480"/>
      <c r="J79" s="480"/>
      <c r="K79" s="480"/>
      <c r="L79" s="480"/>
      <c r="M79" s="480"/>
    </row>
    <row r="80" spans="1:13" x14ac:dyDescent="0.2">
      <c r="A80" s="480"/>
      <c r="B80" s="480"/>
      <c r="C80" s="480"/>
      <c r="D80" s="480"/>
      <c r="E80" s="480"/>
      <c r="F80" s="480"/>
      <c r="G80" s="480"/>
      <c r="H80" s="480"/>
      <c r="I80" s="480"/>
      <c r="J80" s="480"/>
      <c r="K80" s="480"/>
      <c r="L80" s="480"/>
      <c r="M80" s="480"/>
    </row>
    <row r="81" spans="1:13" x14ac:dyDescent="0.2">
      <c r="A81" s="480"/>
      <c r="B81" s="480"/>
      <c r="C81" s="480"/>
      <c r="D81" s="480"/>
      <c r="E81" s="480"/>
      <c r="F81" s="480"/>
      <c r="G81" s="480"/>
      <c r="H81" s="480"/>
      <c r="I81" s="480"/>
      <c r="J81" s="480"/>
      <c r="K81" s="480"/>
      <c r="L81" s="480"/>
      <c r="M81" s="480"/>
    </row>
    <row r="82" spans="1:13" x14ac:dyDescent="0.2">
      <c r="A82" s="480"/>
      <c r="B82" s="480"/>
      <c r="C82" s="480"/>
      <c r="D82" s="480"/>
      <c r="E82" s="480"/>
      <c r="F82" s="480"/>
      <c r="G82" s="480"/>
      <c r="H82" s="480"/>
      <c r="I82" s="480"/>
      <c r="J82" s="480"/>
      <c r="K82" s="480"/>
      <c r="L82" s="480"/>
      <c r="M82" s="480"/>
    </row>
    <row r="83" spans="1:13" x14ac:dyDescent="0.2">
      <c r="A83" s="480"/>
      <c r="B83" s="480"/>
      <c r="C83" s="480"/>
      <c r="D83" s="480"/>
      <c r="E83" s="480"/>
      <c r="F83" s="480"/>
      <c r="G83" s="480"/>
      <c r="H83" s="480"/>
      <c r="I83" s="480"/>
      <c r="J83" s="480"/>
      <c r="K83" s="480"/>
      <c r="L83" s="480"/>
      <c r="M83" s="480"/>
    </row>
    <row r="84" spans="1:13" x14ac:dyDescent="0.2">
      <c r="A84" s="480"/>
      <c r="B84" s="480"/>
      <c r="C84" s="480"/>
      <c r="D84" s="480"/>
      <c r="E84" s="480"/>
      <c r="F84" s="480"/>
      <c r="G84" s="480"/>
      <c r="H84" s="480"/>
      <c r="I84" s="480"/>
      <c r="J84" s="480"/>
      <c r="K84" s="480"/>
      <c r="L84" s="480"/>
      <c r="M84" s="480"/>
    </row>
    <row r="85" spans="1:13" x14ac:dyDescent="0.2">
      <c r="A85" s="480"/>
      <c r="B85" s="480"/>
      <c r="C85" s="480"/>
      <c r="D85" s="480"/>
      <c r="E85" s="480"/>
      <c r="F85" s="480"/>
      <c r="G85" s="480"/>
      <c r="H85" s="480"/>
      <c r="I85" s="480"/>
      <c r="J85" s="480"/>
      <c r="K85" s="480"/>
      <c r="L85" s="480"/>
      <c r="M85" s="480"/>
    </row>
    <row r="86" spans="1:13" x14ac:dyDescent="0.2">
      <c r="A86" s="480"/>
      <c r="B86" s="480"/>
      <c r="C86" s="480"/>
      <c r="D86" s="480"/>
      <c r="E86" s="480"/>
      <c r="F86" s="480"/>
      <c r="G86" s="480"/>
      <c r="H86" s="480"/>
      <c r="I86" s="480"/>
      <c r="J86" s="480"/>
      <c r="K86" s="480"/>
      <c r="L86" s="480"/>
      <c r="M86" s="480"/>
    </row>
    <row r="87" spans="1:13" x14ac:dyDescent="0.2">
      <c r="A87" s="480"/>
      <c r="B87" s="480"/>
      <c r="C87" s="480"/>
      <c r="D87" s="480"/>
      <c r="E87" s="480"/>
      <c r="F87" s="480"/>
      <c r="G87" s="480"/>
      <c r="H87" s="480"/>
      <c r="I87" s="480"/>
      <c r="J87" s="480"/>
      <c r="K87" s="480"/>
      <c r="L87" s="480"/>
      <c r="M87" s="480"/>
    </row>
  </sheetData>
  <sheetProtection password="F663" sheet="1" objects="1" scenarios="1"/>
  <phoneticPr fontId="0" type="noConversion"/>
  <pageMargins left="0.74803149606299213" right="0.74803149606299213" top="0.84" bottom="0.98425196850393704" header="0.51181102362204722" footer="0.51181102362204722"/>
  <pageSetup paperSize="9" scale="75" fitToHeight="5" orientation="portrait" r:id="rId1"/>
  <headerFooter alignWithMargins="0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2"/>
  <dimension ref="A1:O66"/>
  <sheetViews>
    <sheetView showGridLines="0" workbookViewId="0">
      <pane ySplit="1" topLeftCell="A2" activePane="bottomLeft" state="frozen"/>
      <selection activeCell="A3" sqref="A3"/>
      <selection pane="bottomLeft" activeCell="C34" sqref="C34"/>
    </sheetView>
  </sheetViews>
  <sheetFormatPr defaultRowHeight="12.75" x14ac:dyDescent="0.2"/>
  <cols>
    <col min="1" max="1" width="2.710937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  <col min="10" max="10" width="10.5703125" customWidth="1"/>
  </cols>
  <sheetData>
    <row r="1" spans="1:15" ht="4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  <c r="J1" s="477"/>
      <c r="K1" s="471"/>
      <c r="L1" s="471"/>
      <c r="M1" s="471"/>
      <c r="N1" s="471"/>
    </row>
    <row r="2" spans="1:15" x14ac:dyDescent="0.2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</row>
    <row r="3" spans="1:15" x14ac:dyDescent="0.2">
      <c r="A3" s="480"/>
      <c r="B3" s="480" t="s">
        <v>3186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</row>
    <row r="4" spans="1:15" x14ac:dyDescent="0.2">
      <c r="A4" s="480"/>
      <c r="B4" s="480" t="s">
        <v>3187</v>
      </c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</row>
    <row r="5" spans="1:15" x14ac:dyDescent="0.2">
      <c r="A5" s="480"/>
      <c r="B5" s="480" t="s">
        <v>963</v>
      </c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</row>
    <row r="6" spans="1:15" x14ac:dyDescent="0.2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</row>
    <row r="7" spans="1:15" x14ac:dyDescent="0.2">
      <c r="A7" s="480"/>
      <c r="B7" s="480" t="s">
        <v>964</v>
      </c>
      <c r="C7" s="480"/>
      <c r="D7" s="480"/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0"/>
    </row>
    <row r="8" spans="1:15" ht="15.75" x14ac:dyDescent="0.25">
      <c r="A8" s="480"/>
      <c r="B8" s="480" t="s">
        <v>965</v>
      </c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</row>
    <row r="9" spans="1:15" x14ac:dyDescent="0.2">
      <c r="A9" s="480"/>
      <c r="B9" s="480"/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</row>
    <row r="10" spans="1:15" ht="13.5" thickBot="1" x14ac:dyDescent="0.25">
      <c r="A10" s="480"/>
      <c r="B10" s="508" t="s">
        <v>3188</v>
      </c>
      <c r="C10" s="508"/>
      <c r="D10" s="508"/>
      <c r="E10" s="508"/>
      <c r="F10" s="508"/>
      <c r="G10" s="508"/>
      <c r="H10" s="508"/>
      <c r="I10" s="480"/>
      <c r="J10" s="480"/>
      <c r="K10" s="480"/>
      <c r="L10" s="480"/>
      <c r="M10" s="480"/>
      <c r="N10" s="480"/>
      <c r="O10" s="480"/>
    </row>
    <row r="11" spans="1:15" x14ac:dyDescent="0.2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</row>
    <row r="12" spans="1:15" x14ac:dyDescent="0.2">
      <c r="A12" s="480"/>
      <c r="B12" s="480"/>
      <c r="C12" s="509">
        <v>10</v>
      </c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</row>
    <row r="13" spans="1:15" x14ac:dyDescent="0.2">
      <c r="A13" s="480"/>
      <c r="B13" s="480"/>
      <c r="C13" s="509">
        <v>20</v>
      </c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</row>
    <row r="14" spans="1:15" x14ac:dyDescent="0.2">
      <c r="A14" s="480"/>
      <c r="B14" s="480"/>
      <c r="C14" s="509">
        <v>2</v>
      </c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</row>
    <row r="15" spans="1:15" x14ac:dyDescent="0.2">
      <c r="A15" s="480"/>
      <c r="B15" s="480"/>
      <c r="C15" s="510">
        <f>C12+C13*C14</f>
        <v>50</v>
      </c>
      <c r="D15" s="485" t="s">
        <v>3189</v>
      </c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</row>
    <row r="16" spans="1:15" x14ac:dyDescent="0.2">
      <c r="A16" s="480"/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</row>
    <row r="17" spans="1:15" x14ac:dyDescent="0.2">
      <c r="A17" s="480"/>
      <c r="B17" s="480"/>
      <c r="C17" s="480" t="str">
        <f>"You may expect that "&amp;C12&amp;" + "&amp;C13&amp;" would equal "&amp;C12+C13</f>
        <v>You may expect that 10 + 20 would equal 30</v>
      </c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</row>
    <row r="18" spans="1:15" x14ac:dyDescent="0.2">
      <c r="A18" s="480"/>
      <c r="B18" s="480"/>
      <c r="C18" s="480" t="str">
        <f>"And then "&amp;C12+C13&amp;" * "&amp;C14&amp;" would equal "&amp;(C12+C13)*C14</f>
        <v>And then 30 * 2 would equal 60</v>
      </c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</row>
    <row r="19" spans="1:15" x14ac:dyDescent="0.2">
      <c r="A19" s="480"/>
      <c r="B19" s="480"/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</row>
    <row r="20" spans="1:15" x14ac:dyDescent="0.2">
      <c r="A20" s="480"/>
      <c r="B20" s="480"/>
      <c r="C20" s="480" t="s">
        <v>960</v>
      </c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</row>
    <row r="21" spans="1:15" x14ac:dyDescent="0.2">
      <c r="A21" s="480"/>
      <c r="B21" s="480"/>
      <c r="C21" s="480" t="str">
        <f>"calculation as "&amp;C13&amp;" * "&amp;C14&amp;" resulting in "&amp;C13*C14</f>
        <v>calculation as 20 * 2 resulting in 40</v>
      </c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</row>
    <row r="22" spans="1:15" x14ac:dyDescent="0.2">
      <c r="A22" s="480"/>
      <c r="B22" s="480"/>
      <c r="C22" s="480" t="str">
        <f>"And then "&amp;C12&amp;" + "&amp;C13*C14&amp;" resulting in "&amp;C13*C14+C12</f>
        <v>And then 10 + 40 resulting in 50</v>
      </c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</row>
    <row r="23" spans="1:15" x14ac:dyDescent="0.2">
      <c r="A23" s="480"/>
      <c r="B23" s="480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</row>
    <row r="24" spans="1:15" x14ac:dyDescent="0.2">
      <c r="A24" s="480"/>
      <c r="B24" s="480"/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</row>
    <row r="25" spans="1:15" ht="13.5" thickBot="1" x14ac:dyDescent="0.25">
      <c r="A25" s="480"/>
      <c r="B25" s="508" t="s">
        <v>961</v>
      </c>
      <c r="C25" s="508"/>
      <c r="D25" s="508"/>
      <c r="E25" s="508"/>
      <c r="F25" s="508"/>
      <c r="G25" s="508"/>
      <c r="H25" s="508"/>
      <c r="I25" s="480"/>
      <c r="J25" s="480"/>
      <c r="K25" s="480"/>
      <c r="L25" s="480"/>
      <c r="M25" s="480"/>
      <c r="N25" s="480"/>
      <c r="O25" s="480"/>
    </row>
    <row r="26" spans="1:15" x14ac:dyDescent="0.2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</row>
    <row r="27" spans="1:15" x14ac:dyDescent="0.2">
      <c r="A27" s="480"/>
      <c r="B27" s="480"/>
      <c r="C27" s="509">
        <v>10</v>
      </c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</row>
    <row r="28" spans="1:15" x14ac:dyDescent="0.2">
      <c r="A28" s="480"/>
      <c r="B28" s="480"/>
      <c r="C28" s="509">
        <v>20</v>
      </c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</row>
    <row r="29" spans="1:15" x14ac:dyDescent="0.2">
      <c r="A29" s="480"/>
      <c r="B29" s="480"/>
      <c r="C29" s="509">
        <v>2</v>
      </c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</row>
    <row r="30" spans="1:15" x14ac:dyDescent="0.2">
      <c r="A30" s="480"/>
      <c r="B30" s="480"/>
      <c r="C30" s="510">
        <f>(C27+C28)*C29</f>
        <v>60</v>
      </c>
      <c r="D30" s="485" t="s">
        <v>962</v>
      </c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</row>
    <row r="31" spans="1:15" x14ac:dyDescent="0.2">
      <c r="A31" s="480"/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</row>
    <row r="32" spans="1:15" x14ac:dyDescent="0.2">
      <c r="A32" s="480"/>
      <c r="B32" s="480"/>
      <c r="C32" s="480" t="str">
        <f>"By placing brackets around ("&amp;C27&amp;"+"&amp;C28&amp;") Excel performs this"</f>
        <v>By placing brackets around (10+20) Excel performs this</v>
      </c>
      <c r="D32" s="480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</row>
    <row r="33" spans="1:15" x14ac:dyDescent="0.2">
      <c r="A33" s="480"/>
      <c r="B33" s="480"/>
      <c r="C33" s="480" t="str">
        <f>"part of the calulation first, resulting in "&amp;C27+C28</f>
        <v>part of the calulation first, resulting in 30</v>
      </c>
      <c r="D33" s="480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</row>
    <row r="34" spans="1:15" x14ac:dyDescent="0.2">
      <c r="A34" s="480"/>
      <c r="B34" s="480"/>
      <c r="C34" s="480" t="str">
        <f>"Then the "&amp;C27+C28&amp;" is multipled by "&amp;C29&amp;" resulting in "&amp;(C27+C28)*C29</f>
        <v>Then the 30 is multipled by 2 resulting in 60</v>
      </c>
      <c r="D34" s="48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</row>
    <row r="35" spans="1:15" x14ac:dyDescent="0.2">
      <c r="A35" s="480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</row>
    <row r="36" spans="1:15" x14ac:dyDescent="0.2">
      <c r="A36" s="480"/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</row>
    <row r="37" spans="1:15" x14ac:dyDescent="0.2">
      <c r="A37" s="480"/>
      <c r="B37" s="480"/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</row>
    <row r="38" spans="1:15" x14ac:dyDescent="0.2">
      <c r="A38" s="480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</row>
    <row r="39" spans="1:15" x14ac:dyDescent="0.2">
      <c r="A39" s="480"/>
      <c r="B39" s="480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</row>
    <row r="40" spans="1:15" x14ac:dyDescent="0.2">
      <c r="A40" s="480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</row>
    <row r="41" spans="1:15" x14ac:dyDescent="0.2">
      <c r="A41" s="480"/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</row>
    <row r="42" spans="1:15" x14ac:dyDescent="0.2">
      <c r="A42" s="480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</row>
    <row r="43" spans="1:15" x14ac:dyDescent="0.2">
      <c r="A43" s="480"/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</row>
    <row r="44" spans="1:15" x14ac:dyDescent="0.2">
      <c r="A44" s="480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480"/>
      <c r="O44" s="480"/>
    </row>
    <row r="45" spans="1:15" x14ac:dyDescent="0.2">
      <c r="A45" s="480"/>
      <c r="B45" s="480"/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</row>
    <row r="46" spans="1:15" x14ac:dyDescent="0.2">
      <c r="A46" s="480"/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</row>
    <row r="47" spans="1:15" x14ac:dyDescent="0.2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</row>
    <row r="48" spans="1:15" x14ac:dyDescent="0.2">
      <c r="A48" s="480"/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</row>
    <row r="49" spans="1:15" x14ac:dyDescent="0.2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</row>
    <row r="50" spans="1:15" x14ac:dyDescent="0.2">
      <c r="A50" s="480"/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</row>
    <row r="51" spans="1:15" x14ac:dyDescent="0.2">
      <c r="A51" s="480"/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</row>
    <row r="52" spans="1:15" x14ac:dyDescent="0.2">
      <c r="A52" s="480"/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</row>
    <row r="53" spans="1:15" x14ac:dyDescent="0.2">
      <c r="A53" s="480"/>
      <c r="B53" s="480"/>
      <c r="C53" s="480"/>
      <c r="D53" s="480"/>
      <c r="E53" s="480"/>
      <c r="F53" s="480"/>
      <c r="G53" s="480"/>
      <c r="H53" s="480"/>
      <c r="I53" s="480"/>
      <c r="J53" s="480"/>
      <c r="K53" s="480"/>
      <c r="L53" s="480"/>
      <c r="M53" s="480"/>
      <c r="N53" s="480"/>
      <c r="O53" s="480"/>
    </row>
    <row r="54" spans="1:15" x14ac:dyDescent="0.2">
      <c r="A54" s="480"/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</row>
    <row r="55" spans="1:15" x14ac:dyDescent="0.2">
      <c r="A55" s="480"/>
      <c r="B55" s="480"/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</row>
    <row r="56" spans="1:15" x14ac:dyDescent="0.2">
      <c r="A56" s="480"/>
      <c r="B56" s="480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</row>
    <row r="57" spans="1:15" x14ac:dyDescent="0.2">
      <c r="A57" s="480"/>
      <c r="B57" s="480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</row>
    <row r="58" spans="1:15" x14ac:dyDescent="0.2">
      <c r="A58" s="480"/>
      <c r="B58" s="480"/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</row>
    <row r="59" spans="1:15" x14ac:dyDescent="0.2">
      <c r="A59" s="480"/>
      <c r="B59" s="480"/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  <c r="N59" s="480"/>
      <c r="O59" s="480"/>
    </row>
    <row r="60" spans="1:15" x14ac:dyDescent="0.2">
      <c r="A60" s="480"/>
      <c r="B60" s="480"/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  <c r="N60" s="480"/>
      <c r="O60" s="480"/>
    </row>
    <row r="61" spans="1:15" x14ac:dyDescent="0.2">
      <c r="A61" s="480"/>
      <c r="B61" s="480"/>
      <c r="C61" s="480"/>
      <c r="D61" s="480"/>
      <c r="E61" s="480"/>
      <c r="F61" s="480"/>
      <c r="G61" s="480"/>
      <c r="H61" s="480"/>
      <c r="I61" s="480"/>
      <c r="J61" s="480"/>
      <c r="K61" s="480"/>
      <c r="L61" s="480"/>
      <c r="M61" s="480"/>
      <c r="N61" s="480"/>
      <c r="O61" s="480"/>
    </row>
    <row r="62" spans="1:15" x14ac:dyDescent="0.2">
      <c r="A62" s="480"/>
      <c r="B62" s="480"/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480"/>
      <c r="N62" s="480"/>
      <c r="O62" s="480"/>
    </row>
    <row r="63" spans="1:15" x14ac:dyDescent="0.2">
      <c r="A63" s="480"/>
      <c r="B63" s="480"/>
      <c r="C63" s="480"/>
      <c r="D63" s="480"/>
      <c r="E63" s="480"/>
      <c r="F63" s="480"/>
      <c r="G63" s="480"/>
      <c r="H63" s="480"/>
      <c r="I63" s="480"/>
      <c r="J63" s="480"/>
      <c r="K63" s="480"/>
      <c r="L63" s="480"/>
      <c r="M63" s="480"/>
      <c r="N63" s="480"/>
      <c r="O63" s="480"/>
    </row>
    <row r="64" spans="1:15" x14ac:dyDescent="0.2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  <c r="O64" s="480"/>
    </row>
    <row r="65" spans="1:15" x14ac:dyDescent="0.2">
      <c r="A65" s="480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</row>
    <row r="66" spans="1:15" x14ac:dyDescent="0.2">
      <c r="A66" s="480"/>
      <c r="B66" s="480"/>
      <c r="C66" s="480"/>
      <c r="D66" s="480"/>
      <c r="E66" s="480"/>
      <c r="F66" s="480"/>
      <c r="G66" s="480"/>
      <c r="H66" s="480"/>
      <c r="I66" s="480"/>
      <c r="J66" s="480"/>
      <c r="K66" s="480"/>
      <c r="L66" s="480"/>
      <c r="M66" s="480"/>
    </row>
  </sheetData>
  <sheetProtection password="F663" sheet="1" objects="1" scenarios="1"/>
  <phoneticPr fontId="0" type="noConversion"/>
  <pageMargins left="0.41" right="0.43" top="0.7" bottom="0.98425196850393704" header="0.511811023622047" footer="0.511811023622047"/>
  <pageSetup paperSize="9" scale="90" fitToHeight="5" orientation="portrait" r:id="rId1"/>
  <headerFooter alignWithMargins="0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3">
    <pageSetUpPr fitToPage="1"/>
  </sheetPr>
  <dimension ref="A1:I23"/>
  <sheetViews>
    <sheetView showGridLines="0" workbookViewId="0">
      <pane ySplit="1" topLeftCell="A2" activePane="bottomLeft" state="frozen"/>
      <selection activeCell="A3" sqref="A3"/>
      <selection pane="bottomLeft" activeCell="G7" sqref="G7"/>
    </sheetView>
  </sheetViews>
  <sheetFormatPr defaultRowHeight="12.75" x14ac:dyDescent="0.2"/>
  <cols>
    <col min="1" max="1" width="2.7109375" customWidth="1"/>
    <col min="2" max="2" width="15.570312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9" ht="46.5" customHeight="1" x14ac:dyDescent="0.25">
      <c r="A1" s="476"/>
      <c r="B1" s="476"/>
      <c r="C1" s="476"/>
      <c r="D1" s="476"/>
      <c r="E1" s="476"/>
      <c r="F1" s="476"/>
      <c r="G1" s="476"/>
      <c r="H1" s="478"/>
      <c r="I1" s="478"/>
    </row>
    <row r="3" spans="1:9" x14ac:dyDescent="0.2">
      <c r="B3" t="s">
        <v>3174</v>
      </c>
    </row>
    <row r="4" spans="1:9" x14ac:dyDescent="0.2">
      <c r="B4" t="s">
        <v>3175</v>
      </c>
    </row>
    <row r="6" spans="1:9" x14ac:dyDescent="0.2">
      <c r="B6" t="s">
        <v>3176</v>
      </c>
    </row>
    <row r="7" spans="1:9" x14ac:dyDescent="0.2">
      <c r="B7" s="51" t="str">
        <f ca="1">CELL("filename")</f>
        <v/>
      </c>
      <c r="C7" s="52"/>
      <c r="D7" s="52"/>
    </row>
    <row r="8" spans="1:9" x14ac:dyDescent="0.2">
      <c r="B8" s="13" t="s">
        <v>3177</v>
      </c>
    </row>
    <row r="10" spans="1:9" x14ac:dyDescent="0.2">
      <c r="B10" t="s">
        <v>3178</v>
      </c>
    </row>
    <row r="11" spans="1:9" x14ac:dyDescent="0.2">
      <c r="B11" t="s">
        <v>3179</v>
      </c>
    </row>
    <row r="13" spans="1:9" ht="13.5" thickBot="1" x14ac:dyDescent="0.25">
      <c r="B13" s="9" t="s">
        <v>3180</v>
      </c>
      <c r="C13" s="9"/>
      <c r="D13" s="9"/>
      <c r="E13" s="9"/>
      <c r="F13" s="9"/>
      <c r="G13" s="9"/>
    </row>
    <row r="14" spans="1:9" x14ac:dyDescent="0.2">
      <c r="B14" s="51" t="e">
        <f ca="1">MID(CELL("filename"),1,FIND("[",CELL("filename"))-1)</f>
        <v>#VALUE!</v>
      </c>
      <c r="C14" s="52"/>
      <c r="D14" s="52"/>
    </row>
    <row r="15" spans="1:9" x14ac:dyDescent="0.2">
      <c r="B15" s="13" t="s">
        <v>3181</v>
      </c>
    </row>
    <row r="17" spans="2:7" ht="13.5" thickBot="1" x14ac:dyDescent="0.25">
      <c r="B17" s="9" t="s">
        <v>3182</v>
      </c>
      <c r="C17" s="9"/>
      <c r="D17" s="9"/>
      <c r="E17" s="9"/>
      <c r="F17" s="9"/>
      <c r="G17" s="9"/>
    </row>
    <row r="18" spans="2:7" x14ac:dyDescent="0.2">
      <c r="B18" s="51" t="e">
        <f ca="1">MID(CELL("filename"),FIND("[",CELL("filename"))+1,FIND("]",CELL("filename"))-FIND("[",CELL("filename"))-1)</f>
        <v>#VALUE!</v>
      </c>
      <c r="C18" s="52"/>
      <c r="D18" s="52"/>
    </row>
    <row r="19" spans="2:7" x14ac:dyDescent="0.2">
      <c r="B19" s="32" t="s">
        <v>3183</v>
      </c>
    </row>
    <row r="21" spans="2:7" ht="13.5" thickBot="1" x14ac:dyDescent="0.25">
      <c r="B21" s="9" t="s">
        <v>3184</v>
      </c>
      <c r="C21" s="9"/>
      <c r="D21" s="9"/>
      <c r="E21" s="9"/>
      <c r="F21" s="9"/>
      <c r="G21" s="9"/>
    </row>
    <row r="22" spans="2:7" x14ac:dyDescent="0.2">
      <c r="B22" s="51" t="e">
        <f ca="1">MID(CELL("filename"),FIND("]",CELL("filename"))+1,255)</f>
        <v>#VALUE!</v>
      </c>
    </row>
    <row r="23" spans="2:7" x14ac:dyDescent="0.2">
      <c r="B23" s="13" t="s">
        <v>3185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4">
    <pageSetUpPr fitToPage="1"/>
  </sheetPr>
  <dimension ref="A1:I13"/>
  <sheetViews>
    <sheetView showGridLines="0" workbookViewId="0">
      <pane ySplit="1" topLeftCell="A2" activePane="bottomLeft" state="frozen"/>
      <selection activeCell="A3" sqref="A3"/>
      <selection pane="bottomLeft" activeCell="D8" sqref="D8"/>
    </sheetView>
  </sheetViews>
  <sheetFormatPr defaultRowHeight="12.75" x14ac:dyDescent="0.2"/>
  <cols>
    <col min="1" max="1" width="2.710937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9" ht="52.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B3" t="s">
        <v>3170</v>
      </c>
    </row>
    <row r="4" spans="1:9" x14ac:dyDescent="0.2">
      <c r="B4" t="s">
        <v>3172</v>
      </c>
    </row>
    <row r="6" spans="1:9" x14ac:dyDescent="0.2">
      <c r="B6" s="49"/>
      <c r="C6" s="6" t="s">
        <v>3555</v>
      </c>
      <c r="D6" s="6" t="s">
        <v>3556</v>
      </c>
      <c r="E6" s="6" t="s">
        <v>3557</v>
      </c>
    </row>
    <row r="7" spans="1:9" x14ac:dyDescent="0.2">
      <c r="B7" s="6" t="s">
        <v>3356</v>
      </c>
      <c r="C7" s="50">
        <v>45</v>
      </c>
      <c r="D7" s="50">
        <v>50</v>
      </c>
      <c r="E7" s="50">
        <v>50</v>
      </c>
    </row>
    <row r="8" spans="1:9" x14ac:dyDescent="0.2">
      <c r="B8" s="6" t="s">
        <v>3357</v>
      </c>
      <c r="C8" s="50">
        <v>30</v>
      </c>
      <c r="D8" s="50">
        <v>25</v>
      </c>
      <c r="E8" s="50">
        <v>35</v>
      </c>
    </row>
    <row r="9" spans="1:9" x14ac:dyDescent="0.2">
      <c r="B9" s="6" t="s">
        <v>3358</v>
      </c>
      <c r="C9" s="50">
        <v>35</v>
      </c>
      <c r="D9" s="50">
        <v>10</v>
      </c>
      <c r="E9" s="50">
        <v>50</v>
      </c>
    </row>
    <row r="10" spans="1:9" x14ac:dyDescent="0.2">
      <c r="B10" s="6" t="s">
        <v>3359</v>
      </c>
      <c r="C10" s="50">
        <v>20</v>
      </c>
      <c r="D10" s="50">
        <v>50</v>
      </c>
      <c r="E10" s="50">
        <v>5</v>
      </c>
    </row>
    <row r="12" spans="1:9" x14ac:dyDescent="0.2">
      <c r="B12" t="s">
        <v>3171</v>
      </c>
    </row>
    <row r="13" spans="1:9" x14ac:dyDescent="0.2">
      <c r="B13" t="s">
        <v>3173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6">
    <pageSetUpPr fitToPage="1"/>
  </sheetPr>
  <dimension ref="A1:I21"/>
  <sheetViews>
    <sheetView showGridLines="0" workbookViewId="0">
      <pane ySplit="1" topLeftCell="A2" activePane="bottomLeft" state="frozen"/>
      <selection activeCell="A3" sqref="A3"/>
      <selection pane="bottomLeft"/>
    </sheetView>
  </sheetViews>
  <sheetFormatPr defaultRowHeight="12.75" x14ac:dyDescent="0.2"/>
  <cols>
    <col min="1" max="1" width="2.710937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9" ht="42.7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B3" t="s">
        <v>3551</v>
      </c>
    </row>
    <row r="4" spans="1:9" x14ac:dyDescent="0.2">
      <c r="B4" t="s">
        <v>3552</v>
      </c>
    </row>
    <row r="6" spans="1:9" x14ac:dyDescent="0.2">
      <c r="B6" t="s">
        <v>3553</v>
      </c>
    </row>
    <row r="7" spans="1:9" x14ac:dyDescent="0.2">
      <c r="B7" t="s">
        <v>3560</v>
      </c>
    </row>
    <row r="8" spans="1:9" x14ac:dyDescent="0.2">
      <c r="B8" t="s">
        <v>3554</v>
      </c>
    </row>
    <row r="9" spans="1:9" x14ac:dyDescent="0.2">
      <c r="B9" t="s">
        <v>3561</v>
      </c>
    </row>
    <row r="11" spans="1:9" x14ac:dyDescent="0.2">
      <c r="B11" s="49"/>
      <c r="C11" s="46" t="s">
        <v>3555</v>
      </c>
      <c r="D11" s="6" t="s">
        <v>3556</v>
      </c>
      <c r="E11" s="6" t="s">
        <v>3557</v>
      </c>
    </row>
    <row r="12" spans="1:9" x14ac:dyDescent="0.2">
      <c r="B12" s="6" t="s">
        <v>3356</v>
      </c>
      <c r="C12" s="50">
        <v>45</v>
      </c>
      <c r="D12" s="50">
        <v>50</v>
      </c>
      <c r="E12" s="50">
        <v>50</v>
      </c>
    </row>
    <row r="13" spans="1:9" x14ac:dyDescent="0.2">
      <c r="B13" s="6" t="s">
        <v>3357</v>
      </c>
      <c r="C13" s="50">
        <v>30</v>
      </c>
      <c r="D13" s="50">
        <v>25</v>
      </c>
      <c r="E13" s="50">
        <v>35</v>
      </c>
    </row>
    <row r="14" spans="1:9" x14ac:dyDescent="0.2">
      <c r="B14" s="6" t="s">
        <v>3358</v>
      </c>
      <c r="C14" s="50">
        <v>35</v>
      </c>
      <c r="D14" s="50">
        <v>10</v>
      </c>
      <c r="E14" s="50">
        <v>50</v>
      </c>
    </row>
    <row r="15" spans="1:9" x14ac:dyDescent="0.2">
      <c r="B15" s="6" t="s">
        <v>3359</v>
      </c>
      <c r="C15" s="50">
        <v>20</v>
      </c>
      <c r="D15" s="50">
        <v>50</v>
      </c>
      <c r="E15" s="50">
        <v>5</v>
      </c>
    </row>
    <row r="16" spans="1:9" x14ac:dyDescent="0.2">
      <c r="B16" s="6" t="s">
        <v>3360</v>
      </c>
      <c r="C16" s="8"/>
      <c r="D16" s="8"/>
      <c r="E16" s="8"/>
    </row>
    <row r="17" spans="2:8" x14ac:dyDescent="0.2">
      <c r="C17" s="4"/>
      <c r="D17" s="4"/>
      <c r="E17" s="4"/>
    </row>
    <row r="19" spans="2:8" ht="13.5" thickBot="1" x14ac:dyDescent="0.25">
      <c r="B19" s="9" t="s">
        <v>3558</v>
      </c>
      <c r="C19" s="9"/>
      <c r="D19" s="9"/>
      <c r="E19" s="9"/>
      <c r="F19" s="9"/>
      <c r="G19" s="9"/>
      <c r="H19" s="9"/>
    </row>
    <row r="20" spans="2:8" x14ac:dyDescent="0.2">
      <c r="B20" t="s">
        <v>3559</v>
      </c>
    </row>
    <row r="21" spans="2:8" x14ac:dyDescent="0.2">
      <c r="B21" t="s">
        <v>3562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5">
    <pageSetUpPr fitToPage="1"/>
  </sheetPr>
  <dimension ref="A1:I12"/>
  <sheetViews>
    <sheetView showGridLines="0" workbookViewId="0">
      <pane ySplit="1" topLeftCell="A2" activePane="bottomLeft" state="frozen"/>
      <selection activeCell="A3" sqref="A3"/>
      <selection pane="bottomLeft" activeCell="C1" sqref="C1"/>
    </sheetView>
  </sheetViews>
  <sheetFormatPr defaultRowHeight="12.75" x14ac:dyDescent="0.2"/>
  <cols>
    <col min="1" max="1" width="2.7109375" customWidth="1"/>
    <col min="3" max="3" width="11.57031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9" ht="44.2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B3" t="s">
        <v>3548</v>
      </c>
    </row>
    <row r="4" spans="1:9" x14ac:dyDescent="0.2">
      <c r="B4" t="s">
        <v>3549</v>
      </c>
    </row>
    <row r="6" spans="1:9" x14ac:dyDescent="0.2">
      <c r="B6" t="s">
        <v>3550</v>
      </c>
    </row>
    <row r="7" spans="1:9" x14ac:dyDescent="0.2">
      <c r="B7" t="s">
        <v>3547</v>
      </c>
    </row>
    <row r="9" spans="1:9" x14ac:dyDescent="0.2">
      <c r="B9" s="7">
        <v>10</v>
      </c>
      <c r="C9" s="7">
        <v>20</v>
      </c>
      <c r="D9" s="8">
        <f>B9+C9</f>
        <v>30</v>
      </c>
    </row>
    <row r="10" spans="1:9" x14ac:dyDescent="0.2">
      <c r="B10" s="7">
        <v>30</v>
      </c>
      <c r="C10" s="7">
        <v>40</v>
      </c>
      <c r="D10" s="8">
        <f>SUM(B10:C10)</f>
        <v>70</v>
      </c>
    </row>
    <row r="11" spans="1:9" x14ac:dyDescent="0.2">
      <c r="B11" s="7">
        <v>50</v>
      </c>
      <c r="C11" s="7">
        <v>60</v>
      </c>
      <c r="D11" s="8">
        <f>MAX(B11:C11)</f>
        <v>60</v>
      </c>
    </row>
    <row r="12" spans="1:9" x14ac:dyDescent="0.2">
      <c r="B12" s="7">
        <v>70</v>
      </c>
      <c r="C12" s="7">
        <v>80</v>
      </c>
      <c r="D12" s="8">
        <f>IF(B12&gt;C12,B9,B10)</f>
        <v>30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7">
    <pageSetUpPr fitToPage="1"/>
  </sheetPr>
  <dimension ref="A1:J116"/>
  <sheetViews>
    <sheetView showGridLines="0" workbookViewId="0">
      <pane ySplit="1" topLeftCell="A2" activePane="bottomLeft" state="frozen"/>
      <selection activeCell="A3" sqref="A3"/>
      <selection pane="bottomLeft" activeCell="I5" sqref="I5"/>
    </sheetView>
  </sheetViews>
  <sheetFormatPr defaultRowHeight="12.75" x14ac:dyDescent="0.2"/>
  <cols>
    <col min="1" max="1" width="2.7109375" customWidth="1"/>
    <col min="2" max="2" width="3" customWidth="1"/>
    <col min="3" max="3" width="13.85546875" customWidth="1"/>
    <col min="5" max="5" width="12.28515625" customWidth="1"/>
    <col min="6" max="6" width="11" customWidth="1"/>
    <col min="7" max="7" width="10.42578125" customWidth="1"/>
  </cols>
  <sheetData>
    <row r="1" spans="1:10" ht="42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  <c r="J1" s="478"/>
    </row>
    <row r="3" spans="1:10" x14ac:dyDescent="0.2">
      <c r="B3" t="s">
        <v>1930</v>
      </c>
    </row>
    <row r="4" spans="1:10" x14ac:dyDescent="0.2">
      <c r="B4" t="s">
        <v>1931</v>
      </c>
    </row>
    <row r="6" spans="1:10" ht="13.5" thickBot="1" x14ac:dyDescent="0.25">
      <c r="B6" s="9" t="s">
        <v>1932</v>
      </c>
      <c r="C6" s="9"/>
      <c r="D6" s="9"/>
      <c r="E6" s="9"/>
      <c r="F6" s="9"/>
      <c r="G6" s="9"/>
    </row>
    <row r="8" spans="1:10" x14ac:dyDescent="0.2">
      <c r="C8" s="26" t="s">
        <v>1933</v>
      </c>
      <c r="D8" s="24">
        <v>120</v>
      </c>
    </row>
    <row r="9" spans="1:10" x14ac:dyDescent="0.2">
      <c r="C9" s="26" t="s">
        <v>1934</v>
      </c>
      <c r="D9" s="28">
        <v>0.25</v>
      </c>
    </row>
    <row r="10" spans="1:10" x14ac:dyDescent="0.2">
      <c r="C10" s="26" t="s">
        <v>1935</v>
      </c>
      <c r="D10" s="25">
        <f>D8*D9</f>
        <v>30</v>
      </c>
      <c r="E10" s="13" t="s">
        <v>1936</v>
      </c>
    </row>
    <row r="12" spans="1:10" x14ac:dyDescent="0.2">
      <c r="C12" s="15" t="s">
        <v>1937</v>
      </c>
    </row>
    <row r="13" spans="1:10" x14ac:dyDescent="0.2">
      <c r="C13" t="s">
        <v>1938</v>
      </c>
    </row>
    <row r="14" spans="1:10" x14ac:dyDescent="0.2">
      <c r="C14" t="s">
        <v>1939</v>
      </c>
    </row>
    <row r="15" spans="1:10" x14ac:dyDescent="0.2">
      <c r="C15" t="s">
        <v>1940</v>
      </c>
    </row>
    <row r="17" spans="2:7" x14ac:dyDescent="0.2">
      <c r="C17" s="6" t="s">
        <v>1941</v>
      </c>
      <c r="D17" s="6" t="s">
        <v>1942</v>
      </c>
    </row>
    <row r="18" spans="2:7" x14ac:dyDescent="0.2">
      <c r="C18" s="7" t="s">
        <v>1943</v>
      </c>
      <c r="D18" s="29">
        <v>0.1</v>
      </c>
    </row>
    <row r="19" spans="2:7" x14ac:dyDescent="0.2">
      <c r="C19" s="7" t="s">
        <v>1944</v>
      </c>
      <c r="D19" s="29">
        <v>0.15</v>
      </c>
    </row>
    <row r="20" spans="2:7" x14ac:dyDescent="0.2">
      <c r="C20" s="7" t="s">
        <v>1945</v>
      </c>
      <c r="D20" s="29">
        <v>0.2</v>
      </c>
    </row>
    <row r="22" spans="2:7" x14ac:dyDescent="0.2">
      <c r="C22" s="6" t="s">
        <v>1946</v>
      </c>
      <c r="D22" s="6" t="s">
        <v>1941</v>
      </c>
      <c r="E22" s="23" t="s">
        <v>1947</v>
      </c>
      <c r="F22" s="23" t="s">
        <v>1948</v>
      </c>
    </row>
    <row r="23" spans="2:7" x14ac:dyDescent="0.2">
      <c r="C23" s="6" t="s">
        <v>3361</v>
      </c>
      <c r="D23" s="7" t="s">
        <v>1943</v>
      </c>
      <c r="E23" s="30">
        <v>10000</v>
      </c>
      <c r="F23" s="31">
        <f t="shared" ref="F23:F28" si="0">E23*LOOKUP(D23,$C$18:$C$20,$D$18:$D$20)</f>
        <v>1000</v>
      </c>
      <c r="G23" s="32" t="s">
        <v>1949</v>
      </c>
    </row>
    <row r="24" spans="2:7" x14ac:dyDescent="0.2">
      <c r="C24" s="6" t="s">
        <v>3362</v>
      </c>
      <c r="D24" s="7" t="s">
        <v>1944</v>
      </c>
      <c r="E24" s="30">
        <v>20000</v>
      </c>
      <c r="F24" s="31">
        <f t="shared" si="0"/>
        <v>3000</v>
      </c>
      <c r="G24" s="32" t="s">
        <v>1950</v>
      </c>
    </row>
    <row r="25" spans="2:7" x14ac:dyDescent="0.2">
      <c r="C25" s="6" t="s">
        <v>3363</v>
      </c>
      <c r="D25" s="7" t="s">
        <v>1945</v>
      </c>
      <c r="E25" s="30">
        <v>30000</v>
      </c>
      <c r="F25" s="31">
        <f t="shared" si="0"/>
        <v>6000</v>
      </c>
      <c r="G25" s="32" t="s">
        <v>1951</v>
      </c>
    </row>
    <row r="26" spans="2:7" x14ac:dyDescent="0.2">
      <c r="C26" s="6" t="s">
        <v>1952</v>
      </c>
      <c r="D26" s="7" t="s">
        <v>1944</v>
      </c>
      <c r="E26" s="30">
        <v>25000</v>
      </c>
      <c r="F26" s="31">
        <f t="shared" si="0"/>
        <v>3750</v>
      </c>
      <c r="G26" s="32" t="s">
        <v>1953</v>
      </c>
    </row>
    <row r="27" spans="2:7" x14ac:dyDescent="0.2">
      <c r="C27" s="6" t="s">
        <v>1954</v>
      </c>
      <c r="D27" s="7" t="s">
        <v>1945</v>
      </c>
      <c r="E27" s="30">
        <v>32000</v>
      </c>
      <c r="F27" s="31">
        <f t="shared" si="0"/>
        <v>6400</v>
      </c>
      <c r="G27" s="32" t="s">
        <v>1955</v>
      </c>
    </row>
    <row r="28" spans="2:7" x14ac:dyDescent="0.2">
      <c r="C28" s="6" t="s">
        <v>1956</v>
      </c>
      <c r="D28" s="7" t="s">
        <v>1943</v>
      </c>
      <c r="E28" s="30">
        <v>12000</v>
      </c>
      <c r="F28" s="31">
        <f t="shared" si="0"/>
        <v>1200</v>
      </c>
      <c r="G28" s="32" t="s">
        <v>1957</v>
      </c>
    </row>
    <row r="31" spans="2:7" ht="13.5" thickBot="1" x14ac:dyDescent="0.25">
      <c r="B31" s="9" t="s">
        <v>1958</v>
      </c>
      <c r="C31" s="9"/>
      <c r="D31" s="9"/>
      <c r="E31" s="9"/>
      <c r="F31" s="9"/>
      <c r="G31" s="9"/>
    </row>
    <row r="33" spans="3:7" x14ac:dyDescent="0.2">
      <c r="C33" s="26" t="s">
        <v>1933</v>
      </c>
      <c r="D33" s="24">
        <v>120</v>
      </c>
    </row>
    <row r="34" spans="3:7" x14ac:dyDescent="0.2">
      <c r="C34" s="26" t="s">
        <v>1959</v>
      </c>
      <c r="D34" s="28">
        <v>0.25</v>
      </c>
    </row>
    <row r="35" spans="3:7" x14ac:dyDescent="0.2">
      <c r="C35" s="26" t="s">
        <v>1960</v>
      </c>
      <c r="D35" s="25">
        <f>D33*D34+D33</f>
        <v>150</v>
      </c>
      <c r="E35" s="13" t="s">
        <v>1961</v>
      </c>
    </row>
    <row r="37" spans="3:7" x14ac:dyDescent="0.2">
      <c r="C37" s="15" t="s">
        <v>1962</v>
      </c>
    </row>
    <row r="38" spans="3:7" x14ac:dyDescent="0.2">
      <c r="C38" t="s">
        <v>1938</v>
      </c>
    </row>
    <row r="39" spans="3:7" x14ac:dyDescent="0.2">
      <c r="C39" t="s">
        <v>1963</v>
      </c>
    </row>
    <row r="40" spans="3:7" x14ac:dyDescent="0.2">
      <c r="C40" t="s">
        <v>1940</v>
      </c>
    </row>
    <row r="42" spans="3:7" x14ac:dyDescent="0.2">
      <c r="C42" s="6" t="s">
        <v>1941</v>
      </c>
      <c r="D42" s="6" t="s">
        <v>1942</v>
      </c>
    </row>
    <row r="43" spans="3:7" x14ac:dyDescent="0.2">
      <c r="C43" s="7" t="s">
        <v>1943</v>
      </c>
      <c r="D43" s="29">
        <v>0.1</v>
      </c>
    </row>
    <row r="44" spans="3:7" x14ac:dyDescent="0.2">
      <c r="C44" s="7" t="s">
        <v>1944</v>
      </c>
      <c r="D44" s="29">
        <v>0.15</v>
      </c>
    </row>
    <row r="45" spans="3:7" x14ac:dyDescent="0.2">
      <c r="C45" s="7" t="s">
        <v>1945</v>
      </c>
      <c r="D45" s="29">
        <v>0.2</v>
      </c>
    </row>
    <row r="47" spans="3:7" x14ac:dyDescent="0.2">
      <c r="C47" s="6" t="s">
        <v>1946</v>
      </c>
      <c r="D47" s="6" t="s">
        <v>1941</v>
      </c>
      <c r="E47" s="23" t="s">
        <v>1947</v>
      </c>
      <c r="F47" s="23" t="s">
        <v>1948</v>
      </c>
    </row>
    <row r="48" spans="3:7" ht="13.5" x14ac:dyDescent="0.25">
      <c r="C48" s="6" t="s">
        <v>3361</v>
      </c>
      <c r="D48" s="7" t="s">
        <v>1943</v>
      </c>
      <c r="E48" s="30">
        <v>10000</v>
      </c>
      <c r="F48" s="31">
        <f t="shared" ref="F48:F53" si="1">E48*LOOKUP(D48,$C$18:$C$20,$D$18:$D$20)+E48</f>
        <v>11000</v>
      </c>
      <c r="G48" s="27" t="s">
        <v>1964</v>
      </c>
    </row>
    <row r="49" spans="2:7" ht="13.5" x14ac:dyDescent="0.25">
      <c r="C49" s="6" t="s">
        <v>3362</v>
      </c>
      <c r="D49" s="7" t="s">
        <v>1944</v>
      </c>
      <c r="E49" s="30">
        <v>20000</v>
      </c>
      <c r="F49" s="31">
        <f t="shared" si="1"/>
        <v>23000</v>
      </c>
      <c r="G49" s="27" t="s">
        <v>1965</v>
      </c>
    </row>
    <row r="50" spans="2:7" ht="13.5" x14ac:dyDescent="0.25">
      <c r="C50" s="6" t="s">
        <v>3363</v>
      </c>
      <c r="D50" s="7" t="s">
        <v>1945</v>
      </c>
      <c r="E50" s="30">
        <v>30000</v>
      </c>
      <c r="F50" s="31">
        <f t="shared" si="1"/>
        <v>36000</v>
      </c>
      <c r="G50" s="27" t="s">
        <v>1966</v>
      </c>
    </row>
    <row r="51" spans="2:7" ht="13.5" x14ac:dyDescent="0.25">
      <c r="C51" s="6" t="s">
        <v>1952</v>
      </c>
      <c r="D51" s="7" t="s">
        <v>1944</v>
      </c>
      <c r="E51" s="30">
        <v>25000</v>
      </c>
      <c r="F51" s="31">
        <f t="shared" si="1"/>
        <v>28750</v>
      </c>
      <c r="G51" s="27" t="s">
        <v>1967</v>
      </c>
    </row>
    <row r="52" spans="2:7" ht="13.5" x14ac:dyDescent="0.25">
      <c r="C52" s="6" t="s">
        <v>1954</v>
      </c>
      <c r="D52" s="7" t="s">
        <v>1945</v>
      </c>
      <c r="E52" s="30">
        <v>32000</v>
      </c>
      <c r="F52" s="31">
        <f t="shared" si="1"/>
        <v>38400</v>
      </c>
      <c r="G52" s="27" t="s">
        <v>1968</v>
      </c>
    </row>
    <row r="53" spans="2:7" ht="13.5" x14ac:dyDescent="0.25">
      <c r="C53" s="6" t="s">
        <v>1956</v>
      </c>
      <c r="D53" s="7" t="s">
        <v>1943</v>
      </c>
      <c r="E53" s="30">
        <v>12000</v>
      </c>
      <c r="F53" s="31">
        <f t="shared" si="1"/>
        <v>13200</v>
      </c>
      <c r="G53" s="27" t="s">
        <v>1969</v>
      </c>
    </row>
    <row r="56" spans="2:7" ht="13.5" thickBot="1" x14ac:dyDescent="0.25">
      <c r="B56" s="9" t="s">
        <v>1970</v>
      </c>
      <c r="C56" s="9"/>
      <c r="D56" s="9"/>
      <c r="E56" s="9"/>
      <c r="F56" s="9"/>
      <c r="G56" s="9"/>
    </row>
    <row r="58" spans="2:7" x14ac:dyDescent="0.2">
      <c r="C58" s="23" t="s">
        <v>1971</v>
      </c>
      <c r="D58" s="24">
        <v>120</v>
      </c>
    </row>
    <row r="59" spans="2:7" x14ac:dyDescent="0.2">
      <c r="C59" s="23" t="s">
        <v>1972</v>
      </c>
      <c r="D59" s="24">
        <v>60</v>
      </c>
    </row>
    <row r="60" spans="2:7" x14ac:dyDescent="0.2">
      <c r="C60" s="26" t="s">
        <v>1973</v>
      </c>
      <c r="D60" s="33">
        <f>D59/D58</f>
        <v>0.5</v>
      </c>
      <c r="E60" s="13" t="s">
        <v>1974</v>
      </c>
    </row>
    <row r="62" spans="2:7" x14ac:dyDescent="0.2">
      <c r="C62" t="s">
        <v>1975</v>
      </c>
    </row>
    <row r="63" spans="2:7" x14ac:dyDescent="0.2">
      <c r="C63" t="s">
        <v>1976</v>
      </c>
    </row>
    <row r="65" spans="3:8" x14ac:dyDescent="0.2">
      <c r="C65" s="15" t="s">
        <v>1977</v>
      </c>
    </row>
    <row r="66" spans="3:8" x14ac:dyDescent="0.2">
      <c r="C66" t="s">
        <v>1978</v>
      </c>
    </row>
    <row r="67" spans="3:8" x14ac:dyDescent="0.2">
      <c r="C67" t="s">
        <v>1979</v>
      </c>
    </row>
    <row r="68" spans="3:8" x14ac:dyDescent="0.2">
      <c r="C68" t="s">
        <v>1980</v>
      </c>
    </row>
    <row r="69" spans="3:8" x14ac:dyDescent="0.2">
      <c r="C69" t="s">
        <v>1981</v>
      </c>
    </row>
    <row r="70" spans="3:8" x14ac:dyDescent="0.2">
      <c r="C70" t="s">
        <v>1982</v>
      </c>
    </row>
    <row r="72" spans="3:8" x14ac:dyDescent="0.2">
      <c r="C72" s="34" t="s">
        <v>1983</v>
      </c>
      <c r="D72" s="35"/>
      <c r="E72" s="35"/>
      <c r="F72" s="35"/>
      <c r="G72" s="35"/>
    </row>
    <row r="73" spans="3:8" x14ac:dyDescent="0.2">
      <c r="C73" s="23" t="s">
        <v>1984</v>
      </c>
      <c r="D73" s="23" t="s">
        <v>1985</v>
      </c>
      <c r="E73" s="23" t="s">
        <v>1986</v>
      </c>
      <c r="F73" s="23" t="s">
        <v>1987</v>
      </c>
      <c r="G73" s="23" t="s">
        <v>1988</v>
      </c>
    </row>
    <row r="74" spans="3:8" x14ac:dyDescent="0.2">
      <c r="C74" s="23" t="s">
        <v>3356</v>
      </c>
      <c r="D74" s="36">
        <v>9000</v>
      </c>
      <c r="E74" s="36">
        <v>2000</v>
      </c>
      <c r="F74" s="36">
        <v>9000</v>
      </c>
      <c r="G74" s="36">
        <v>7000</v>
      </c>
    </row>
    <row r="75" spans="3:8" x14ac:dyDescent="0.2">
      <c r="C75" s="23" t="s">
        <v>3357</v>
      </c>
      <c r="D75" s="36">
        <v>7000</v>
      </c>
      <c r="E75" s="36">
        <v>4000</v>
      </c>
      <c r="F75" s="36">
        <v>9000</v>
      </c>
      <c r="G75" s="36">
        <v>5000</v>
      </c>
    </row>
    <row r="76" spans="3:8" x14ac:dyDescent="0.2">
      <c r="C76" s="23" t="s">
        <v>3358</v>
      </c>
      <c r="D76" s="36">
        <v>2000</v>
      </c>
      <c r="E76" s="36">
        <v>8000</v>
      </c>
      <c r="F76" s="36">
        <v>7000</v>
      </c>
      <c r="G76" s="36">
        <v>3000</v>
      </c>
    </row>
    <row r="77" spans="3:8" x14ac:dyDescent="0.2">
      <c r="C77" s="23" t="s">
        <v>3359</v>
      </c>
      <c r="D77" s="36">
        <v>8000</v>
      </c>
      <c r="E77" s="36">
        <v>9000</v>
      </c>
      <c r="F77" s="36">
        <v>6000</v>
      </c>
      <c r="G77" s="36">
        <v>5000</v>
      </c>
      <c r="H77" s="6" t="s">
        <v>3360</v>
      </c>
    </row>
    <row r="78" spans="3:8" x14ac:dyDescent="0.2">
      <c r="C78" s="23" t="s">
        <v>3360</v>
      </c>
      <c r="D78" s="37">
        <f>SUM(D74:D77)</f>
        <v>26000</v>
      </c>
      <c r="E78" s="37">
        <f>SUM(E74:E77)</f>
        <v>23000</v>
      </c>
      <c r="F78" s="37">
        <f>SUM(F74:F77)</f>
        <v>31000</v>
      </c>
      <c r="G78" s="37">
        <f>SUM(G74:G77)</f>
        <v>20000</v>
      </c>
      <c r="H78" s="38">
        <f>SUM(D78:G78)</f>
        <v>100000</v>
      </c>
    </row>
    <row r="80" spans="3:8" x14ac:dyDescent="0.2">
      <c r="C80" s="34" t="s">
        <v>1989</v>
      </c>
      <c r="D80" s="35"/>
      <c r="E80" s="35"/>
      <c r="F80" s="35"/>
      <c r="G80" s="35"/>
    </row>
    <row r="81" spans="3:8" x14ac:dyDescent="0.2">
      <c r="C81" s="23" t="s">
        <v>1984</v>
      </c>
      <c r="D81" s="6" t="s">
        <v>1985</v>
      </c>
      <c r="E81" s="6" t="s">
        <v>1986</v>
      </c>
      <c r="F81" s="6" t="s">
        <v>1987</v>
      </c>
      <c r="G81" s="6" t="s">
        <v>1988</v>
      </c>
    </row>
    <row r="82" spans="3:8" x14ac:dyDescent="0.2">
      <c r="C82" s="23" t="s">
        <v>3356</v>
      </c>
      <c r="D82" s="39">
        <f t="shared" ref="D82:G86" si="2">D74/$H$78</f>
        <v>0.09</v>
      </c>
      <c r="E82" s="39">
        <f t="shared" si="2"/>
        <v>0.02</v>
      </c>
      <c r="F82" s="39">
        <f t="shared" si="2"/>
        <v>0.09</v>
      </c>
      <c r="G82" s="39">
        <f t="shared" si="2"/>
        <v>7.0000000000000007E-2</v>
      </c>
      <c r="H82" s="13" t="s">
        <v>1990</v>
      </c>
    </row>
    <row r="83" spans="3:8" x14ac:dyDescent="0.2">
      <c r="C83" s="23" t="s">
        <v>3357</v>
      </c>
      <c r="D83" s="39">
        <f t="shared" si="2"/>
        <v>7.0000000000000007E-2</v>
      </c>
      <c r="E83" s="39">
        <f t="shared" si="2"/>
        <v>0.04</v>
      </c>
      <c r="F83" s="39">
        <f t="shared" si="2"/>
        <v>0.09</v>
      </c>
      <c r="G83" s="39">
        <f t="shared" si="2"/>
        <v>0.05</v>
      </c>
      <c r="H83" s="13" t="s">
        <v>1991</v>
      </c>
    </row>
    <row r="84" spans="3:8" x14ac:dyDescent="0.2">
      <c r="C84" s="23" t="s">
        <v>3358</v>
      </c>
      <c r="D84" s="39">
        <f t="shared" si="2"/>
        <v>0.02</v>
      </c>
      <c r="E84" s="39">
        <f t="shared" si="2"/>
        <v>0.08</v>
      </c>
      <c r="F84" s="39">
        <f t="shared" si="2"/>
        <v>7.0000000000000007E-2</v>
      </c>
      <c r="G84" s="39">
        <f t="shared" si="2"/>
        <v>0.03</v>
      </c>
      <c r="H84" s="13" t="s">
        <v>1992</v>
      </c>
    </row>
    <row r="85" spans="3:8" x14ac:dyDescent="0.2">
      <c r="C85" s="23" t="s">
        <v>3359</v>
      </c>
      <c r="D85" s="39">
        <f t="shared" si="2"/>
        <v>0.08</v>
      </c>
      <c r="E85" s="39">
        <f t="shared" si="2"/>
        <v>0.09</v>
      </c>
      <c r="F85" s="39">
        <f t="shared" si="2"/>
        <v>0.06</v>
      </c>
      <c r="G85" s="39">
        <f t="shared" si="2"/>
        <v>0.05</v>
      </c>
      <c r="H85" s="13" t="s">
        <v>1993</v>
      </c>
    </row>
    <row r="86" spans="3:8" x14ac:dyDescent="0.2">
      <c r="C86" s="23" t="s">
        <v>3360</v>
      </c>
      <c r="D86" s="39">
        <f t="shared" si="2"/>
        <v>0.26</v>
      </c>
      <c r="E86" s="39">
        <f t="shared" si="2"/>
        <v>0.23</v>
      </c>
      <c r="F86" s="39">
        <f t="shared" si="2"/>
        <v>0.31</v>
      </c>
      <c r="G86" s="39">
        <f t="shared" si="2"/>
        <v>0.2</v>
      </c>
      <c r="H86" s="13" t="s">
        <v>1994</v>
      </c>
    </row>
    <row r="88" spans="3:8" x14ac:dyDescent="0.2">
      <c r="C88" s="40" t="s">
        <v>1995</v>
      </c>
      <c r="D88" s="41"/>
      <c r="E88" s="42">
        <v>150000</v>
      </c>
    </row>
    <row r="89" spans="3:8" x14ac:dyDescent="0.2">
      <c r="C89" s="34" t="s">
        <v>1996</v>
      </c>
      <c r="D89" s="35"/>
      <c r="E89" s="35"/>
      <c r="F89" s="35"/>
      <c r="G89" s="35"/>
    </row>
    <row r="90" spans="3:8" x14ac:dyDescent="0.2">
      <c r="C90" s="23" t="s">
        <v>1984</v>
      </c>
      <c r="D90" s="6" t="s">
        <v>1985</v>
      </c>
      <c r="E90" s="6" t="s">
        <v>1986</v>
      </c>
      <c r="F90" s="6" t="s">
        <v>1987</v>
      </c>
      <c r="G90" s="6" t="s">
        <v>1988</v>
      </c>
    </row>
    <row r="91" spans="3:8" x14ac:dyDescent="0.2">
      <c r="C91" s="23" t="s">
        <v>3356</v>
      </c>
      <c r="D91" s="38">
        <f t="shared" ref="D91:G95" si="3">D82*$E$88</f>
        <v>13500</v>
      </c>
      <c r="E91" s="38">
        <f t="shared" si="3"/>
        <v>3000</v>
      </c>
      <c r="F91" s="38">
        <f t="shared" si="3"/>
        <v>13500</v>
      </c>
      <c r="G91" s="38">
        <f t="shared" si="3"/>
        <v>10500.000000000002</v>
      </c>
      <c r="H91" s="13" t="s">
        <v>1997</v>
      </c>
    </row>
    <row r="92" spans="3:8" x14ac:dyDescent="0.2">
      <c r="C92" s="23" t="s">
        <v>3357</v>
      </c>
      <c r="D92" s="38">
        <f t="shared" si="3"/>
        <v>10500.000000000002</v>
      </c>
      <c r="E92" s="38">
        <f t="shared" si="3"/>
        <v>6000</v>
      </c>
      <c r="F92" s="38">
        <f t="shared" si="3"/>
        <v>13500</v>
      </c>
      <c r="G92" s="38">
        <f t="shared" si="3"/>
        <v>7500</v>
      </c>
      <c r="H92" s="13" t="s">
        <v>1998</v>
      </c>
    </row>
    <row r="93" spans="3:8" x14ac:dyDescent="0.2">
      <c r="C93" s="23" t="s">
        <v>3358</v>
      </c>
      <c r="D93" s="38">
        <f t="shared" si="3"/>
        <v>3000</v>
      </c>
      <c r="E93" s="38">
        <f t="shared" si="3"/>
        <v>12000</v>
      </c>
      <c r="F93" s="38">
        <f t="shared" si="3"/>
        <v>10500.000000000002</v>
      </c>
      <c r="G93" s="38">
        <f t="shared" si="3"/>
        <v>4500</v>
      </c>
      <c r="H93" s="13" t="s">
        <v>1999</v>
      </c>
    </row>
    <row r="94" spans="3:8" x14ac:dyDescent="0.2">
      <c r="C94" s="23" t="s">
        <v>3359</v>
      </c>
      <c r="D94" s="38">
        <f t="shared" si="3"/>
        <v>12000</v>
      </c>
      <c r="E94" s="38">
        <f t="shared" si="3"/>
        <v>13500</v>
      </c>
      <c r="F94" s="38">
        <f t="shared" si="3"/>
        <v>9000</v>
      </c>
      <c r="G94" s="38">
        <f t="shared" si="3"/>
        <v>7500</v>
      </c>
      <c r="H94" s="6" t="s">
        <v>3360</v>
      </c>
    </row>
    <row r="95" spans="3:8" x14ac:dyDescent="0.2">
      <c r="C95" s="23" t="s">
        <v>3360</v>
      </c>
      <c r="D95" s="38">
        <f t="shared" si="3"/>
        <v>39000</v>
      </c>
      <c r="E95" s="38">
        <f t="shared" si="3"/>
        <v>34500</v>
      </c>
      <c r="F95" s="38">
        <f t="shared" si="3"/>
        <v>46500</v>
      </c>
      <c r="G95" s="38">
        <f t="shared" si="3"/>
        <v>30000</v>
      </c>
      <c r="H95" s="38">
        <f>SUM(D95:G95)</f>
        <v>150000</v>
      </c>
    </row>
    <row r="98" spans="2:7" ht="13.5" thickBot="1" x14ac:dyDescent="0.25">
      <c r="B98" s="9" t="s">
        <v>2000</v>
      </c>
      <c r="C98" s="9"/>
      <c r="D98" s="9"/>
      <c r="E98" s="9"/>
      <c r="F98" s="9"/>
      <c r="G98" s="9"/>
    </row>
    <row r="100" spans="2:7" x14ac:dyDescent="0.2">
      <c r="C100" s="26" t="s">
        <v>1960</v>
      </c>
      <c r="D100" s="24">
        <v>150</v>
      </c>
    </row>
    <row r="101" spans="2:7" x14ac:dyDescent="0.2">
      <c r="C101" s="26" t="s">
        <v>1959</v>
      </c>
      <c r="D101" s="43">
        <v>0.25</v>
      </c>
    </row>
    <row r="102" spans="2:7" x14ac:dyDescent="0.2">
      <c r="C102" s="26" t="s">
        <v>2001</v>
      </c>
      <c r="D102" s="44">
        <f>D100/(100%+D101)</f>
        <v>120</v>
      </c>
      <c r="E102" s="13" t="s">
        <v>2002</v>
      </c>
    </row>
    <row r="104" spans="2:7" x14ac:dyDescent="0.2">
      <c r="C104" s="15" t="s">
        <v>2003</v>
      </c>
    </row>
    <row r="105" spans="2:7" x14ac:dyDescent="0.2">
      <c r="C105" t="s">
        <v>2004</v>
      </c>
    </row>
    <row r="106" spans="2:7" x14ac:dyDescent="0.2">
      <c r="C106" t="s">
        <v>2005</v>
      </c>
    </row>
    <row r="107" spans="2:7" x14ac:dyDescent="0.2">
      <c r="C107" t="s">
        <v>2006</v>
      </c>
    </row>
    <row r="108" spans="2:7" x14ac:dyDescent="0.2">
      <c r="C108" t="s">
        <v>2007</v>
      </c>
    </row>
    <row r="110" spans="2:7" x14ac:dyDescent="0.2">
      <c r="C110" s="6" t="s">
        <v>2008</v>
      </c>
      <c r="D110" s="45">
        <v>0.17499999999999999</v>
      </c>
    </row>
    <row r="112" spans="2:7" x14ac:dyDescent="0.2">
      <c r="C112" s="46" t="s">
        <v>2009</v>
      </c>
      <c r="D112" s="23" t="s">
        <v>3360</v>
      </c>
      <c r="E112" s="23" t="s">
        <v>2010</v>
      </c>
      <c r="F112" s="26" t="s">
        <v>3542</v>
      </c>
    </row>
    <row r="113" spans="3:7" x14ac:dyDescent="0.2">
      <c r="C113" s="6" t="s">
        <v>3543</v>
      </c>
      <c r="D113" s="47">
        <v>10</v>
      </c>
      <c r="E113" s="48">
        <f>D113/(100%+$D$110)</f>
        <v>8.5106382978723403</v>
      </c>
      <c r="F113" s="48">
        <f>D113-D113/(100%+$D$110)</f>
        <v>1.4893617021276597</v>
      </c>
      <c r="G113" s="13" t="s">
        <v>3544</v>
      </c>
    </row>
    <row r="114" spans="3:7" x14ac:dyDescent="0.2">
      <c r="C114" s="6" t="s">
        <v>3545</v>
      </c>
      <c r="D114" s="47">
        <v>235</v>
      </c>
      <c r="E114" s="48">
        <f>D114/(100%+$D$110)</f>
        <v>200</v>
      </c>
      <c r="F114" s="48">
        <f>D114-D114/(100%+$D$110)</f>
        <v>35</v>
      </c>
    </row>
    <row r="115" spans="3:7" x14ac:dyDescent="0.2">
      <c r="C115" s="6" t="s">
        <v>3543</v>
      </c>
      <c r="D115" s="47">
        <v>117.5</v>
      </c>
      <c r="E115" s="48">
        <f>D115/(100%+$D$110)</f>
        <v>100</v>
      </c>
      <c r="F115" s="48">
        <f>D115-D115/(100%+$D$110)</f>
        <v>17.5</v>
      </c>
    </row>
    <row r="116" spans="3:7" x14ac:dyDescent="0.2">
      <c r="E116" s="4" t="s">
        <v>3546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92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08">
    <pageSetUpPr fitToPage="1"/>
  </sheetPr>
  <dimension ref="A1:J46"/>
  <sheetViews>
    <sheetView showGridLines="0" workbookViewId="0">
      <pane ySplit="1" topLeftCell="A2" activePane="bottomLeft" state="frozen"/>
      <selection activeCell="A3" sqref="A3"/>
      <selection pane="bottomLeft" activeCell="L25" sqref="L25"/>
    </sheetView>
  </sheetViews>
  <sheetFormatPr defaultRowHeight="12.75" x14ac:dyDescent="0.2"/>
  <cols>
    <col min="1" max="1" width="2.7109375" customWidth="1"/>
    <col min="2" max="2" width="5.28515625" customWidth="1"/>
    <col min="3" max="3" width="19.28515625" customWidth="1"/>
    <col min="4" max="4" width="13.5703125" customWidth="1"/>
    <col min="5" max="5" width="11.85546875" customWidth="1"/>
    <col min="6" max="6" width="11.7109375" customWidth="1"/>
    <col min="7" max="7" width="10.42578125" customWidth="1"/>
  </cols>
  <sheetData>
    <row r="1" spans="1:10" ht="54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  <c r="J1" s="478"/>
    </row>
    <row r="3" spans="1:10" x14ac:dyDescent="0.2">
      <c r="B3" t="s">
        <v>2660</v>
      </c>
    </row>
    <row r="4" spans="1:10" x14ac:dyDescent="0.2">
      <c r="B4" t="s">
        <v>2661</v>
      </c>
    </row>
    <row r="5" spans="1:10" x14ac:dyDescent="0.2">
      <c r="B5" t="s">
        <v>1901</v>
      </c>
    </row>
    <row r="6" spans="1:10" x14ac:dyDescent="0.2">
      <c r="B6" t="s">
        <v>1902</v>
      </c>
    </row>
    <row r="8" spans="1:10" x14ac:dyDescent="0.2">
      <c r="B8" t="s">
        <v>1903</v>
      </c>
    </row>
    <row r="9" spans="1:10" x14ac:dyDescent="0.2">
      <c r="B9" t="s">
        <v>1904</v>
      </c>
    </row>
    <row r="11" spans="1:10" ht="13.5" thickBot="1" x14ac:dyDescent="0.25">
      <c r="B11" s="9" t="s">
        <v>1905</v>
      </c>
      <c r="C11" s="9"/>
      <c r="D11" s="9"/>
      <c r="E11" s="9"/>
      <c r="F11" s="9"/>
      <c r="G11" s="9"/>
      <c r="H11" s="9"/>
    </row>
    <row r="13" spans="1:10" x14ac:dyDescent="0.2">
      <c r="C13" s="23" t="s">
        <v>1906</v>
      </c>
      <c r="D13" s="23" t="s">
        <v>1907</v>
      </c>
    </row>
    <row r="14" spans="1:10" x14ac:dyDescent="0.2">
      <c r="C14" s="24" t="s">
        <v>1908</v>
      </c>
      <c r="D14" s="25" t="str">
        <f>LEFT(C14,FIND(" ",C14,1))</f>
        <v xml:space="preserve">Alan </v>
      </c>
      <c r="E14" s="13" t="s">
        <v>1909</v>
      </c>
    </row>
    <row r="15" spans="1:10" x14ac:dyDescent="0.2">
      <c r="C15" s="24" t="s">
        <v>1910</v>
      </c>
      <c r="D15" s="25" t="str">
        <f>LEFT(C15,FIND(" ",C15,1))</f>
        <v xml:space="preserve">Bob </v>
      </c>
      <c r="E15" s="13" t="s">
        <v>1911</v>
      </c>
    </row>
    <row r="16" spans="1:10" x14ac:dyDescent="0.2">
      <c r="C16" s="24" t="s">
        <v>1912</v>
      </c>
      <c r="D16" s="25" t="str">
        <f>LEFT(C16,FIND(" ",C16,1))</f>
        <v xml:space="preserve">Carol </v>
      </c>
      <c r="E16" s="13" t="s">
        <v>1913</v>
      </c>
    </row>
    <row r="19" spans="2:8" ht="13.5" thickBot="1" x14ac:dyDescent="0.25">
      <c r="B19" s="9" t="s">
        <v>1914</v>
      </c>
      <c r="C19" s="9"/>
      <c r="D19" s="9"/>
      <c r="E19" s="9"/>
      <c r="F19" s="9"/>
      <c r="G19" s="9"/>
      <c r="H19" s="9"/>
    </row>
    <row r="21" spans="2:8" x14ac:dyDescent="0.2">
      <c r="C21" s="23" t="s">
        <v>1906</v>
      </c>
      <c r="D21" s="26" t="s">
        <v>1915</v>
      </c>
    </row>
    <row r="22" spans="2:8" x14ac:dyDescent="0.2">
      <c r="C22" s="24" t="s">
        <v>1908</v>
      </c>
      <c r="D22" s="25" t="str">
        <f>RIGHT(C22,LEN(C22)-FIND(" ",C22))</f>
        <v>Jones</v>
      </c>
      <c r="E22" s="13" t="s">
        <v>1916</v>
      </c>
    </row>
    <row r="23" spans="2:8" x14ac:dyDescent="0.2">
      <c r="C23" s="24" t="s">
        <v>1910</v>
      </c>
      <c r="D23" s="25" t="str">
        <f>RIGHT(C23,LEN(C23)-FIND(" ",C23))</f>
        <v>Smith</v>
      </c>
      <c r="E23" s="13" t="s">
        <v>1917</v>
      </c>
    </row>
    <row r="24" spans="2:8" x14ac:dyDescent="0.2">
      <c r="C24" s="24" t="s">
        <v>1912</v>
      </c>
      <c r="D24" s="25" t="str">
        <f>RIGHT(C24,LEN(C24)-FIND(" ",C24))</f>
        <v>Williams</v>
      </c>
      <c r="E24" s="13" t="s">
        <v>1918</v>
      </c>
    </row>
    <row r="28" spans="2:8" ht="13.5" thickBot="1" x14ac:dyDescent="0.25">
      <c r="B28" s="9" t="s">
        <v>1919</v>
      </c>
      <c r="C28" s="9"/>
      <c r="D28" s="9"/>
      <c r="E28" s="9"/>
      <c r="F28" s="9"/>
      <c r="G28" s="9"/>
      <c r="H28" s="9"/>
    </row>
    <row r="30" spans="2:8" x14ac:dyDescent="0.2">
      <c r="B30" t="s">
        <v>1920</v>
      </c>
    </row>
    <row r="31" spans="2:8" x14ac:dyDescent="0.2">
      <c r="B31" t="s">
        <v>1921</v>
      </c>
    </row>
    <row r="32" spans="2:8" x14ac:dyDescent="0.2">
      <c r="B32" t="s">
        <v>1922</v>
      </c>
    </row>
    <row r="34" spans="2:8" x14ac:dyDescent="0.2">
      <c r="C34" s="23" t="s">
        <v>1906</v>
      </c>
      <c r="D34" s="26" t="s">
        <v>1915</v>
      </c>
    </row>
    <row r="35" spans="2:8" x14ac:dyDescent="0.2">
      <c r="C35" s="24" t="s">
        <v>1923</v>
      </c>
      <c r="D35" s="25" t="str">
        <f>RIGHT(C35,LEN(C35)-FIND("#",SUBSTITUTE(C35," ","#",LEN(C35)-LEN(SUBSTITUTE(C35," ","")))))</f>
        <v>Jones</v>
      </c>
    </row>
    <row r="36" spans="2:8" x14ac:dyDescent="0.2">
      <c r="C36" s="24" t="s">
        <v>1924</v>
      </c>
      <c r="D36" s="25" t="str">
        <f>RIGHT(C36,LEN(C36)-FIND("#",SUBSTITUTE(C36," ","#",LEN(C36)-LEN(SUBSTITUTE(C36," ","")))))</f>
        <v>Smith</v>
      </c>
    </row>
    <row r="37" spans="2:8" x14ac:dyDescent="0.2">
      <c r="C37" s="24" t="s">
        <v>1925</v>
      </c>
      <c r="D37" s="25" t="str">
        <f>RIGHT(C37,LEN(C37)-FIND("#",SUBSTITUTE(C37," ","#",LEN(C37)-LEN(SUBSTITUTE(C37," ","")))))</f>
        <v>Williams</v>
      </c>
    </row>
    <row r="38" spans="2:8" ht="13.5" x14ac:dyDescent="0.25">
      <c r="D38" s="27" t="s">
        <v>1926</v>
      </c>
    </row>
    <row r="40" spans="2:8" ht="13.5" thickBot="1" x14ac:dyDescent="0.25">
      <c r="B40" s="9" t="s">
        <v>1927</v>
      </c>
      <c r="C40" s="9"/>
      <c r="D40" s="9"/>
      <c r="E40" s="9"/>
      <c r="F40" s="9"/>
      <c r="G40" s="9"/>
      <c r="H40" s="9"/>
    </row>
    <row r="42" spans="2:8" x14ac:dyDescent="0.2">
      <c r="C42" s="23" t="s">
        <v>1906</v>
      </c>
      <c r="D42" s="26" t="s">
        <v>1928</v>
      </c>
    </row>
    <row r="43" spans="2:8" x14ac:dyDescent="0.2">
      <c r="C43" s="24" t="s">
        <v>1923</v>
      </c>
      <c r="D43" s="25" t="str">
        <f>LEFT(RIGHT(C43,LEN(C43)-FIND(" ",C43,1)),FIND(" ",RIGHT(C43,LEN(C43)-FIND(" ",C43,1)),1))</f>
        <v xml:space="preserve">David </v>
      </c>
    </row>
    <row r="44" spans="2:8" x14ac:dyDescent="0.2">
      <c r="C44" s="24" t="s">
        <v>1924</v>
      </c>
      <c r="D44" s="25" t="str">
        <f>LEFT(RIGHT(C44,LEN(C44)-FIND(" ",C44,1)),FIND(" ",RIGHT(C44,LEN(C44)-FIND(" ",C44,1)),1))</f>
        <v xml:space="preserve">John </v>
      </c>
    </row>
    <row r="45" spans="2:8" x14ac:dyDescent="0.2">
      <c r="C45" s="24" t="s">
        <v>1925</v>
      </c>
      <c r="D45" s="25" t="str">
        <f>LEFT(RIGHT(C45,LEN(C45)-FIND(" ",C45,1)),FIND(" ",RIGHT(C45,LEN(C45)-FIND(" ",C45,1)),1))</f>
        <v xml:space="preserve">Susan </v>
      </c>
    </row>
    <row r="46" spans="2:8" ht="13.5" x14ac:dyDescent="0.25">
      <c r="D46" s="27" t="s">
        <v>1929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fitToHeight="5" orientation="portrait" r:id="rId1"/>
  <headerFooter alignWithMargins="0">
    <oddHeader>&amp;LExcel Function Dictionary
© 1998 - 2000 Peter Noneley&amp;R&amp;A
Page &amp;P of &amp;N</oddHeader>
  </headerFooter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73"/>
  <sheetViews>
    <sheetView showGridLines="0" workbookViewId="0">
      <pane ySplit="1" topLeftCell="A8" activePane="bottomLeft" state="frozen"/>
      <selection pane="bottomLeft" activeCell="C1" sqref="C1"/>
    </sheetView>
  </sheetViews>
  <sheetFormatPr defaultRowHeight="12.75" x14ac:dyDescent="0.2"/>
  <cols>
    <col min="1" max="1" width="3.5703125" customWidth="1"/>
    <col min="8" max="8" width="27.42578125" customWidth="1"/>
  </cols>
  <sheetData>
    <row r="1" spans="1:9" ht="45.75" customHeight="1" x14ac:dyDescent="0.25">
      <c r="A1" s="476"/>
      <c r="B1" s="476"/>
      <c r="C1" s="476"/>
      <c r="D1" s="476"/>
      <c r="E1" s="476"/>
      <c r="F1" s="476"/>
      <c r="G1" s="476"/>
      <c r="H1" s="476"/>
      <c r="I1" s="478"/>
    </row>
    <row r="3" spans="1:9" x14ac:dyDescent="0.2">
      <c r="B3" t="s">
        <v>2481</v>
      </c>
    </row>
    <row r="4" spans="1:9" x14ac:dyDescent="0.2">
      <c r="B4" t="s">
        <v>2482</v>
      </c>
    </row>
    <row r="5" spans="1:9" x14ac:dyDescent="0.2">
      <c r="B5" t="s">
        <v>2483</v>
      </c>
    </row>
    <row r="6" spans="1:9" x14ac:dyDescent="0.2">
      <c r="B6" t="s">
        <v>2515</v>
      </c>
    </row>
    <row r="8" spans="1:9" ht="13.5" thickBot="1" x14ac:dyDescent="0.25">
      <c r="B8" s="9" t="s">
        <v>2484</v>
      </c>
      <c r="C8" s="9"/>
      <c r="D8" s="9"/>
      <c r="E8" s="9"/>
      <c r="F8" s="9"/>
      <c r="G8" s="9"/>
      <c r="H8" s="9"/>
    </row>
    <row r="9" spans="1:9" x14ac:dyDescent="0.2">
      <c r="B9" t="s">
        <v>2485</v>
      </c>
    </row>
    <row r="10" spans="1:9" x14ac:dyDescent="0.2">
      <c r="B10" t="s">
        <v>2516</v>
      </c>
    </row>
    <row r="12" spans="1:9" x14ac:dyDescent="0.2">
      <c r="C12" s="10">
        <v>6.25E-2</v>
      </c>
      <c r="D12" s="10">
        <v>0.52083333333333337</v>
      </c>
      <c r="E12" s="10">
        <v>0.84375</v>
      </c>
      <c r="F12" s="10">
        <v>0.94791666666666663</v>
      </c>
    </row>
    <row r="14" spans="1:9" x14ac:dyDescent="0.2">
      <c r="B14" t="s">
        <v>2486</v>
      </c>
    </row>
    <row r="15" spans="1:9" x14ac:dyDescent="0.2">
      <c r="B15" t="s">
        <v>3808</v>
      </c>
    </row>
    <row r="16" spans="1:9" x14ac:dyDescent="0.2">
      <c r="B16" t="s">
        <v>2487</v>
      </c>
    </row>
    <row r="18" spans="2:8" x14ac:dyDescent="0.2">
      <c r="C18" s="11">
        <v>6.25E-2</v>
      </c>
      <c r="D18" s="11">
        <v>0.5625</v>
      </c>
      <c r="E18" s="11">
        <v>0.42708333333333331</v>
      </c>
      <c r="F18" s="11">
        <v>0.92708333333333337</v>
      </c>
    </row>
    <row r="20" spans="2:8" ht="13.5" thickBot="1" x14ac:dyDescent="0.25">
      <c r="B20" s="9" t="s">
        <v>2488</v>
      </c>
      <c r="C20" s="9"/>
      <c r="D20" s="9"/>
      <c r="E20" s="9"/>
      <c r="F20" s="9"/>
      <c r="G20" s="9"/>
      <c r="H20" s="9"/>
    </row>
    <row r="21" spans="2:8" x14ac:dyDescent="0.2">
      <c r="B21" t="s">
        <v>2489</v>
      </c>
    </row>
    <row r="23" spans="2:8" x14ac:dyDescent="0.2">
      <c r="C23" s="6" t="s">
        <v>2490</v>
      </c>
      <c r="D23" s="6" t="s">
        <v>2491</v>
      </c>
      <c r="E23" s="6" t="s">
        <v>2492</v>
      </c>
    </row>
    <row r="24" spans="2:8" x14ac:dyDescent="0.2">
      <c r="C24" s="12">
        <v>6.25E-2</v>
      </c>
      <c r="D24" s="12">
        <v>0.10416666666666667</v>
      </c>
      <c r="E24" s="10">
        <f>D24-C24</f>
        <v>4.1666666666666671E-2</v>
      </c>
      <c r="F24" s="13" t="s">
        <v>2493</v>
      </c>
    </row>
    <row r="25" spans="2:8" x14ac:dyDescent="0.2">
      <c r="C25" s="12">
        <v>0.33333333333333331</v>
      </c>
      <c r="D25" s="12">
        <v>0.70833333333333337</v>
      </c>
      <c r="E25" s="10">
        <f>D25-C25</f>
        <v>0.37500000000000006</v>
      </c>
      <c r="F25" s="13" t="s">
        <v>2494</v>
      </c>
    </row>
    <row r="26" spans="2:8" x14ac:dyDescent="0.2">
      <c r="C26" s="14">
        <v>0.33333333333333331</v>
      </c>
      <c r="D26" s="14">
        <v>0.70833333333333337</v>
      </c>
      <c r="E26" s="11">
        <f>D26-C26</f>
        <v>0.37500000000000006</v>
      </c>
      <c r="F26" t="s">
        <v>2495</v>
      </c>
    </row>
    <row r="27" spans="2:8" x14ac:dyDescent="0.2">
      <c r="F27" t="s">
        <v>2496</v>
      </c>
    </row>
    <row r="28" spans="2:8" x14ac:dyDescent="0.2">
      <c r="F28" t="s">
        <v>2497</v>
      </c>
    </row>
    <row r="29" spans="2:8" x14ac:dyDescent="0.2">
      <c r="F29" t="s">
        <v>2498</v>
      </c>
    </row>
    <row r="31" spans="2:8" ht="13.5" thickBot="1" x14ac:dyDescent="0.25">
      <c r="B31" s="9" t="s">
        <v>2499</v>
      </c>
      <c r="C31" s="9"/>
      <c r="D31" s="9"/>
      <c r="E31" s="9"/>
      <c r="F31" s="9"/>
      <c r="G31" s="9"/>
      <c r="H31" s="9"/>
    </row>
    <row r="32" spans="2:8" x14ac:dyDescent="0.2">
      <c r="B32" t="s">
        <v>2500</v>
      </c>
    </row>
    <row r="33" spans="2:8" x14ac:dyDescent="0.2">
      <c r="B33" t="s">
        <v>2501</v>
      </c>
    </row>
    <row r="34" spans="2:8" x14ac:dyDescent="0.2">
      <c r="B34" t="s">
        <v>2502</v>
      </c>
    </row>
    <row r="36" spans="2:8" x14ac:dyDescent="0.2">
      <c r="C36" s="6" t="s">
        <v>2490</v>
      </c>
      <c r="D36" s="6" t="s">
        <v>2491</v>
      </c>
      <c r="E36" s="6" t="s">
        <v>2492</v>
      </c>
    </row>
    <row r="37" spans="2:8" x14ac:dyDescent="0.2">
      <c r="C37" s="12">
        <v>6.25E-2</v>
      </c>
      <c r="D37" s="12">
        <v>0.10416666666666667</v>
      </c>
      <c r="E37" s="10">
        <f>D37-C37</f>
        <v>4.1666666666666671E-2</v>
      </c>
    </row>
    <row r="38" spans="2:8" x14ac:dyDescent="0.2">
      <c r="C38" s="12">
        <v>0.33333333333333331</v>
      </c>
      <c r="D38" s="12">
        <v>0.70833333333333337</v>
      </c>
      <c r="E38" s="10">
        <f>D38-C38</f>
        <v>0.37500000000000006</v>
      </c>
    </row>
    <row r="39" spans="2:8" x14ac:dyDescent="0.2">
      <c r="C39" s="14">
        <v>0.3125</v>
      </c>
      <c r="D39" s="14">
        <v>0.73958333333333337</v>
      </c>
      <c r="E39" s="10">
        <f>D39-C39</f>
        <v>0.42708333333333337</v>
      </c>
    </row>
    <row r="40" spans="2:8" x14ac:dyDescent="0.2">
      <c r="E40" s="10">
        <f>SUM(E37:E39)</f>
        <v>0.84375000000000011</v>
      </c>
    </row>
    <row r="42" spans="2:8" ht="13.5" thickBot="1" x14ac:dyDescent="0.25">
      <c r="B42" s="9" t="s">
        <v>2503</v>
      </c>
      <c r="C42" s="9"/>
      <c r="D42" s="9"/>
      <c r="E42" s="9"/>
      <c r="F42" s="9"/>
      <c r="G42" s="9"/>
      <c r="H42" s="9"/>
    </row>
    <row r="43" spans="2:8" x14ac:dyDescent="0.2">
      <c r="B43" t="s">
        <v>2504</v>
      </c>
    </row>
    <row r="44" spans="2:8" x14ac:dyDescent="0.2">
      <c r="B44" t="s">
        <v>2505</v>
      </c>
    </row>
    <row r="45" spans="2:8" x14ac:dyDescent="0.2">
      <c r="B45" t="s">
        <v>2506</v>
      </c>
    </row>
    <row r="47" spans="2:8" x14ac:dyDescent="0.2">
      <c r="B47" s="15" t="s">
        <v>2507</v>
      </c>
      <c r="C47" s="15"/>
      <c r="D47" s="15"/>
    </row>
    <row r="48" spans="2:8" x14ac:dyDescent="0.2">
      <c r="C48" s="6" t="s">
        <v>2490</v>
      </c>
      <c r="D48" s="6" t="s">
        <v>2491</v>
      </c>
      <c r="E48" s="6" t="s">
        <v>2492</v>
      </c>
    </row>
    <row r="49" spans="2:8" x14ac:dyDescent="0.2">
      <c r="C49" s="12">
        <v>0.29166666666666669</v>
      </c>
      <c r="D49" s="12">
        <v>0.77083333333333337</v>
      </c>
      <c r="E49" s="10">
        <f>D49-C49</f>
        <v>0.47916666666666669</v>
      </c>
    </row>
    <row r="50" spans="2:8" x14ac:dyDescent="0.2">
      <c r="C50" s="12">
        <v>0.33333333333333331</v>
      </c>
      <c r="D50" s="12">
        <v>0.70833333333333337</v>
      </c>
      <c r="E50" s="10">
        <f>D50-C50</f>
        <v>0.37500000000000006</v>
      </c>
    </row>
    <row r="51" spans="2:8" x14ac:dyDescent="0.2">
      <c r="C51" s="12">
        <v>0.3125</v>
      </c>
      <c r="D51" s="12">
        <v>0.73958333333333337</v>
      </c>
      <c r="E51" s="10">
        <f>D51-C51</f>
        <v>0.42708333333333337</v>
      </c>
    </row>
    <row r="52" spans="2:8" x14ac:dyDescent="0.2">
      <c r="D52" s="6" t="s">
        <v>3360</v>
      </c>
      <c r="E52" s="10">
        <f>SUM(E49:E51)</f>
        <v>1.28125</v>
      </c>
      <c r="F52" s="13" t="s">
        <v>2508</v>
      </c>
    </row>
    <row r="54" spans="2:8" x14ac:dyDescent="0.2">
      <c r="B54" s="15" t="s">
        <v>2509</v>
      </c>
    </row>
    <row r="55" spans="2:8" x14ac:dyDescent="0.2">
      <c r="C55" s="6" t="s">
        <v>2490</v>
      </c>
      <c r="D55" s="6" t="s">
        <v>2491</v>
      </c>
      <c r="E55" s="6" t="s">
        <v>2492</v>
      </c>
    </row>
    <row r="56" spans="2:8" x14ac:dyDescent="0.2">
      <c r="C56" s="12">
        <v>0.29166666666666669</v>
      </c>
      <c r="D56" s="12">
        <v>0.77083333333333337</v>
      </c>
      <c r="E56" s="10">
        <f>D56-C56</f>
        <v>0.47916666666666669</v>
      </c>
    </row>
    <row r="57" spans="2:8" x14ac:dyDescent="0.2">
      <c r="C57" s="12">
        <v>0.33333333333333331</v>
      </c>
      <c r="D57" s="12">
        <v>0.70833333333333337</v>
      </c>
      <c r="E57" s="10">
        <f>D57-C57</f>
        <v>0.37500000000000006</v>
      </c>
    </row>
    <row r="58" spans="2:8" x14ac:dyDescent="0.2">
      <c r="C58" s="12">
        <v>0.3125</v>
      </c>
      <c r="D58" s="12">
        <v>0.73958333333333337</v>
      </c>
      <c r="E58" s="10">
        <f>D58-C58</f>
        <v>0.42708333333333337</v>
      </c>
    </row>
    <row r="59" spans="2:8" x14ac:dyDescent="0.2">
      <c r="D59" s="6" t="s">
        <v>3360</v>
      </c>
      <c r="E59" s="16">
        <f>SUM(E56:E58)</f>
        <v>1.28125</v>
      </c>
      <c r="F59" s="13" t="s">
        <v>2510</v>
      </c>
    </row>
    <row r="62" spans="2:8" ht="13.5" thickBot="1" x14ac:dyDescent="0.25">
      <c r="B62" s="9" t="s">
        <v>2511</v>
      </c>
      <c r="C62" s="9"/>
      <c r="D62" s="9"/>
      <c r="E62" s="9"/>
      <c r="F62" s="9"/>
      <c r="G62" s="9"/>
      <c r="H62" s="9"/>
    </row>
    <row r="63" spans="2:8" x14ac:dyDescent="0.2">
      <c r="B63" t="s">
        <v>2512</v>
      </c>
    </row>
    <row r="64" spans="2:8" x14ac:dyDescent="0.2">
      <c r="B64" t="s">
        <v>2513</v>
      </c>
    </row>
    <row r="66" spans="2:2" x14ac:dyDescent="0.2">
      <c r="B66" t="s">
        <v>2514</v>
      </c>
    </row>
    <row r="67" spans="2:2" x14ac:dyDescent="0.2">
      <c r="B67" t="s">
        <v>3809</v>
      </c>
    </row>
    <row r="68" spans="2:2" x14ac:dyDescent="0.2">
      <c r="B68" t="s">
        <v>3810</v>
      </c>
    </row>
    <row r="69" spans="2:2" x14ac:dyDescent="0.2">
      <c r="B69" t="s">
        <v>3811</v>
      </c>
    </row>
    <row r="70" spans="2:2" x14ac:dyDescent="0.2">
      <c r="B70" t="s">
        <v>3812</v>
      </c>
    </row>
    <row r="71" spans="2:2" x14ac:dyDescent="0.2">
      <c r="B71" t="s">
        <v>3813</v>
      </c>
    </row>
    <row r="72" spans="2:2" x14ac:dyDescent="0.2">
      <c r="B72" t="s">
        <v>3814</v>
      </c>
    </row>
    <row r="73" spans="2:2" x14ac:dyDescent="0.2">
      <c r="B73" t="s">
        <v>3815</v>
      </c>
    </row>
  </sheetData>
  <sheetProtection password="F663" sheet="1" objects="1" scenarios="1"/>
  <phoneticPr fontId="0" type="noConversion"/>
  <printOptions headings="1" gridLines="1"/>
  <pageMargins left="0.74803149606299213" right="0.74803149606299213" top="0.98425196850393704" bottom="0.98425196850393704" header="0.51181102362204722" footer="0.51181102362204722"/>
  <pageSetup paperSize="9" scale="80" fitToHeight="5" orientation="portrait" horizontalDpi="0" verticalDpi="0" r:id="rId1"/>
  <headerFooter alignWithMargins="0">
    <oddHeader>&amp;LExcel Function Dictionary
© 1998 - 2000 Peter Noneley&amp;R&amp;A
Page &amp;P of &amp;N</oddHeader>
  </headerFooter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0:M16"/>
  <sheetViews>
    <sheetView showGridLines="0" workbookViewId="0">
      <pane ySplit="5" topLeftCell="A6" activePane="bottomLeft" state="frozen"/>
      <selection pane="bottomLeft" activeCell="H22" sqref="H22"/>
    </sheetView>
  </sheetViews>
  <sheetFormatPr defaultRowHeight="12.75" x14ac:dyDescent="0.2"/>
  <sheetData>
    <row r="10" spans="9:13" ht="15" x14ac:dyDescent="0.2">
      <c r="I10" s="517"/>
      <c r="J10" s="517"/>
      <c r="K10" s="517"/>
      <c r="L10" s="518"/>
      <c r="M10" s="518"/>
    </row>
    <row r="11" spans="9:13" ht="15" x14ac:dyDescent="0.2">
      <c r="I11" s="517"/>
      <c r="J11" s="517"/>
      <c r="K11" s="517"/>
      <c r="L11" s="518"/>
      <c r="M11" s="518"/>
    </row>
    <row r="12" spans="9:13" ht="15" x14ac:dyDescent="0.2">
      <c r="I12" s="517"/>
      <c r="J12" s="517"/>
      <c r="K12" s="517"/>
      <c r="L12" s="518"/>
      <c r="M12" s="518"/>
    </row>
    <row r="13" spans="9:13" ht="15" x14ac:dyDescent="0.2">
      <c r="I13" s="517"/>
      <c r="J13" s="517"/>
      <c r="K13" s="517"/>
      <c r="L13" s="518"/>
      <c r="M13" s="518"/>
    </row>
    <row r="14" spans="9:13" ht="15" x14ac:dyDescent="0.2">
      <c r="I14" s="517"/>
      <c r="J14" s="517"/>
      <c r="K14" s="517"/>
      <c r="L14" s="518"/>
      <c r="M14" s="518"/>
    </row>
    <row r="15" spans="9:13" ht="15" x14ac:dyDescent="0.2">
      <c r="I15" s="517"/>
      <c r="J15" s="517"/>
      <c r="K15" s="517"/>
      <c r="L15" s="518"/>
      <c r="M15" s="518"/>
    </row>
    <row r="16" spans="9:13" ht="15" x14ac:dyDescent="0.2">
      <c r="I16" s="517"/>
      <c r="J16" s="517"/>
      <c r="K16" s="517"/>
      <c r="L16" s="518"/>
      <c r="M16" s="518"/>
    </row>
  </sheetData>
  <sheetProtection password="F663" sheet="1" objects="1" scenarios="1" selectLockedCells="1"/>
  <phoneticPr fontId="0" type="noConversion"/>
  <pageMargins left="0.75" right="0.75" top="1" bottom="1" header="0.5" footer="0.5"/>
  <headerFooter alignWithMargins="0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156</vt:i4>
      </vt:variant>
      <vt:variant>
        <vt:lpstr>Named Ranges</vt:lpstr>
      </vt:variant>
      <vt:variant>
        <vt:i4>6</vt:i4>
      </vt:variant>
    </vt:vector>
  </HeadingPairs>
  <TitlesOfParts>
    <vt:vector size="162" baseType="lpstr">
      <vt:lpstr>Home1</vt:lpstr>
      <vt:lpstr>Home</vt:lpstr>
      <vt:lpstr>YEARFRAC</vt:lpstr>
      <vt:lpstr>YEAR</vt:lpstr>
      <vt:lpstr>WORKDAY</vt:lpstr>
      <vt:lpstr>WEEKDAY</vt:lpstr>
      <vt:lpstr>VLOOKUP</vt:lpstr>
      <vt:lpstr>VARP</vt:lpstr>
      <vt:lpstr>VAR</vt:lpstr>
      <vt:lpstr>VALUE</vt:lpstr>
      <vt:lpstr>UPPER</vt:lpstr>
      <vt:lpstr>TRUNC</vt:lpstr>
      <vt:lpstr>TRIM</vt:lpstr>
      <vt:lpstr>TREND</vt:lpstr>
      <vt:lpstr>TRANSPOSE</vt:lpstr>
      <vt:lpstr>TODAY</vt:lpstr>
      <vt:lpstr>TIMEVALUE</vt:lpstr>
      <vt:lpstr>TIME</vt:lpstr>
      <vt:lpstr>TEXT</vt:lpstr>
      <vt:lpstr>T</vt:lpstr>
      <vt:lpstr>SYD</vt:lpstr>
      <vt:lpstr>SUMPRODUCT</vt:lpstr>
      <vt:lpstr>SUMIF</vt:lpstr>
      <vt:lpstr>SUM_with_OFFSET</vt:lpstr>
      <vt:lpstr>SUM_as_Running_Total</vt:lpstr>
      <vt:lpstr>SUM</vt:lpstr>
      <vt:lpstr>SUBSTITUTE</vt:lpstr>
      <vt:lpstr>STDEVP</vt:lpstr>
      <vt:lpstr>STDEV</vt:lpstr>
      <vt:lpstr>SMALL</vt:lpstr>
      <vt:lpstr>SLN</vt:lpstr>
      <vt:lpstr>SIGN</vt:lpstr>
      <vt:lpstr>SECOND</vt:lpstr>
      <vt:lpstr>ROUNDUP</vt:lpstr>
      <vt:lpstr>ROUNDDOWN</vt:lpstr>
      <vt:lpstr>ROUND</vt:lpstr>
      <vt:lpstr>ROMAN</vt:lpstr>
      <vt:lpstr>RIGHT</vt:lpstr>
      <vt:lpstr>REPT</vt:lpstr>
      <vt:lpstr>REPLACE</vt:lpstr>
      <vt:lpstr>RANK</vt:lpstr>
      <vt:lpstr>RANDBETWEEN</vt:lpstr>
      <vt:lpstr>RAND</vt:lpstr>
      <vt:lpstr>QUOTIENT</vt:lpstr>
      <vt:lpstr>QUARTILE</vt:lpstr>
      <vt:lpstr>PROPER</vt:lpstr>
      <vt:lpstr>PRODUCT</vt:lpstr>
      <vt:lpstr>POWER</vt:lpstr>
      <vt:lpstr>PI</vt:lpstr>
      <vt:lpstr>PERMUT</vt:lpstr>
      <vt:lpstr> Ordering Stock</vt:lpstr>
      <vt:lpstr>OR</vt:lpstr>
      <vt:lpstr>ODD</vt:lpstr>
      <vt:lpstr>NOW</vt:lpstr>
      <vt:lpstr>NOT</vt:lpstr>
      <vt:lpstr>NETWORKDAYS</vt:lpstr>
      <vt:lpstr>NA</vt:lpstr>
      <vt:lpstr>N</vt:lpstr>
      <vt:lpstr>MROUND</vt:lpstr>
      <vt:lpstr>MONTH</vt:lpstr>
      <vt:lpstr>MODE</vt:lpstr>
      <vt:lpstr>MOD</vt:lpstr>
      <vt:lpstr>MMULT</vt:lpstr>
      <vt:lpstr>MINUTE</vt:lpstr>
      <vt:lpstr>MIN</vt:lpstr>
      <vt:lpstr>MID</vt:lpstr>
      <vt:lpstr>MEDIAN</vt:lpstr>
      <vt:lpstr>MAX</vt:lpstr>
      <vt:lpstr>MATCH</vt:lpstr>
      <vt:lpstr>LOWER</vt:lpstr>
      <vt:lpstr>LOOKUP (Vector)</vt:lpstr>
      <vt:lpstr>LOOKUP (Array)</vt:lpstr>
      <vt:lpstr>LEN</vt:lpstr>
      <vt:lpstr>LEFT</vt:lpstr>
      <vt:lpstr>LCM</vt:lpstr>
      <vt:lpstr>LARGE</vt:lpstr>
      <vt:lpstr>ISTEXT</vt:lpstr>
      <vt:lpstr>ISREF</vt:lpstr>
      <vt:lpstr>ISODD</vt:lpstr>
      <vt:lpstr>ISNUMBER</vt:lpstr>
      <vt:lpstr>ISNONTEXT</vt:lpstr>
      <vt:lpstr>ISNA</vt:lpstr>
      <vt:lpstr>ISLOGICAL</vt:lpstr>
      <vt:lpstr>ISEVEN</vt:lpstr>
      <vt:lpstr>ISERROR</vt:lpstr>
      <vt:lpstr>ISERR</vt:lpstr>
      <vt:lpstr>ISBLANK</vt:lpstr>
      <vt:lpstr>INT</vt:lpstr>
      <vt:lpstr>INFO</vt:lpstr>
      <vt:lpstr>INDIRECT</vt:lpstr>
      <vt:lpstr>INDEX</vt:lpstr>
      <vt:lpstr>IF</vt:lpstr>
      <vt:lpstr>HOUR</vt:lpstr>
      <vt:lpstr>HLOOKUP</vt:lpstr>
      <vt:lpstr>HEX2DEC</vt:lpstr>
      <vt:lpstr>GESTEP</vt:lpstr>
      <vt:lpstr>GCD</vt:lpstr>
      <vt:lpstr>FREQUENCY</vt:lpstr>
      <vt:lpstr>FORECAST</vt:lpstr>
      <vt:lpstr>FLOOR</vt:lpstr>
      <vt:lpstr>FIXED</vt:lpstr>
      <vt:lpstr>FIND</vt:lpstr>
      <vt:lpstr>FACT</vt:lpstr>
      <vt:lpstr>EXACT</vt:lpstr>
      <vt:lpstr>EVEN</vt:lpstr>
      <vt:lpstr>ERROR.TYPE</vt:lpstr>
      <vt:lpstr>EOMONTH</vt:lpstr>
      <vt:lpstr>EDATE</vt:lpstr>
      <vt:lpstr>DSUM</vt:lpstr>
      <vt:lpstr>DOLLAR</vt:lpstr>
      <vt:lpstr>DMIN</vt:lpstr>
      <vt:lpstr>DMAX</vt:lpstr>
      <vt:lpstr>DGET</vt:lpstr>
      <vt:lpstr>DELTA</vt:lpstr>
      <vt:lpstr>DEC2HEX</vt:lpstr>
      <vt:lpstr>DEC2BIN</vt:lpstr>
      <vt:lpstr>DCOUNTA</vt:lpstr>
      <vt:lpstr>DCOUNT</vt:lpstr>
      <vt:lpstr>DB</vt:lpstr>
      <vt:lpstr>DAYS360</vt:lpstr>
      <vt:lpstr>DAY</vt:lpstr>
      <vt:lpstr>DAVERAGE</vt:lpstr>
      <vt:lpstr>DATEVALUE</vt:lpstr>
      <vt:lpstr>DATEDIF</vt:lpstr>
      <vt:lpstr>DATE</vt:lpstr>
      <vt:lpstr>COUNTIF</vt:lpstr>
      <vt:lpstr>COUNTBLANK</vt:lpstr>
      <vt:lpstr>COUNTA</vt:lpstr>
      <vt:lpstr>COUNT</vt:lpstr>
      <vt:lpstr>CORREL</vt:lpstr>
      <vt:lpstr>CONVERT</vt:lpstr>
      <vt:lpstr>CONCATENATE</vt:lpstr>
      <vt:lpstr>COMBIN</vt:lpstr>
      <vt:lpstr>CODE</vt:lpstr>
      <vt:lpstr>CLEAN</vt:lpstr>
      <vt:lpstr>CHOOSE</vt:lpstr>
      <vt:lpstr>CHAR</vt:lpstr>
      <vt:lpstr>CELL</vt:lpstr>
      <vt:lpstr>CEILING</vt:lpstr>
      <vt:lpstr>BIN2DEC</vt:lpstr>
      <vt:lpstr>AVERAGE</vt:lpstr>
      <vt:lpstr>AREAS</vt:lpstr>
      <vt:lpstr>AND</vt:lpstr>
      <vt:lpstr>ADDRESS</vt:lpstr>
      <vt:lpstr>ABS</vt:lpstr>
      <vt:lpstr> AutoSum Shortcut Key</vt:lpstr>
      <vt:lpstr> Age Calculation</vt:lpstr>
      <vt:lpstr> Brackets in formula</vt:lpstr>
      <vt:lpstr> Filename formula</vt:lpstr>
      <vt:lpstr> Instant Charts</vt:lpstr>
      <vt:lpstr>SUM_using_names</vt:lpstr>
      <vt:lpstr> Show all formula</vt:lpstr>
      <vt:lpstr> Percentages</vt:lpstr>
      <vt:lpstr> Split ForenameSurname</vt:lpstr>
      <vt:lpstr> Time Calculation</vt:lpstr>
      <vt:lpstr>Help</vt:lpstr>
      <vt:lpstr>INDEX!EastAndWest</vt:lpstr>
      <vt:lpstr>English</vt:lpstr>
      <vt:lpstr>Maths</vt:lpstr>
      <vt:lpstr>INDEX!NorthAndSouth</vt:lpstr>
      <vt:lpstr>AREAS!PeopleLists</vt:lpstr>
      <vt:lpstr>Physics</vt:lpstr>
    </vt:vector>
  </TitlesOfParts>
  <Company>www.sanketham.tk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FORMULAE</dc:title>
  <dc:creator>PS</dc:creator>
  <cp:lastModifiedBy>Omkumar Barot</cp:lastModifiedBy>
  <cp:lastPrinted>2008-06-09T18:30:38Z</cp:lastPrinted>
  <dcterms:created xsi:type="dcterms:W3CDTF">2008-06-07T18:44:41Z</dcterms:created>
  <dcterms:modified xsi:type="dcterms:W3CDTF">2024-05-22T04:49:18Z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eb:">
    <vt:lpwstr>www.sanketham.tk</vt:lpwstr>
  </property>
</Properties>
</file>